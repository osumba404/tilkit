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96DBED3F-E31F-4624-861E-D08F43A59A57}" xr6:coauthVersionLast="36" xr6:coauthVersionMax="36" xr10:uidLastSave="{00000000-0000-0000-0000-000000000000}"/>
  <bookViews>
    <workbookView xWindow="0" yWindow="0" windowWidth="16800" windowHeight="8700" tabRatio="500" xr2:uid="{00000000-000D-0000-FFFF-FFFF00000000}"/>
  </bookViews>
  <sheets>
    <sheet name="Summary" sheetId="1" r:id="rId1"/>
    <sheet name="Column Register" sheetId="2" r:id="rId2"/>
    <sheet name="By Provider" sheetId="3" r:id="rId3"/>
    <sheet name="Settings (yellow cells)" sheetId="4" r:id="rId4"/>
    <sheet name="Worked Trace – Frog Sign" sheetId="5" r:id="rId5"/>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22" i="5" l="1"/>
  <c r="C15" i="5"/>
  <c r="C16" i="5" s="1"/>
  <c r="C17" i="5" s="1"/>
  <c r="C19" i="5" s="1"/>
  <c r="C21" i="5" s="1"/>
  <c r="C14" i="5"/>
  <c r="C10" i="1"/>
  <c r="C13" i="1" s="1"/>
  <c r="B10" i="1"/>
  <c r="B13" i="1" s="1"/>
  <c r="C9" i="1"/>
  <c r="B9" i="1"/>
  <c r="C8" i="1"/>
  <c r="B8" i="1"/>
  <c r="C7" i="1"/>
  <c r="B7" i="1"/>
  <c r="C6" i="1"/>
  <c r="B6" i="1"/>
  <c r="C5" i="1"/>
  <c r="C12" i="1" s="1"/>
  <c r="B5" i="1"/>
  <c r="B12" i="1" s="1"/>
  <c r="B11" i="1" l="1"/>
  <c r="B14" i="1" s="1"/>
  <c r="B15" i="1" s="1"/>
  <c r="C11" i="1"/>
</calcChain>
</file>

<file path=xl/sharedStrings.xml><?xml version="1.0" encoding="utf-8"?>
<sst xmlns="http://schemas.openxmlformats.org/spreadsheetml/2006/main" count="1330" uniqueCount="515">
  <si>
    <t>TILKIT v4 — Raw vs Derived Data Register</t>
  </si>
  <si>
    <t>Which of the 124 Indicator Log columns (A–DT) in 'TILKIT_Weather_Indicator_Log_v4_DEMO_hypothetical_data' must be collected (raw data) and which the spreadsheet calculates (derived data), and who provides each. Raw data is split by where it comes from. Facilitator settings (yellow cells on other tabs) are listed separately because they are neither field data nor formulas. Counts below are formulas on the 'Column Register' tab.</t>
  </si>
  <si>
    <t>Data group</t>
  </si>
  <si>
    <t>Number of columns</t>
  </si>
  <si>
    <t>Filled in the demo</t>
  </si>
  <si>
    <t>What it is / who provides it</t>
  </si>
  <si>
    <t>Raw – field sighting (observers)</t>
  </si>
  <si>
    <t>What observers report from the field each time they see a sign: whether it was sighted, where, when, by whom, photos, GPS, landmark — community observers (learners with the ICT teacher for photos/ GPS)</t>
  </si>
  <si>
    <t>Raw – workshop (FGD/ plenary)</t>
  </si>
  <si>
    <t>What participants agree in the TILKIT workshop (FGD and plenary) or the ITK validation panel: describing the sign, the forecast from it, validation, hazards and risks, calendar and change, vegetation outlook, safety and who contributed — ITK holders, FGD/ plenary participants, lead ITK holder, facilitator/ rapporteur</t>
  </si>
  <si>
    <t>Raw – community follow-up (representatives)</t>
  </si>
  <si>
    <t>What community representatives report after the workshop: early actions taken and how the advisory was disseminated, understood and acted on — community representatives, extension officer (feedback spot checks)</t>
  </si>
  <si>
    <t>Raw – technical/ official</t>
  </si>
  <si>
    <t>Typed in from gauges, official products and technical review — technical/ extension officer, NDMA monitor, intermediary officer, integration team</t>
  </si>
  <si>
    <t>Raw – record keeping</t>
  </si>
  <si>
    <t>Typed in to identify and file each record — school data desk/ rapporteur</t>
  </si>
  <si>
    <t>Derived – automatic</t>
  </si>
  <si>
    <t>Calculated by formulas — never typed; the data desk only checks the flags (CC, CD, CE, CP) and fixes the raw entries behind them</t>
  </si>
  <si>
    <t>All raw columns</t>
  </si>
  <si>
    <t xml:space="preserve">   of which field sightings + workshop + follow-up (community)</t>
  </si>
  <si>
    <t>All derived columns</t>
  </si>
  <si>
    <t>Total columns (A–DT)</t>
  </si>
  <si>
    <t>Check: total = 124</t>
  </si>
  <si>
    <t>How to tell field sightings from workshop data: a field sighting is reported by an observer each time a sign is seen (N, O, Y, Z, AA, AB, CI) and can arrive any day of the season. Workshop data is agreed by FGD/ plenary participants or the ITK validation panel and answers 'what does this sign mean and how far do we trust it'. A sighting enters the tally only after the workshop/ panel has confirmed (AC) and approved (AD) it. Note: 'Filled in the demo' counts columns that hold hypothetical values in rows 12–32 of the demo. Raw columns left empty in the demo (e.g., F, G, Y–AA, AF, AG, AN, AS–AU, BB–BF, CR, CZ) are still raw fields; outcome columns (AS–AU, CR, CZ, AZ) are filled only after the season.</t>
  </si>
  <si>
    <t>Tabs in this workbook</t>
  </si>
  <si>
    <t>Column Register</t>
  </si>
  <si>
    <t>One row per Indicator Log column: field, data group, stage, provider, when, what it is calculated from, demo status. Filter by any column.</t>
  </si>
  <si>
    <t>By Provider</t>
  </si>
  <si>
    <t>The same columns regrouped by who provides them.</t>
  </si>
  <si>
    <t>Settings (yellow cells)</t>
  </si>
  <si>
    <t>Facilitator settings on the Tally and Weighting Options tabs.</t>
  </si>
  <si>
    <t>Worked Trace – Frog Sign</t>
  </si>
  <si>
    <t>Demo row 22: the raw inputs and every derived step to the tally, with live formulas.</t>
  </si>
  <si>
    <t>Column</t>
  </si>
  <si>
    <t>Field</t>
  </si>
  <si>
    <t>Stage</t>
  </si>
  <si>
    <t>Provided by</t>
  </si>
  <si>
    <t>When</t>
  </si>
  <si>
    <t>Calculated from (derived only)</t>
  </si>
  <si>
    <t>Filled in demo</t>
  </si>
  <si>
    <t>A</t>
  </si>
  <si>
    <t>Indicator category</t>
  </si>
  <si>
    <t>Describing the sign</t>
  </si>
  <si>
    <t>ITK holders and FGD participants (facilitator leads)</t>
  </si>
  <si>
    <t>FGD/ plenary at start of season</t>
  </si>
  <si>
    <t>—</t>
  </si>
  <si>
    <t>Yes</t>
  </si>
  <si>
    <t>B</t>
  </si>
  <si>
    <t>Indicator type (and sub-type)</t>
  </si>
  <si>
    <t>FGD/ plenary</t>
  </si>
  <si>
    <t>C</t>
  </si>
  <si>
    <t>Specific indicator (local, English, scientific name)</t>
  </si>
  <si>
    <t>D</t>
  </si>
  <si>
    <t>Indicator behaviour</t>
  </si>
  <si>
    <t>E</t>
  </si>
  <si>
    <t>Prediction in local words</t>
  </si>
  <si>
    <t>F</t>
  </si>
  <si>
    <t>Locality/ landscape description</t>
  </si>
  <si>
    <t>No</t>
  </si>
  <si>
    <t>G</t>
  </si>
  <si>
    <t>Ethnic community (language of the local name)</t>
  </si>
  <si>
    <t>H</t>
  </si>
  <si>
    <t>What it predicts (onset, cessation, distribution, amount)</t>
  </si>
  <si>
    <t>I</t>
  </si>
  <si>
    <t>Sector impacts (impact-based application)</t>
  </si>
  <si>
    <t>J</t>
  </si>
  <si>
    <t>Indicator history (3 ancient … 1 new)</t>
  </si>
  <si>
    <t>Elders/ ITK holders</t>
  </si>
  <si>
    <t>K</t>
  </si>
  <si>
    <t>Lead time class (3 months, 2 weeks, 1 days)</t>
  </si>
  <si>
    <t>ITK holders</t>
  </si>
  <si>
    <t>L</t>
  </si>
  <si>
    <t>Historical reliability rating</t>
  </si>
  <si>
    <t>ITK holders/ FGD</t>
  </si>
  <si>
    <t>M</t>
  </si>
  <si>
    <t>Current reliability rating</t>
  </si>
  <si>
    <t>Forecast from this sign</t>
  </si>
  <si>
    <t>N</t>
  </si>
  <si>
    <t>Sighted this season (1/0)</t>
  </si>
  <si>
    <t>Sighting</t>
  </si>
  <si>
    <t>Community observers</t>
  </si>
  <si>
    <t>Each sighting</t>
  </si>
  <si>
    <t>O</t>
  </si>
  <si>
    <t>Where and when sighted (text)</t>
  </si>
  <si>
    <t>P</t>
  </si>
  <si>
    <t>Predicted onset – earliest date</t>
  </si>
  <si>
    <t>FGD, agreed by ITK holders</t>
  </si>
  <si>
    <t>FGD; updated at the next panel when a sighting changes it</t>
  </si>
  <si>
    <t>Q</t>
  </si>
  <si>
    <t>Predicted onset – latest date</t>
  </si>
  <si>
    <t>FGD; update when seen</t>
  </si>
  <si>
    <t>R</t>
  </si>
  <si>
    <t>Predicted cessation – earliest date</t>
  </si>
  <si>
    <t>S</t>
  </si>
  <si>
    <t>Predicted cessation – latest date</t>
  </si>
  <si>
    <t>T</t>
  </si>
  <si>
    <t>Predicted distribution (3/2/1/0)</t>
  </si>
  <si>
    <t>U</t>
  </si>
  <si>
    <t>Tercile from this indicator (3/2/1/0)</t>
  </si>
  <si>
    <t>V</t>
  </si>
  <si>
    <t>Decision relevance (3/2/1/0)</t>
  </si>
  <si>
    <t>FGD</t>
  </si>
  <si>
    <t>W</t>
  </si>
  <si>
    <t>Recommended actions/ strategies</t>
  </si>
  <si>
    <t>X</t>
  </si>
  <si>
    <t>Sector impact rating (± per sector)</t>
  </si>
  <si>
    <t>Y</t>
  </si>
  <si>
    <t>Photos (at least three)</t>
  </si>
  <si>
    <t>Observers; learners with ICT teacher</t>
  </si>
  <si>
    <t>Z</t>
  </si>
  <si>
    <t>GPS location</t>
  </si>
  <si>
    <t>AA</t>
  </si>
  <si>
    <t>Landmark near GPS point</t>
  </si>
  <si>
    <t>AB</t>
  </si>
  <si>
    <t>Observed by</t>
  </si>
  <si>
    <t>AC</t>
  </si>
  <si>
    <t>Confirmed (1/0)</t>
  </si>
  <si>
    <t>Validation</t>
  </si>
  <si>
    <t>ITK holder or FGD/ plenary</t>
  </si>
  <si>
    <t>FGD/ plenary, or weekly ITK validation panel</t>
  </si>
  <si>
    <t>AD</t>
  </si>
  <si>
    <t>Approved (1/0)</t>
  </si>
  <si>
    <t>Lead ITK holder</t>
  </si>
  <si>
    <t>Plenary, or weekly/ fortnightly ITK validation panel</t>
  </si>
  <si>
    <t>AE</t>
  </si>
  <si>
    <t>Verified by technical expert (1/0)</t>
  </si>
  <si>
    <t>Verification</t>
  </si>
  <si>
    <t>Extension officer/ NDMA monitor/ County Director of Meteorological Services</t>
  </si>
  <si>
    <t>Weekly check</t>
  </si>
  <si>
    <t>AF</t>
  </si>
  <si>
    <t>Entered by (name, date)</t>
  </si>
  <si>
    <t>Record keeping</t>
  </si>
  <si>
    <t>School data desk/ rapporteur</t>
  </si>
  <si>
    <t>When entering</t>
  </si>
  <si>
    <t>AG</t>
  </si>
  <si>
    <t>Reliability analysis (free text)</t>
  </si>
  <si>
    <t>Season review</t>
  </si>
  <si>
    <t>ITK holders with technical officer</t>
  </si>
  <si>
    <t>January review</t>
  </si>
  <si>
    <t>AH</t>
  </si>
  <si>
    <t>Unique Indicator ID</t>
  </si>
  <si>
    <t>School data desk</t>
  </si>
  <si>
    <t>AI</t>
  </si>
  <si>
    <t>Community/ site</t>
  </si>
  <si>
    <t>AJ</t>
  </si>
  <si>
    <t>Ward/ location</t>
  </si>
  <si>
    <t>AK</t>
  </si>
  <si>
    <t>County/ region</t>
  </si>
  <si>
    <t>AL</t>
  </si>
  <si>
    <t>Country</t>
  </si>
  <si>
    <t>AM</t>
  </si>
  <si>
    <t>Season/ year</t>
  </si>
  <si>
    <t>AN</t>
  </si>
  <si>
    <t>Date of data collection</t>
  </si>
  <si>
    <t>AO</t>
  </si>
  <si>
    <t>Language of local name/ description</t>
  </si>
  <si>
    <t>AP</t>
  </si>
  <si>
    <t>Validation status</t>
  </si>
  <si>
    <t>Plenary</t>
  </si>
  <si>
    <t>AQ</t>
  </si>
  <si>
    <t>Groups recognising/ disputing the sign</t>
  </si>
  <si>
    <t>AR</t>
  </si>
  <si>
    <t>Geographic scope of applicability</t>
  </si>
  <si>
    <t>AS</t>
  </si>
  <si>
    <t>Actual onset date</t>
  </si>
  <si>
    <t>Season outcome</t>
  </si>
  <si>
    <t>Technical officer (rain gauge, school station, KMD/ KMSA, NDMA)</t>
  </si>
  <si>
    <t>At onset</t>
  </si>
  <si>
    <t>AT</t>
  </si>
  <si>
    <t>Actual cessation date</t>
  </si>
  <si>
    <t>At cessation</t>
  </si>
  <si>
    <t>AU</t>
  </si>
  <si>
    <t>Actual distribution (3/2/1)</t>
  </si>
  <si>
    <t>Technical officer (rain gauges, NDMA, KMD/ KMSA)</t>
  </si>
  <si>
    <t>End of season</t>
  </si>
  <si>
    <t>AV</t>
  </si>
  <si>
    <t>Actual season class (3/2/1)</t>
  </si>
  <si>
    <t>Technical officer with community</t>
  </si>
  <si>
    <t>AW</t>
  </si>
  <si>
    <t>Onset check (Early/ Within/ Late)</t>
  </si>
  <si>
    <t>Spreadsheet (automatic)</t>
  </si>
  <si>
    <t>Automatic</t>
  </si>
  <si>
    <t>AS vs P–Q</t>
  </si>
  <si>
    <t>AX</t>
  </si>
  <si>
    <t>Cessation check</t>
  </si>
  <si>
    <t>AT vs R–S</t>
  </si>
  <si>
    <t>AY</t>
  </si>
  <si>
    <t>Distribution check</t>
  </si>
  <si>
    <t>AU vs T</t>
  </si>
  <si>
    <t>AZ</t>
  </si>
  <si>
    <t>Outcome: Hit/ Miss/ False Start</t>
  </si>
  <si>
    <t>BA</t>
  </si>
  <si>
    <t>Notes on reliability/ composites</t>
  </si>
  <si>
    <t>ITK holders with technical officer (facilitator)</t>
  </si>
  <si>
    <t>FGD; January review</t>
  </si>
  <si>
    <t>BB</t>
  </si>
  <si>
    <t>Do-no-harm/ safety flag (1/0)</t>
  </si>
  <si>
    <t>Safety and governance</t>
  </si>
  <si>
    <t>ITK holders; reviewed by technical expert</t>
  </si>
  <si>
    <t>BC</t>
  </si>
  <si>
    <t>Consent/ data-sharing level</t>
  </si>
  <si>
    <t>BD</t>
  </si>
  <si>
    <t>Audio/ video reference</t>
  </si>
  <si>
    <t>ITK holders (recorded by rapporteur)</t>
  </si>
  <si>
    <t>BE</t>
  </si>
  <si>
    <t>Cross-reference/ duplicate link</t>
  </si>
  <si>
    <t>BF</t>
  </si>
  <si>
    <t>Integrated Consensus Forecast reference</t>
  </si>
  <si>
    <t>Action plans and references</t>
  </si>
  <si>
    <t>Integration team</t>
  </si>
  <si>
    <t>Integration session</t>
  </si>
  <si>
    <t>BG</t>
  </si>
  <si>
    <t>Number of observers</t>
  </si>
  <si>
    <t>Who contributed</t>
  </si>
  <si>
    <t>Facilitator/ rapporteur</t>
  </si>
  <si>
    <t>BH</t>
  </si>
  <si>
    <t>Gender composition</t>
  </si>
  <si>
    <t>BI</t>
  </si>
  <si>
    <t>Age/ generation composition</t>
  </si>
  <si>
    <t>BJ</t>
  </si>
  <si>
    <t>Livelihood of observers</t>
  </si>
  <si>
    <t>BK</t>
  </si>
  <si>
    <t>Person(s) with disability included</t>
  </si>
  <si>
    <t>BL</t>
  </si>
  <si>
    <t>Corroboration count</t>
  </si>
  <si>
    <t>Calibration</t>
  </si>
  <si>
    <t>AH, AC, AD, DT</t>
  </si>
  <si>
    <t>BM</t>
  </si>
  <si>
    <t>Scored seasons</t>
  </si>
  <si>
    <t>BN + BO + BP</t>
  </si>
  <si>
    <t>BN</t>
  </si>
  <si>
    <t>Hit count</t>
  </si>
  <si>
    <t>AH, AZ, DT</t>
  </si>
  <si>
    <t>BO</t>
  </si>
  <si>
    <t>Miss count</t>
  </si>
  <si>
    <t>BP</t>
  </si>
  <si>
    <t>False-start count</t>
  </si>
  <si>
    <t>BQ</t>
  </si>
  <si>
    <t>Hit rate</t>
  </si>
  <si>
    <t>BN ÷ BM</t>
  </si>
  <si>
    <t>BR</t>
  </si>
  <si>
    <t>Miss rate</t>
  </si>
  <si>
    <t>BO ÷ BM</t>
  </si>
  <si>
    <t>BS</t>
  </si>
  <si>
    <t>False-start rate</t>
  </si>
  <si>
    <t>BP ÷ BM</t>
  </si>
  <si>
    <t>BT</t>
  </si>
  <si>
    <t>Weighting phase (rating- or hit-rate-based)</t>
  </si>
  <si>
    <t>BM (≥3 scored seasons)</t>
  </si>
  <si>
    <t>BU</t>
  </si>
  <si>
    <t>Hazard type (main hazard first)</t>
  </si>
  <si>
    <t>Hazard, risk, opportunity</t>
  </si>
  <si>
    <t>FGD with intermediary officer</t>
  </si>
  <si>
    <t>BV</t>
  </si>
  <si>
    <t>Risk/ impact – who or what is exposed</t>
  </si>
  <si>
    <t>BW</t>
  </si>
  <si>
    <t>Opportunity flag and description</t>
  </si>
  <si>
    <t>BX</t>
  </si>
  <si>
    <t>Community Representatives Action reference</t>
  </si>
  <si>
    <t>Community representatives</t>
  </si>
  <si>
    <t>Action planning</t>
  </si>
  <si>
    <t>BY</t>
  </si>
  <si>
    <t>Intermediary Officer Action reference</t>
  </si>
  <si>
    <t>Intermediary officer</t>
  </si>
  <si>
    <t>BZ</t>
  </si>
  <si>
    <t>Integrated Action reference</t>
  </si>
  <si>
    <t>CA</t>
  </si>
  <si>
    <t>Base Weight</t>
  </si>
  <si>
    <t>Weighting and tally feed</t>
  </si>
  <si>
    <t>M or BQ, capped by BL</t>
  </si>
  <si>
    <t>CB</t>
  </si>
  <si>
    <t>Final Weight</t>
  </si>
  <si>
    <t>CA × V</t>
  </si>
  <si>
    <t>CC</t>
  </si>
  <si>
    <t>Stability flag</t>
  </si>
  <si>
    <t>L vs M</t>
  </si>
  <si>
    <t>CD</t>
  </si>
  <si>
    <t>Duplicate check</t>
  </si>
  <si>
    <t>AH, AI, AM</t>
  </si>
  <si>
    <t>CE</t>
  </si>
  <si>
    <t>Tally status (counted or why excluded)</t>
  </si>
  <si>
    <t>AH, N, AC, AD, AP, U, DT, Tally site and season</t>
  </si>
  <si>
    <t>CF</t>
  </si>
  <si>
    <t>Global prior multiplier</t>
  </si>
  <si>
    <t>AH + Prior Multipliers tab</t>
  </si>
  <si>
    <t>CG</t>
  </si>
  <si>
    <t>Tally weight</t>
  </si>
  <si>
    <t>CB (× CF if prior switch on)</t>
  </si>
  <si>
    <t>CH</t>
  </si>
  <si>
    <t>Tally weight as a number</t>
  </si>
  <si>
    <t>CI</t>
  </si>
  <si>
    <t>Date sighted (date)</t>
  </si>
  <si>
    <t>CJ</t>
  </si>
  <si>
    <t>Month sighted</t>
  </si>
  <si>
    <t>Calendar and change</t>
  </si>
  <si>
    <t>CK</t>
  </si>
  <si>
    <t>Local calendar period</t>
  </si>
  <si>
    <t>CL</t>
  </si>
  <si>
    <t>Expected month on the calendar</t>
  </si>
  <si>
    <t>CM</t>
  </si>
  <si>
    <t>Calendar shift (months)</t>
  </si>
  <si>
    <t>CJ − CL</t>
  </si>
  <si>
    <t>CN</t>
  </si>
  <si>
    <t>Observed change in the sign</t>
  </si>
  <si>
    <t>CO</t>
  </si>
  <si>
    <t>Likely driver of the change</t>
  </si>
  <si>
    <t>Elders, agreed with technical officer</t>
  </si>
  <si>
    <t>CP</t>
  </si>
  <si>
    <t>Climate-change signal flag</t>
  </si>
  <si>
    <t>CM, CC, CN, L, M, BM, BQ</t>
  </si>
  <si>
    <t>CQ</t>
  </si>
  <si>
    <t>Predicted vegetation/ pasture condition</t>
  </si>
  <si>
    <t>Vegetation</t>
  </si>
  <si>
    <t>Herders and FGD</t>
  </si>
  <si>
    <t>CR</t>
  </si>
  <si>
    <t>Actual 3-month VCI (VCI3M)</t>
  </si>
  <si>
    <t>Technical officer (NDMA monthly bulletin)</t>
  </si>
  <si>
    <t>CS</t>
  </si>
  <si>
    <t>Actual vegetation class</t>
  </si>
  <si>
    <t>CT</t>
  </si>
  <si>
    <t>Vegetation check</t>
  </si>
  <si>
    <t>CQ vs CS</t>
  </si>
  <si>
    <t>CU</t>
  </si>
  <si>
    <t>Lead time available (days)</t>
  </si>
  <si>
    <t>Anticipatory action</t>
  </si>
  <si>
    <t>P − CI</t>
  </si>
  <si>
    <t>CV</t>
  </si>
  <si>
    <t>Decision horizon</t>
  </si>
  <si>
    <t>CW</t>
  </si>
  <si>
    <t>Objectives served by early action</t>
  </si>
  <si>
    <t>Early action</t>
  </si>
  <si>
    <t>Community representatives with intermediary officer</t>
  </si>
  <si>
    <t>CX</t>
  </si>
  <si>
    <t>Action timing</t>
  </si>
  <si>
    <t>CY</t>
  </si>
  <si>
    <t>Early action implemented (1/0)</t>
  </si>
  <si>
    <t>During season</t>
  </si>
  <si>
    <t>CZ</t>
  </si>
  <si>
    <t>Result of the action</t>
  </si>
  <si>
    <t>DA</t>
  </si>
  <si>
    <t>Advisory disseminated (1/0)</t>
  </si>
  <si>
    <t>Dissemination</t>
  </si>
  <si>
    <t>After each advisory</t>
  </si>
  <si>
    <t>DB</t>
  </si>
  <si>
    <t>Date disseminated</t>
  </si>
  <si>
    <t>DC</t>
  </si>
  <si>
    <t>Channels used</t>
  </si>
  <si>
    <t>DD</t>
  </si>
  <si>
    <t>People reached</t>
  </si>
  <si>
    <t>Community representatives/ school data desk</t>
  </si>
  <si>
    <t>DE</t>
  </si>
  <si>
    <t>Women, youth or PWD reached</t>
  </si>
  <si>
    <t>DF</t>
  </si>
  <si>
    <t>% who understood</t>
  </si>
  <si>
    <t>Extension officer (feedback spot checks)</t>
  </si>
  <si>
    <t>DG</t>
  </si>
  <si>
    <t>% who acted</t>
  </si>
  <si>
    <t>DH</t>
  </si>
  <si>
    <t>Warning lead (days)</t>
  </si>
  <si>
    <t>P − DB</t>
  </si>
  <si>
    <t>DI</t>
  </si>
  <si>
    <t>Inclusion share</t>
  </si>
  <si>
    <t>DE ÷ DD</t>
  </si>
  <si>
    <t>DJ</t>
  </si>
  <si>
    <t>KMD/ KMSA county outlook tercile</t>
  </si>
  <si>
    <t>Official products and residual risk</t>
  </si>
  <si>
    <t>Intermediary officer (KMD/ KMSA county outlook)</t>
  </si>
  <si>
    <t>DK</t>
  </si>
  <si>
    <t>Agreement with KMD/ KMSA</t>
  </si>
  <si>
    <t>U vs DJ</t>
  </si>
  <si>
    <t>DL</t>
  </si>
  <si>
    <t>NDMA drought phase</t>
  </si>
  <si>
    <t>Intermediary officer (NDMA bulletin)</t>
  </si>
  <si>
    <t>DM</t>
  </si>
  <si>
    <t>Residual risk flag (1/0)</t>
  </si>
  <si>
    <t>Intermediary officer with community</t>
  </si>
  <si>
    <t>DN</t>
  </si>
  <si>
    <t>Residual risk description</t>
  </si>
  <si>
    <t>DO</t>
  </si>
  <si>
    <t>Residual risk in an action plan (1/0)</t>
  </si>
  <si>
    <t>DP</t>
  </si>
  <si>
    <t>Suggested message for KMD/ KMSA or NDMA</t>
  </si>
  <si>
    <t>DQ</t>
  </si>
  <si>
    <t>Confidence score (0–100)</t>
  </si>
  <si>
    <t>Confidence and priority</t>
  </si>
  <si>
    <t>CA, BL, AP, K, CC, DK, BG, AE + Weighting Options</t>
  </si>
  <si>
    <t>DR</t>
  </si>
  <si>
    <t>Hazard priority factor</t>
  </si>
  <si>
    <t>BU + Weighting Options</t>
  </si>
  <si>
    <t>DS</t>
  </si>
  <si>
    <t>Priority-adjusted weight</t>
  </si>
  <si>
    <t>CG × DR</t>
  </si>
  <si>
    <t>DT</t>
  </si>
  <si>
    <t>First-record marker</t>
  </si>
  <si>
    <t>Columns</t>
  </si>
  <si>
    <t>N, O, AA, AB, CI</t>
  </si>
  <si>
    <t>Y, Z</t>
  </si>
  <si>
    <t>J, CK, CL, CN</t>
  </si>
  <si>
    <t>FGD/ plenary; FGD; FGD; January review</t>
  </si>
  <si>
    <t>V, X</t>
  </si>
  <si>
    <t>BU, BV, BW</t>
  </si>
  <si>
    <t>P, Q, R, S, T, U</t>
  </si>
  <si>
    <t>FGD; updated at the next panel when a sighting changes it; FGD; update when seen</t>
  </si>
  <si>
    <t>W, AR</t>
  </si>
  <si>
    <t>BG, BH, BI, BJ, BK</t>
  </si>
  <si>
    <t>K, BC</t>
  </si>
  <si>
    <t>FGD/ plenary; FGD</t>
  </si>
  <si>
    <t>A, B, C, D, E, F, G, H, I</t>
  </si>
  <si>
    <t>FGD/ plenary at start of season; FGD/ plenary</t>
  </si>
  <si>
    <t>L, M</t>
  </si>
  <si>
    <t>AP, AQ</t>
  </si>
  <si>
    <t>DA, DB, DC</t>
  </si>
  <si>
    <t>CW, CX, CY, CZ</t>
  </si>
  <si>
    <t>Action planning; During season; January review</t>
  </si>
  <si>
    <t>DD, DE</t>
  </si>
  <si>
    <t>DF, DG</t>
  </si>
  <si>
    <t>AG, AZ</t>
  </si>
  <si>
    <t>BF, BZ</t>
  </si>
  <si>
    <t>DM, DN, DO, DP</t>
  </si>
  <si>
    <t>AS, AT</t>
  </si>
  <si>
    <t>At onset; At cessation</t>
  </si>
  <si>
    <t>AH, AI, AJ, AK, AL, AM, BE</t>
  </si>
  <si>
    <t>AF, AN, AO</t>
  </si>
  <si>
    <t>AW, AX, AY, BL, BM, BN, BO, BP, BQ, BR, BS, BT, CA, CB, CC, CD, CE, CF, CG, CH, CJ, CM, CP, CS, CT, CU, CV, DH, DI, DK, DQ, DR, DS, DT</t>
  </si>
  <si>
    <t>Raw columns are listed under the provider named in the Community Data List tab of the v4 template; where several people are involved, the first named leads.</t>
  </si>
  <si>
    <t>Tab</t>
  </si>
  <si>
    <t>Cell(s)</t>
  </si>
  <si>
    <t>Setting</t>
  </si>
  <si>
    <t>Set by</t>
  </si>
  <si>
    <t>Demo value</t>
  </si>
  <si>
    <t>Seasonal Tercile Tally</t>
  </si>
  <si>
    <t>B3</t>
  </si>
  <si>
    <t>Community/ site to tally (must match log AI)</t>
  </si>
  <si>
    <t>Facilitator/ school data desk</t>
  </si>
  <si>
    <t>Mutirithia (DEMO)</t>
  </si>
  <si>
    <t>B4</t>
  </si>
  <si>
    <t>Season/ year to tally (must match log AM)</t>
  </si>
  <si>
    <t>OND 2026</t>
  </si>
  <si>
    <t>B5</t>
  </si>
  <si>
    <t>Apply global prior multiplier (1/0)</t>
  </si>
  <si>
    <t>Facilitator</t>
  </si>
  <si>
    <t>0</t>
  </si>
  <si>
    <t>B73</t>
  </si>
  <si>
    <t>Latest NDMA VCI3M for the ward/ sub-county</t>
  </si>
  <si>
    <t>41</t>
  </si>
  <si>
    <t>B76</t>
  </si>
  <si>
    <t>3 (above normal)</t>
  </si>
  <si>
    <t>B82</t>
  </si>
  <si>
    <t>Trigger threshold (weighted share of a hazard tercile)</t>
  </si>
  <si>
    <t>Integrated action-planning session</t>
  </si>
  <si>
    <t>50%</t>
  </si>
  <si>
    <t>B83</t>
  </si>
  <si>
    <t>Minimum mean confidence score to ACTIVATE</t>
  </si>
  <si>
    <t>50</t>
  </si>
  <si>
    <t>Weighting Options</t>
  </si>
  <si>
    <t>D7:D14</t>
  </si>
  <si>
    <t>Confidence-score weights (8 dimensions)</t>
  </si>
  <si>
    <t>Technical team with community representatives, once per season</t>
  </si>
  <si>
    <t>25/15/15/10/10/10/5/10</t>
  </si>
  <si>
    <t>D20:D27</t>
  </si>
  <si>
    <t>Hazard priority factors (by BU hazard code)</t>
  </si>
  <si>
    <t>Drought 1.5, Flood 1.5, Erratic 1.25, Pest 1.25, others 1.0</t>
  </si>
  <si>
    <t>D32:D39</t>
  </si>
  <si>
    <t>Indicative decision relevance by type of sign (guidance for V)</t>
  </si>
  <si>
    <t>3/3/3/2/2/2/1/1</t>
  </si>
  <si>
    <t>C44:J49</t>
  </si>
  <si>
    <t>Worked-example inputs (training only)</t>
  </si>
  <si>
    <t>Trainer</t>
  </si>
  <si>
    <t>Six hypothetical signs</t>
  </si>
  <si>
    <t>These cells are inputs but not field data: they set how the tally is read. Everything else on the Tally, Calendar and Weighting Options tabs is derived.</t>
  </si>
  <si>
    <t>Worked trace — demo row 22, 01-ANI-FRO-001 (frogs croaking at night near the dam), OND 2026</t>
  </si>
  <si>
    <t>Blue values are raw data copied from the demo (change them to see the effect). Black values are formulas that reproduce the log's derived columns.</t>
  </si>
  <si>
    <t>Step</t>
  </si>
  <si>
    <t>Item</t>
  </si>
  <si>
    <t>Value</t>
  </si>
  <si>
    <t>Log column</t>
  </si>
  <si>
    <t>Data group / provider</t>
  </si>
  <si>
    <t>Rule</t>
  </si>
  <si>
    <t>Tercile from this sign</t>
  </si>
  <si>
    <t>Raw – workshop (FGD/ ITK holders)</t>
  </si>
  <si>
    <t>Decision relevance</t>
  </si>
  <si>
    <t>Raw – workshop (FGD)</t>
  </si>
  <si>
    <t>Sighted this season</t>
  </si>
  <si>
    <t>Raw – field sighting (observer)</t>
  </si>
  <si>
    <t>Reported by the observer when the frogs were heard (12/10/2026, dam)</t>
  </si>
  <si>
    <t>Confirmed / Approved</t>
  </si>
  <si>
    <t>1 / 1</t>
  </si>
  <si>
    <t>AC, AD</t>
  </si>
  <si>
    <t>Raw – workshop (ITK holder / lead ITK holder at plenary or panel)</t>
  </si>
  <si>
    <t>The sighting is accepted by the workshop/ panel</t>
  </si>
  <si>
    <t>Community/Plenary-endorsed</t>
  </si>
  <si>
    <t>Raw – workshop (plenary)</t>
  </si>
  <si>
    <t>Confirmed + approved records (OND 2023–2026)</t>
  </si>
  <si>
    <t>Derived</t>
  </si>
  <si>
    <t>Counts AC = 1 and AD = 1 for this ID, first record per site and season</t>
  </si>
  <si>
    <t>Hits in earlier scored seasons</t>
  </si>
  <si>
    <t>Derived (from AZ typed after each season)</t>
  </si>
  <si>
    <t>OND 2023 Hit, 2024 Hit, 2025 Miss</t>
  </si>
  <si>
    <t>Weighting phase</t>
  </si>
  <si>
    <t>≥3 scored seasons → hit-rate-based</t>
  </si>
  <si>
    <t>Hit rate ≥70% → 3, ≥40% → 2, else 1; capped at 2 if BL &lt; 2</t>
  </si>
  <si>
    <t>Base Weight × Decision relevance</t>
  </si>
  <si>
    <t>Tally status</t>
  </si>
  <si>
    <t>Counted</t>
  </si>
  <si>
    <t>Passes the gate: ID, sighted, confirmed, approved, not contested, tercile 3/2/1, first record</t>
  </si>
  <si>
    <t>Tally weight (prior switch off)</t>
  </si>
  <si>
    <t>Final Weight (× prior only if Tally B5 = 1)</t>
  </si>
  <si>
    <t>Sum of above-normal weights at the site (4 counted signs)</t>
  </si>
  <si>
    <t>Tally D11</t>
  </si>
  <si>
    <t>Frogs 6 + acacia 9 + ants 2 + joint pain 1</t>
  </si>
  <si>
    <t>This sign's share of the above-normal weight</t>
  </si>
  <si>
    <t>Weighted % above normal for the site</t>
  </si>
  <si>
    <t>Tally E11</t>
  </si>
  <si>
    <t>18 ÷ total weight 31</t>
  </si>
  <si>
    <t>Step 4 is reported by an observer in the field; steps 1–3, 5 and 6 are agreed in the workshop (FGD/ plenary or ITK validation panel). Steps 7–9 are calculated from earlier seasons' raw outcomes (AZ, typed at each January review). Steps 16 and 18 are the demo tally results, typed here for reference; in the template they come from the Seasonal Tercile Tally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</si>
</sst>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000000"/>
      <name val="Arial"/>
      <charset val="1"/>
    </font>
    <font>
      <sz val="10"/>
      <color rgb="FF000000"/>
      <name val="Arial"/>
      <charset val="1"/>
    </font>
    <font>
      <b/>
      <sz val="10"/>
      <color rgb="FFFFFFFF"/>
      <name val="Arial"/>
      <charset val="1"/>
    </font>
    <font>
      <b/>
      <sz val="10"/>
      <color rgb="FF000000"/>
      <name val="Arial"/>
      <charset val="1"/>
    </font>
    <font>
      <b/>
      <sz val="11"/>
      <color rgb="FF000000"/>
      <name val="Arial"/>
      <charset val="1"/>
    </font>
    <font>
      <sz val="9"/>
      <color rgb="FF000000"/>
      <name val="Arial"/>
      <charset val="1"/>
    </font>
    <font>
      <b/>
      <sz val="12"/>
      <color rgb="FF000000"/>
      <name val="Arial"/>
      <charset val="1"/>
    </font>
    <font>
      <sz val="10"/>
      <color rgb="FF0000FF"/>
      <name val="Arial"/>
      <charset val="1"/>
    </font>
  </fonts>
  <fills count="10">
    <fill>
      <patternFill patternType="none"/>
    </fill>
    <fill>
      <patternFill patternType="gray125"/>
    </fill>
    <fill>
      <patternFill patternType="solid">
        <fgColor rgb="FF1F4E78"/>
        <bgColor rgb="FF003366"/>
      </patternFill>
    </fill>
    <fill>
      <patternFill patternType="solid">
        <fgColor rgb="FFC6E0B4"/>
        <bgColor rgb="FFBFBFBF"/>
      </patternFill>
    </fill>
    <fill>
      <patternFill patternType="solid">
        <fgColor rgb="FFFFF2CC"/>
        <bgColor rgb="FFFCE4D6"/>
      </patternFill>
    </fill>
    <fill>
      <patternFill patternType="solid">
        <fgColor rgb="FFFCE4D6"/>
        <bgColor rgb="FFFFF2CC"/>
      </patternFill>
    </fill>
    <fill>
      <patternFill patternType="solid">
        <fgColor rgb="FFDDEBF7"/>
        <bgColor rgb="FFEDE4F5"/>
      </patternFill>
    </fill>
    <fill>
      <patternFill patternType="solid">
        <fgColor rgb="FFEDE4F5"/>
        <bgColor rgb="FFDDEBF7"/>
      </patternFill>
    </fill>
    <fill>
      <patternFill patternType="solid">
        <fgColor rgb="FFF2F2F2"/>
        <bgColor rgb="FFEDE4F5"/>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6" fillId="0" borderId="0" xfId="0" applyFont="1" applyBorder="1" applyAlignment="1">
      <alignment vertical="top" wrapText="1"/>
    </xf>
    <xf numFmtId="0" fontId="2" fillId="0" borderId="0" xfId="0" applyFont="1" applyBorder="1" applyAlignment="1">
      <alignment vertical="top" wrapText="1"/>
    </xf>
    <xf numFmtId="0" fontId="1" fillId="0" borderId="0" xfId="0" applyFont="1" applyAlignment="1">
      <alignment vertical="top"/>
    </xf>
    <xf numFmtId="0" fontId="3" fillId="2" borderId="1" xfId="0" applyFont="1" applyFill="1" applyBorder="1" applyAlignment="1">
      <alignment horizontal="center" vertical="top" wrapText="1"/>
    </xf>
    <xf numFmtId="0" fontId="4" fillId="3" borderId="1" xfId="0" applyFont="1" applyFill="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0" borderId="0" xfId="0" applyFont="1" applyAlignment="1">
      <alignment vertical="top" wrapText="1"/>
    </xf>
    <xf numFmtId="0" fontId="4"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horizontal="center" vertical="top" wrapText="1"/>
    </xf>
    <xf numFmtId="0" fontId="5" fillId="0" borderId="0" xfId="0" applyFont="1" applyAlignment="1">
      <alignment vertical="top" wrapText="1"/>
    </xf>
    <xf numFmtId="0" fontId="4"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2" fillId="6" borderId="1" xfId="0" applyFont="1" applyFill="1" applyBorder="1" applyAlignment="1">
      <alignment vertical="top" wrapText="1"/>
    </xf>
    <xf numFmtId="0" fontId="2" fillId="6" borderId="1" xfId="0" applyFont="1" applyFill="1" applyBorder="1" applyAlignment="1">
      <alignment horizontal="center" vertical="top" wrapText="1"/>
    </xf>
    <xf numFmtId="0" fontId="4" fillId="7" borderId="1" xfId="0" applyFont="1" applyFill="1" applyBorder="1" applyAlignment="1">
      <alignment horizontal="center" vertical="top" wrapText="1"/>
    </xf>
    <xf numFmtId="0" fontId="2" fillId="7" borderId="1" xfId="0" applyFont="1" applyFill="1" applyBorder="1" applyAlignment="1">
      <alignment vertical="top" wrapText="1"/>
    </xf>
    <xf numFmtId="0" fontId="2"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2" fillId="8" borderId="1" xfId="0" applyFont="1" applyFill="1" applyBorder="1" applyAlignment="1">
      <alignment vertical="top" wrapText="1"/>
    </xf>
    <xf numFmtId="0" fontId="2" fillId="8"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2" fillId="5" borderId="1" xfId="0" applyFont="1" applyFill="1" applyBorder="1" applyAlignment="1">
      <alignment vertical="top" wrapText="1"/>
    </xf>
    <xf numFmtId="0" fontId="2" fillId="5" borderId="1" xfId="0" applyFont="1" applyFill="1" applyBorder="1" applyAlignment="1">
      <alignment horizontal="center" vertical="top" wrapText="1"/>
    </xf>
    <xf numFmtId="0" fontId="6" fillId="0" borderId="0" xfId="0" applyFont="1" applyAlignment="1">
      <alignment vertical="top" wrapText="1"/>
    </xf>
    <xf numFmtId="0" fontId="4" fillId="9" borderId="1" xfId="0" applyFont="1" applyFill="1" applyBorder="1" applyAlignment="1">
      <alignment vertical="top" wrapText="1"/>
    </xf>
    <xf numFmtId="0" fontId="7" fillId="0" borderId="0" xfId="0" applyFont="1" applyAlignment="1">
      <alignment vertical="top"/>
    </xf>
    <xf numFmtId="0" fontId="6" fillId="0" borderId="0" xfId="0" applyFont="1" applyAlignment="1">
      <alignment vertical="top"/>
    </xf>
    <xf numFmtId="0" fontId="8" fillId="4" borderId="1" xfId="0" applyFont="1" applyFill="1" applyBorder="1" applyAlignment="1">
      <alignment horizontal="center" vertical="top" wrapText="1"/>
    </xf>
    <xf numFmtId="0" fontId="8" fillId="3" borderId="1" xfId="0" applyFont="1" applyFill="1" applyBorder="1" applyAlignment="1">
      <alignment horizontal="center" vertical="top" wrapText="1"/>
    </xf>
    <xf numFmtId="0" fontId="8" fillId="0" borderId="1" xfId="0" applyFont="1" applyBorder="1" applyAlignment="1">
      <alignment horizontal="center" vertical="top" wrapText="1"/>
    </xf>
    <xf numFmtId="9" fontId="2" fillId="0" borderId="1"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DE4F5"/>
      <rgbColor rgb="FF000080"/>
      <rgbColor rgb="FFFF00FF"/>
      <rgbColor rgb="FFFFFF00"/>
      <rgbColor rgb="FF00FFFF"/>
      <rgbColor rgb="FF800080"/>
      <rgbColor rgb="FF800000"/>
      <rgbColor rgb="FF008080"/>
      <rgbColor rgb="FF0000FF"/>
      <rgbColor rgb="FF00CCFF"/>
      <rgbColor rgb="FFF2F2F2"/>
      <rgbColor rgb="FFC6E0B4"/>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lumnRegister" displayName="ColumnRegister" ref="A1:H125" totalsRowShown="0">
  <autoFilter ref="A1:H125" xr:uid="{00000000-0009-0000-0100-000001000000}"/>
  <tableColumns count="8">
    <tableColumn id="1" xr3:uid="{00000000-0010-0000-0000-000001000000}" name="Column"/>
    <tableColumn id="2" xr3:uid="{00000000-0010-0000-0000-000002000000}" name="Field"/>
    <tableColumn id="3" xr3:uid="{00000000-0010-0000-0000-000003000000}" name="Data group"/>
    <tableColumn id="4" xr3:uid="{00000000-0010-0000-0000-000004000000}" name="Stage"/>
    <tableColumn id="5" xr3:uid="{00000000-0010-0000-0000-000005000000}" name="Provided by"/>
    <tableColumn id="6" xr3:uid="{00000000-0010-0000-0000-000006000000}" name="When"/>
    <tableColumn id="7" xr3:uid="{00000000-0010-0000-0000-000007000000}" name="Calculated from (derived only)"/>
    <tableColumn id="8" xr3:uid="{00000000-0010-0000-0000-000008000000}" name="Filled in demo"/>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showGridLines="0" tabSelected="1" zoomScaleNormal="100" workbookViewId="0">
      <selection activeCell="D7" sqref="D7"/>
    </sheetView>
  </sheetViews>
  <sheetFormatPr defaultColWidth="8.6328125" defaultRowHeight="14.5" x14ac:dyDescent="0.35"/>
  <cols>
    <col min="1" max="1" width="34" customWidth="1"/>
    <col min="2" max="2" width="16" customWidth="1"/>
    <col min="3" max="3" width="22" customWidth="1"/>
    <col min="4" max="4" width="70" customWidth="1"/>
  </cols>
  <sheetData>
    <row r="1" spans="1:4" ht="18" x14ac:dyDescent="0.35">
      <c r="A1" s="3" t="s">
        <v>0</v>
      </c>
    </row>
    <row r="2" spans="1:4" ht="57.75" customHeight="1" x14ac:dyDescent="0.35">
      <c r="A2" s="2" t="s">
        <v>1</v>
      </c>
      <c r="B2" s="2"/>
      <c r="C2" s="2"/>
      <c r="D2" s="2"/>
    </row>
    <row r="4" spans="1:4" ht="26" x14ac:dyDescent="0.35">
      <c r="A4" s="4" t="s">
        <v>2</v>
      </c>
      <c r="B4" s="4" t="s">
        <v>3</v>
      </c>
      <c r="C4" s="4" t="s">
        <v>4</v>
      </c>
      <c r="D4" s="4" t="s">
        <v>5</v>
      </c>
    </row>
    <row r="5" spans="1:4" ht="44.5" customHeight="1" x14ac:dyDescent="0.35">
      <c r="A5" s="5" t="s">
        <v>6</v>
      </c>
      <c r="B5" s="6">
        <f>COUNTIF('Column Register'!$C:$C,A5)</f>
        <v>7</v>
      </c>
      <c r="C5" s="6">
        <f>COUNTIFS('Column Register'!$C:$C,A5,'Column Register'!$H:$H,"Yes")</f>
        <v>4</v>
      </c>
      <c r="D5" s="7" t="s">
        <v>7</v>
      </c>
    </row>
    <row r="6" spans="1:4" ht="56.5" customHeight="1" x14ac:dyDescent="0.35">
      <c r="A6" s="8" t="s">
        <v>8</v>
      </c>
      <c r="B6" s="6">
        <f>COUNTIF('Column Register'!$C:$C,A6)</f>
        <v>43</v>
      </c>
      <c r="C6" s="6">
        <f>COUNTIFS('Column Register'!$C:$C,A6,'Column Register'!$H:$H,"Yes")</f>
        <v>38</v>
      </c>
      <c r="D6" s="7" t="s">
        <v>9</v>
      </c>
    </row>
    <row r="7" spans="1:4" ht="39.5" customHeight="1" x14ac:dyDescent="0.35">
      <c r="A7" s="9" t="s">
        <v>10</v>
      </c>
      <c r="B7" s="6">
        <f>COUNTIF('Column Register'!$C:$C,A7)</f>
        <v>11</v>
      </c>
      <c r="C7" s="6">
        <f>COUNTIFS('Column Register'!$C:$C,A7,'Column Register'!$H:$H,"Yes")</f>
        <v>10</v>
      </c>
      <c r="D7" s="7" t="s">
        <v>11</v>
      </c>
    </row>
    <row r="8" spans="1:4" ht="30" customHeight="1" x14ac:dyDescent="0.35">
      <c r="A8" s="10" t="s">
        <v>12</v>
      </c>
      <c r="B8" s="6">
        <f>COUNTIF('Column Register'!$C:$C,A8)</f>
        <v>19</v>
      </c>
      <c r="C8" s="6">
        <f>COUNTIFS('Column Register'!$C:$C,A8,'Column Register'!$H:$H,"Yes")</f>
        <v>13</v>
      </c>
      <c r="D8" s="7" t="s">
        <v>13</v>
      </c>
    </row>
    <row r="9" spans="1:4" ht="30" customHeight="1" x14ac:dyDescent="0.35">
      <c r="A9" s="11" t="s">
        <v>14</v>
      </c>
      <c r="B9" s="6">
        <f>COUNTIF('Column Register'!$C:$C,A9)</f>
        <v>10</v>
      </c>
      <c r="C9" s="6">
        <f>COUNTIFS('Column Register'!$C:$C,A9,'Column Register'!$H:$H,"Yes")</f>
        <v>7</v>
      </c>
      <c r="D9" s="7" t="s">
        <v>15</v>
      </c>
    </row>
    <row r="10" spans="1:4" ht="30" customHeight="1" x14ac:dyDescent="0.35">
      <c r="A10" s="12" t="s">
        <v>16</v>
      </c>
      <c r="B10" s="6">
        <f>COUNTIF('Column Register'!$C:$C,A10)</f>
        <v>34</v>
      </c>
      <c r="C10" s="6">
        <f>COUNTIFS('Column Register'!$C:$C,A10,'Column Register'!$H:$H,"Yes")</f>
        <v>34</v>
      </c>
      <c r="D10" s="7" t="s">
        <v>17</v>
      </c>
    </row>
    <row r="11" spans="1:4" x14ac:dyDescent="0.35">
      <c r="A11" s="13" t="s">
        <v>18</v>
      </c>
      <c r="B11" s="14">
        <f>SUM(B5:B9)</f>
        <v>90</v>
      </c>
      <c r="C11" s="14">
        <f>SUM(C5:C9)</f>
        <v>72</v>
      </c>
    </row>
    <row r="12" spans="1:4" ht="25" x14ac:dyDescent="0.35">
      <c r="A12" s="15" t="s">
        <v>19</v>
      </c>
      <c r="B12" s="16">
        <f>SUM(B5:B7)</f>
        <v>61</v>
      </c>
      <c r="C12" s="16">
        <f>SUM(C5:C7)</f>
        <v>52</v>
      </c>
    </row>
    <row r="13" spans="1:4" x14ac:dyDescent="0.35">
      <c r="A13" s="13" t="s">
        <v>20</v>
      </c>
      <c r="B13" s="14">
        <f>B10</f>
        <v>34</v>
      </c>
      <c r="C13" s="14">
        <f>C10</f>
        <v>34</v>
      </c>
    </row>
    <row r="14" spans="1:4" x14ac:dyDescent="0.35">
      <c r="A14" s="13" t="s">
        <v>21</v>
      </c>
      <c r="B14" s="14">
        <f>B11+B13</f>
        <v>124</v>
      </c>
    </row>
    <row r="15" spans="1:4" x14ac:dyDescent="0.35">
      <c r="A15" s="13" t="s">
        <v>22</v>
      </c>
      <c r="B15" s="14" t="str">
        <f>IF(B14=124,"OK","CHECK")</f>
        <v>OK</v>
      </c>
    </row>
    <row r="17" spans="1:4" ht="62.5" customHeight="1" x14ac:dyDescent="0.35">
      <c r="A17" s="2" t="s">
        <v>23</v>
      </c>
      <c r="B17" s="2"/>
      <c r="C17" s="2"/>
      <c r="D17" s="2"/>
    </row>
    <row r="19" spans="1:4" x14ac:dyDescent="0.35">
      <c r="A19" s="17" t="s">
        <v>24</v>
      </c>
    </row>
    <row r="20" spans="1:4" ht="23.9" customHeight="1" x14ac:dyDescent="0.35">
      <c r="A20" s="13" t="s">
        <v>25</v>
      </c>
      <c r="B20" s="2" t="s">
        <v>26</v>
      </c>
      <c r="C20" s="2"/>
      <c r="D20" s="2"/>
    </row>
    <row r="21" spans="1:4" ht="15" customHeight="1" x14ac:dyDescent="0.35">
      <c r="A21" s="13" t="s">
        <v>27</v>
      </c>
      <c r="B21" s="2" t="s">
        <v>28</v>
      </c>
      <c r="C21" s="2"/>
      <c r="D21" s="2"/>
    </row>
    <row r="22" spans="1:4" ht="15" customHeight="1" x14ac:dyDescent="0.35">
      <c r="A22" s="13" t="s">
        <v>29</v>
      </c>
      <c r="B22" s="2" t="s">
        <v>30</v>
      </c>
      <c r="C22" s="2"/>
      <c r="D22" s="2"/>
    </row>
    <row r="23" spans="1:4" ht="15" customHeight="1" x14ac:dyDescent="0.35">
      <c r="A23" s="13" t="s">
        <v>31</v>
      </c>
      <c r="B23" s="2" t="s">
        <v>32</v>
      </c>
      <c r="C23" s="2"/>
      <c r="D23" s="2"/>
    </row>
  </sheetData>
  <mergeCells count="6">
    <mergeCell ref="B23:D23"/>
    <mergeCell ref="A2:D2"/>
    <mergeCell ref="A17:D17"/>
    <mergeCell ref="B20:D20"/>
    <mergeCell ref="B21:D21"/>
    <mergeCell ref="B22:D2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5"/>
  <sheetViews>
    <sheetView showGridLines="0" zoomScaleNormal="100" workbookViewId="0">
      <pane xSplit="2" ySplit="1" topLeftCell="C2" activePane="bottomRight" state="frozen"/>
      <selection pane="topRight" activeCell="C1" sqref="C1"/>
      <selection pane="bottomLeft" activeCell="A2" sqref="A2"/>
      <selection pane="bottomRight"/>
    </sheetView>
  </sheetViews>
  <sheetFormatPr defaultColWidth="8.6328125" defaultRowHeight="14.5" x14ac:dyDescent="0.35"/>
  <cols>
    <col min="1" max="1" width="9" customWidth="1"/>
    <col min="2" max="2" width="44" customWidth="1"/>
    <col min="3" max="3" width="24" customWidth="1"/>
    <col min="4" max="4" width="28" customWidth="1"/>
    <col min="5" max="5" width="46" customWidth="1"/>
    <col min="6" max="6" width="24" customWidth="1"/>
    <col min="7" max="7" width="36" customWidth="1"/>
    <col min="8" max="8" width="12" customWidth="1"/>
  </cols>
  <sheetData>
    <row r="1" spans="1:8" ht="26" x14ac:dyDescent="0.35">
      <c r="A1" s="4" t="s">
        <v>33</v>
      </c>
      <c r="B1" s="4" t="s">
        <v>34</v>
      </c>
      <c r="C1" s="4" t="s">
        <v>2</v>
      </c>
      <c r="D1" s="4" t="s">
        <v>35</v>
      </c>
      <c r="E1" s="4" t="s">
        <v>36</v>
      </c>
      <c r="F1" s="4" t="s">
        <v>37</v>
      </c>
      <c r="G1" s="4" t="s">
        <v>38</v>
      </c>
      <c r="H1" s="4" t="s">
        <v>39</v>
      </c>
    </row>
    <row r="2" spans="1:8" ht="25" x14ac:dyDescent="0.35">
      <c r="A2" s="18" t="s">
        <v>40</v>
      </c>
      <c r="B2" s="19" t="s">
        <v>41</v>
      </c>
      <c r="C2" s="19" t="s">
        <v>8</v>
      </c>
      <c r="D2" s="19" t="s">
        <v>42</v>
      </c>
      <c r="E2" s="19" t="s">
        <v>43</v>
      </c>
      <c r="F2" s="19" t="s">
        <v>44</v>
      </c>
      <c r="G2" s="19" t="s">
        <v>45</v>
      </c>
      <c r="H2" s="20" t="s">
        <v>46</v>
      </c>
    </row>
    <row r="3" spans="1:8" ht="25" x14ac:dyDescent="0.35">
      <c r="A3" s="18" t="s">
        <v>47</v>
      </c>
      <c r="B3" s="19" t="s">
        <v>48</v>
      </c>
      <c r="C3" s="19" t="s">
        <v>8</v>
      </c>
      <c r="D3" s="19" t="s">
        <v>42</v>
      </c>
      <c r="E3" s="19" t="s">
        <v>43</v>
      </c>
      <c r="F3" s="19" t="s">
        <v>49</v>
      </c>
      <c r="G3" s="19" t="s">
        <v>45</v>
      </c>
      <c r="H3" s="20" t="s">
        <v>46</v>
      </c>
    </row>
    <row r="4" spans="1:8" ht="25" x14ac:dyDescent="0.35">
      <c r="A4" s="18" t="s">
        <v>50</v>
      </c>
      <c r="B4" s="19" t="s">
        <v>51</v>
      </c>
      <c r="C4" s="19" t="s">
        <v>8</v>
      </c>
      <c r="D4" s="19" t="s">
        <v>42</v>
      </c>
      <c r="E4" s="19" t="s">
        <v>43</v>
      </c>
      <c r="F4" s="19" t="s">
        <v>49</v>
      </c>
      <c r="G4" s="19" t="s">
        <v>45</v>
      </c>
      <c r="H4" s="20" t="s">
        <v>46</v>
      </c>
    </row>
    <row r="5" spans="1:8" ht="25" x14ac:dyDescent="0.35">
      <c r="A5" s="18" t="s">
        <v>52</v>
      </c>
      <c r="B5" s="19" t="s">
        <v>53</v>
      </c>
      <c r="C5" s="19" t="s">
        <v>8</v>
      </c>
      <c r="D5" s="19" t="s">
        <v>42</v>
      </c>
      <c r="E5" s="19" t="s">
        <v>43</v>
      </c>
      <c r="F5" s="19" t="s">
        <v>49</v>
      </c>
      <c r="G5" s="19" t="s">
        <v>45</v>
      </c>
      <c r="H5" s="20" t="s">
        <v>46</v>
      </c>
    </row>
    <row r="6" spans="1:8" ht="25" x14ac:dyDescent="0.35">
      <c r="A6" s="18" t="s">
        <v>54</v>
      </c>
      <c r="B6" s="19" t="s">
        <v>55</v>
      </c>
      <c r="C6" s="19" t="s">
        <v>8</v>
      </c>
      <c r="D6" s="19" t="s">
        <v>42</v>
      </c>
      <c r="E6" s="19" t="s">
        <v>43</v>
      </c>
      <c r="F6" s="19" t="s">
        <v>49</v>
      </c>
      <c r="G6" s="19" t="s">
        <v>45</v>
      </c>
      <c r="H6" s="20" t="s">
        <v>46</v>
      </c>
    </row>
    <row r="7" spans="1:8" ht="25" x14ac:dyDescent="0.35">
      <c r="A7" s="18" t="s">
        <v>56</v>
      </c>
      <c r="B7" s="19" t="s">
        <v>57</v>
      </c>
      <c r="C7" s="19" t="s">
        <v>8</v>
      </c>
      <c r="D7" s="19" t="s">
        <v>42</v>
      </c>
      <c r="E7" s="19" t="s">
        <v>43</v>
      </c>
      <c r="F7" s="19" t="s">
        <v>49</v>
      </c>
      <c r="G7" s="19" t="s">
        <v>45</v>
      </c>
      <c r="H7" s="20" t="s">
        <v>58</v>
      </c>
    </row>
    <row r="8" spans="1:8" ht="25" x14ac:dyDescent="0.35">
      <c r="A8" s="18" t="s">
        <v>59</v>
      </c>
      <c r="B8" s="19" t="s">
        <v>60</v>
      </c>
      <c r="C8" s="19" t="s">
        <v>8</v>
      </c>
      <c r="D8" s="19" t="s">
        <v>42</v>
      </c>
      <c r="E8" s="19" t="s">
        <v>43</v>
      </c>
      <c r="F8" s="19" t="s">
        <v>49</v>
      </c>
      <c r="G8" s="19" t="s">
        <v>45</v>
      </c>
      <c r="H8" s="20" t="s">
        <v>58</v>
      </c>
    </row>
    <row r="9" spans="1:8" ht="25" x14ac:dyDescent="0.35">
      <c r="A9" s="18" t="s">
        <v>61</v>
      </c>
      <c r="B9" s="19" t="s">
        <v>62</v>
      </c>
      <c r="C9" s="19" t="s">
        <v>8</v>
      </c>
      <c r="D9" s="19" t="s">
        <v>42</v>
      </c>
      <c r="E9" s="19" t="s">
        <v>43</v>
      </c>
      <c r="F9" s="19" t="s">
        <v>49</v>
      </c>
      <c r="G9" s="19" t="s">
        <v>45</v>
      </c>
      <c r="H9" s="20" t="s">
        <v>46</v>
      </c>
    </row>
    <row r="10" spans="1:8" ht="25" x14ac:dyDescent="0.35">
      <c r="A10" s="18" t="s">
        <v>63</v>
      </c>
      <c r="B10" s="19" t="s">
        <v>64</v>
      </c>
      <c r="C10" s="19" t="s">
        <v>8</v>
      </c>
      <c r="D10" s="19" t="s">
        <v>42</v>
      </c>
      <c r="E10" s="19" t="s">
        <v>43</v>
      </c>
      <c r="F10" s="19" t="s">
        <v>49</v>
      </c>
      <c r="G10" s="19" t="s">
        <v>45</v>
      </c>
      <c r="H10" s="20" t="s">
        <v>46</v>
      </c>
    </row>
    <row r="11" spans="1:8" ht="25" x14ac:dyDescent="0.35">
      <c r="A11" s="18" t="s">
        <v>65</v>
      </c>
      <c r="B11" s="19" t="s">
        <v>66</v>
      </c>
      <c r="C11" s="19" t="s">
        <v>8</v>
      </c>
      <c r="D11" s="19" t="s">
        <v>42</v>
      </c>
      <c r="E11" s="19" t="s">
        <v>67</v>
      </c>
      <c r="F11" s="19" t="s">
        <v>49</v>
      </c>
      <c r="G11" s="19" t="s">
        <v>45</v>
      </c>
      <c r="H11" s="20" t="s">
        <v>46</v>
      </c>
    </row>
    <row r="12" spans="1:8" ht="25" x14ac:dyDescent="0.35">
      <c r="A12" s="18" t="s">
        <v>68</v>
      </c>
      <c r="B12" s="19" t="s">
        <v>69</v>
      </c>
      <c r="C12" s="19" t="s">
        <v>8</v>
      </c>
      <c r="D12" s="19" t="s">
        <v>42</v>
      </c>
      <c r="E12" s="19" t="s">
        <v>70</v>
      </c>
      <c r="F12" s="19" t="s">
        <v>49</v>
      </c>
      <c r="G12" s="19" t="s">
        <v>45</v>
      </c>
      <c r="H12" s="20" t="s">
        <v>46</v>
      </c>
    </row>
    <row r="13" spans="1:8" ht="25" x14ac:dyDescent="0.35">
      <c r="A13" s="18" t="s">
        <v>71</v>
      </c>
      <c r="B13" s="19" t="s">
        <v>72</v>
      </c>
      <c r="C13" s="19" t="s">
        <v>8</v>
      </c>
      <c r="D13" s="19" t="s">
        <v>42</v>
      </c>
      <c r="E13" s="19" t="s">
        <v>73</v>
      </c>
      <c r="F13" s="19" t="s">
        <v>49</v>
      </c>
      <c r="G13" s="19" t="s">
        <v>45</v>
      </c>
      <c r="H13" s="20" t="s">
        <v>46</v>
      </c>
    </row>
    <row r="14" spans="1:8" ht="25" x14ac:dyDescent="0.35">
      <c r="A14" s="18" t="s">
        <v>74</v>
      </c>
      <c r="B14" s="19" t="s">
        <v>75</v>
      </c>
      <c r="C14" s="19" t="s">
        <v>8</v>
      </c>
      <c r="D14" s="19" t="s">
        <v>76</v>
      </c>
      <c r="E14" s="19" t="s">
        <v>73</v>
      </c>
      <c r="F14" s="19" t="s">
        <v>49</v>
      </c>
      <c r="G14" s="19" t="s">
        <v>45</v>
      </c>
      <c r="H14" s="20" t="s">
        <v>46</v>
      </c>
    </row>
    <row r="15" spans="1:8" ht="25" x14ac:dyDescent="0.35">
      <c r="A15" s="21" t="s">
        <v>77</v>
      </c>
      <c r="B15" s="22" t="s">
        <v>78</v>
      </c>
      <c r="C15" s="22" t="s">
        <v>6</v>
      </c>
      <c r="D15" s="22" t="s">
        <v>79</v>
      </c>
      <c r="E15" s="22" t="s">
        <v>80</v>
      </c>
      <c r="F15" s="22" t="s">
        <v>81</v>
      </c>
      <c r="G15" s="22" t="s">
        <v>45</v>
      </c>
      <c r="H15" s="23" t="s">
        <v>46</v>
      </c>
    </row>
    <row r="16" spans="1:8" ht="25" x14ac:dyDescent="0.35">
      <c r="A16" s="21" t="s">
        <v>82</v>
      </c>
      <c r="B16" s="22" t="s">
        <v>83</v>
      </c>
      <c r="C16" s="22" t="s">
        <v>6</v>
      </c>
      <c r="D16" s="22" t="s">
        <v>79</v>
      </c>
      <c r="E16" s="22" t="s">
        <v>80</v>
      </c>
      <c r="F16" s="22" t="s">
        <v>81</v>
      </c>
      <c r="G16" s="22" t="s">
        <v>45</v>
      </c>
      <c r="H16" s="23" t="s">
        <v>46</v>
      </c>
    </row>
    <row r="17" spans="1:8" ht="37.5" x14ac:dyDescent="0.35">
      <c r="A17" s="18" t="s">
        <v>84</v>
      </c>
      <c r="B17" s="19" t="s">
        <v>85</v>
      </c>
      <c r="C17" s="19" t="s">
        <v>8</v>
      </c>
      <c r="D17" s="19" t="s">
        <v>76</v>
      </c>
      <c r="E17" s="19" t="s">
        <v>86</v>
      </c>
      <c r="F17" s="19" t="s">
        <v>87</v>
      </c>
      <c r="G17" s="19" t="s">
        <v>45</v>
      </c>
      <c r="H17" s="20" t="s">
        <v>46</v>
      </c>
    </row>
    <row r="18" spans="1:8" ht="25" x14ac:dyDescent="0.35">
      <c r="A18" s="18" t="s">
        <v>88</v>
      </c>
      <c r="B18" s="19" t="s">
        <v>89</v>
      </c>
      <c r="C18" s="19" t="s">
        <v>8</v>
      </c>
      <c r="D18" s="19" t="s">
        <v>76</v>
      </c>
      <c r="E18" s="19" t="s">
        <v>86</v>
      </c>
      <c r="F18" s="19" t="s">
        <v>90</v>
      </c>
      <c r="G18" s="19" t="s">
        <v>45</v>
      </c>
      <c r="H18" s="20" t="s">
        <v>46</v>
      </c>
    </row>
    <row r="19" spans="1:8" ht="25" x14ac:dyDescent="0.35">
      <c r="A19" s="18" t="s">
        <v>91</v>
      </c>
      <c r="B19" s="19" t="s">
        <v>92</v>
      </c>
      <c r="C19" s="19" t="s">
        <v>8</v>
      </c>
      <c r="D19" s="19" t="s">
        <v>76</v>
      </c>
      <c r="E19" s="19" t="s">
        <v>86</v>
      </c>
      <c r="F19" s="19" t="s">
        <v>90</v>
      </c>
      <c r="G19" s="19" t="s">
        <v>45</v>
      </c>
      <c r="H19" s="20" t="s">
        <v>46</v>
      </c>
    </row>
    <row r="20" spans="1:8" ht="25" x14ac:dyDescent="0.35">
      <c r="A20" s="18" t="s">
        <v>93</v>
      </c>
      <c r="B20" s="19" t="s">
        <v>94</v>
      </c>
      <c r="C20" s="19" t="s">
        <v>8</v>
      </c>
      <c r="D20" s="19" t="s">
        <v>76</v>
      </c>
      <c r="E20" s="19" t="s">
        <v>86</v>
      </c>
      <c r="F20" s="19" t="s">
        <v>90</v>
      </c>
      <c r="G20" s="19" t="s">
        <v>45</v>
      </c>
      <c r="H20" s="20" t="s">
        <v>46</v>
      </c>
    </row>
    <row r="21" spans="1:8" ht="25" x14ac:dyDescent="0.35">
      <c r="A21" s="18" t="s">
        <v>95</v>
      </c>
      <c r="B21" s="19" t="s">
        <v>96</v>
      </c>
      <c r="C21" s="19" t="s">
        <v>8</v>
      </c>
      <c r="D21" s="19" t="s">
        <v>76</v>
      </c>
      <c r="E21" s="19" t="s">
        <v>86</v>
      </c>
      <c r="F21" s="19" t="s">
        <v>90</v>
      </c>
      <c r="G21" s="19" t="s">
        <v>45</v>
      </c>
      <c r="H21" s="20" t="s">
        <v>46</v>
      </c>
    </row>
    <row r="22" spans="1:8" ht="25" x14ac:dyDescent="0.35">
      <c r="A22" s="18" t="s">
        <v>97</v>
      </c>
      <c r="B22" s="19" t="s">
        <v>98</v>
      </c>
      <c r="C22" s="19" t="s">
        <v>8</v>
      </c>
      <c r="D22" s="19" t="s">
        <v>76</v>
      </c>
      <c r="E22" s="19" t="s">
        <v>86</v>
      </c>
      <c r="F22" s="19" t="s">
        <v>90</v>
      </c>
      <c r="G22" s="19" t="s">
        <v>45</v>
      </c>
      <c r="H22" s="20" t="s">
        <v>46</v>
      </c>
    </row>
    <row r="23" spans="1:8" ht="25" x14ac:dyDescent="0.35">
      <c r="A23" s="18" t="s">
        <v>99</v>
      </c>
      <c r="B23" s="19" t="s">
        <v>100</v>
      </c>
      <c r="C23" s="19" t="s">
        <v>8</v>
      </c>
      <c r="D23" s="19" t="s">
        <v>76</v>
      </c>
      <c r="E23" s="19" t="s">
        <v>101</v>
      </c>
      <c r="F23" s="19" t="s">
        <v>101</v>
      </c>
      <c r="G23" s="19" t="s">
        <v>45</v>
      </c>
      <c r="H23" s="20" t="s">
        <v>46</v>
      </c>
    </row>
    <row r="24" spans="1:8" ht="25" x14ac:dyDescent="0.35">
      <c r="A24" s="18" t="s">
        <v>102</v>
      </c>
      <c r="B24" s="19" t="s">
        <v>103</v>
      </c>
      <c r="C24" s="19" t="s">
        <v>8</v>
      </c>
      <c r="D24" s="19" t="s">
        <v>76</v>
      </c>
      <c r="E24" s="19" t="s">
        <v>49</v>
      </c>
      <c r="F24" s="19" t="s">
        <v>101</v>
      </c>
      <c r="G24" s="19" t="s">
        <v>45</v>
      </c>
      <c r="H24" s="20" t="s">
        <v>46</v>
      </c>
    </row>
    <row r="25" spans="1:8" ht="25" x14ac:dyDescent="0.35">
      <c r="A25" s="18" t="s">
        <v>104</v>
      </c>
      <c r="B25" s="19" t="s">
        <v>105</v>
      </c>
      <c r="C25" s="19" t="s">
        <v>8</v>
      </c>
      <c r="D25" s="19" t="s">
        <v>76</v>
      </c>
      <c r="E25" s="19" t="s">
        <v>101</v>
      </c>
      <c r="F25" s="19" t="s">
        <v>101</v>
      </c>
      <c r="G25" s="19" t="s">
        <v>45</v>
      </c>
      <c r="H25" s="20" t="s">
        <v>46</v>
      </c>
    </row>
    <row r="26" spans="1:8" ht="25" x14ac:dyDescent="0.35">
      <c r="A26" s="21" t="s">
        <v>106</v>
      </c>
      <c r="B26" s="22" t="s">
        <v>107</v>
      </c>
      <c r="C26" s="22" t="s">
        <v>6</v>
      </c>
      <c r="D26" s="22" t="s">
        <v>79</v>
      </c>
      <c r="E26" s="22" t="s">
        <v>108</v>
      </c>
      <c r="F26" s="22" t="s">
        <v>81</v>
      </c>
      <c r="G26" s="22" t="s">
        <v>45</v>
      </c>
      <c r="H26" s="23" t="s">
        <v>58</v>
      </c>
    </row>
    <row r="27" spans="1:8" ht="25" x14ac:dyDescent="0.35">
      <c r="A27" s="21" t="s">
        <v>109</v>
      </c>
      <c r="B27" s="22" t="s">
        <v>110</v>
      </c>
      <c r="C27" s="22" t="s">
        <v>6</v>
      </c>
      <c r="D27" s="22" t="s">
        <v>79</v>
      </c>
      <c r="E27" s="22" t="s">
        <v>108</v>
      </c>
      <c r="F27" s="22" t="s">
        <v>81</v>
      </c>
      <c r="G27" s="22" t="s">
        <v>45</v>
      </c>
      <c r="H27" s="23" t="s">
        <v>58</v>
      </c>
    </row>
    <row r="28" spans="1:8" ht="25" x14ac:dyDescent="0.35">
      <c r="A28" s="21" t="s">
        <v>111</v>
      </c>
      <c r="B28" s="22" t="s">
        <v>112</v>
      </c>
      <c r="C28" s="22" t="s">
        <v>6</v>
      </c>
      <c r="D28" s="22" t="s">
        <v>79</v>
      </c>
      <c r="E28" s="22" t="s">
        <v>80</v>
      </c>
      <c r="F28" s="22" t="s">
        <v>81</v>
      </c>
      <c r="G28" s="22" t="s">
        <v>45</v>
      </c>
      <c r="H28" s="23" t="s">
        <v>58</v>
      </c>
    </row>
    <row r="29" spans="1:8" ht="25" x14ac:dyDescent="0.35">
      <c r="A29" s="21" t="s">
        <v>113</v>
      </c>
      <c r="B29" s="22" t="s">
        <v>114</v>
      </c>
      <c r="C29" s="22" t="s">
        <v>6</v>
      </c>
      <c r="D29" s="22" t="s">
        <v>79</v>
      </c>
      <c r="E29" s="22" t="s">
        <v>80</v>
      </c>
      <c r="F29" s="22" t="s">
        <v>81</v>
      </c>
      <c r="G29" s="22" t="s">
        <v>45</v>
      </c>
      <c r="H29" s="23" t="s">
        <v>46</v>
      </c>
    </row>
    <row r="30" spans="1:8" ht="25" x14ac:dyDescent="0.35">
      <c r="A30" s="18" t="s">
        <v>115</v>
      </c>
      <c r="B30" s="19" t="s">
        <v>116</v>
      </c>
      <c r="C30" s="19" t="s">
        <v>8</v>
      </c>
      <c r="D30" s="19" t="s">
        <v>117</v>
      </c>
      <c r="E30" s="19" t="s">
        <v>118</v>
      </c>
      <c r="F30" s="19" t="s">
        <v>119</v>
      </c>
      <c r="G30" s="19" t="s">
        <v>45</v>
      </c>
      <c r="H30" s="20" t="s">
        <v>46</v>
      </c>
    </row>
    <row r="31" spans="1:8" ht="37.5" x14ac:dyDescent="0.35">
      <c r="A31" s="18" t="s">
        <v>120</v>
      </c>
      <c r="B31" s="19" t="s">
        <v>121</v>
      </c>
      <c r="C31" s="19" t="s">
        <v>8</v>
      </c>
      <c r="D31" s="19" t="s">
        <v>117</v>
      </c>
      <c r="E31" s="19" t="s">
        <v>122</v>
      </c>
      <c r="F31" s="19" t="s">
        <v>123</v>
      </c>
      <c r="G31" s="19" t="s">
        <v>45</v>
      </c>
      <c r="H31" s="20" t="s">
        <v>46</v>
      </c>
    </row>
    <row r="32" spans="1:8" ht="25" x14ac:dyDescent="0.35">
      <c r="A32" s="24" t="s">
        <v>124</v>
      </c>
      <c r="B32" s="25" t="s">
        <v>125</v>
      </c>
      <c r="C32" s="25" t="s">
        <v>12</v>
      </c>
      <c r="D32" s="25" t="s">
        <v>126</v>
      </c>
      <c r="E32" s="25" t="s">
        <v>127</v>
      </c>
      <c r="F32" s="25" t="s">
        <v>128</v>
      </c>
      <c r="G32" s="25" t="s">
        <v>45</v>
      </c>
      <c r="H32" s="26" t="s">
        <v>46</v>
      </c>
    </row>
    <row r="33" spans="1:8" x14ac:dyDescent="0.35">
      <c r="A33" s="27" t="s">
        <v>129</v>
      </c>
      <c r="B33" s="28" t="s">
        <v>130</v>
      </c>
      <c r="C33" s="28" t="s">
        <v>14</v>
      </c>
      <c r="D33" s="28" t="s">
        <v>131</v>
      </c>
      <c r="E33" s="28" t="s">
        <v>132</v>
      </c>
      <c r="F33" s="28" t="s">
        <v>133</v>
      </c>
      <c r="G33" s="28" t="s">
        <v>45</v>
      </c>
      <c r="H33" s="29" t="s">
        <v>58</v>
      </c>
    </row>
    <row r="34" spans="1:8" x14ac:dyDescent="0.35">
      <c r="A34" s="24" t="s">
        <v>134</v>
      </c>
      <c r="B34" s="25" t="s">
        <v>135</v>
      </c>
      <c r="C34" s="25" t="s">
        <v>12</v>
      </c>
      <c r="D34" s="25" t="s">
        <v>136</v>
      </c>
      <c r="E34" s="25" t="s">
        <v>137</v>
      </c>
      <c r="F34" s="25" t="s">
        <v>138</v>
      </c>
      <c r="G34" s="25" t="s">
        <v>45</v>
      </c>
      <c r="H34" s="26" t="s">
        <v>58</v>
      </c>
    </row>
    <row r="35" spans="1:8" x14ac:dyDescent="0.35">
      <c r="A35" s="27" t="s">
        <v>139</v>
      </c>
      <c r="B35" s="28" t="s">
        <v>140</v>
      </c>
      <c r="C35" s="28" t="s">
        <v>14</v>
      </c>
      <c r="D35" s="28" t="s">
        <v>131</v>
      </c>
      <c r="E35" s="28" t="s">
        <v>141</v>
      </c>
      <c r="F35" s="28" t="s">
        <v>133</v>
      </c>
      <c r="G35" s="28" t="s">
        <v>45</v>
      </c>
      <c r="H35" s="29" t="s">
        <v>46</v>
      </c>
    </row>
    <row r="36" spans="1:8" x14ac:dyDescent="0.35">
      <c r="A36" s="27" t="s">
        <v>142</v>
      </c>
      <c r="B36" s="28" t="s">
        <v>143</v>
      </c>
      <c r="C36" s="28" t="s">
        <v>14</v>
      </c>
      <c r="D36" s="28" t="s">
        <v>131</v>
      </c>
      <c r="E36" s="28" t="s">
        <v>141</v>
      </c>
      <c r="F36" s="28" t="s">
        <v>133</v>
      </c>
      <c r="G36" s="28" t="s">
        <v>45</v>
      </c>
      <c r="H36" s="29" t="s">
        <v>46</v>
      </c>
    </row>
    <row r="37" spans="1:8" x14ac:dyDescent="0.35">
      <c r="A37" s="27" t="s">
        <v>144</v>
      </c>
      <c r="B37" s="28" t="s">
        <v>145</v>
      </c>
      <c r="C37" s="28" t="s">
        <v>14</v>
      </c>
      <c r="D37" s="28" t="s">
        <v>131</v>
      </c>
      <c r="E37" s="28" t="s">
        <v>141</v>
      </c>
      <c r="F37" s="28" t="s">
        <v>133</v>
      </c>
      <c r="G37" s="28" t="s">
        <v>45</v>
      </c>
      <c r="H37" s="29" t="s">
        <v>46</v>
      </c>
    </row>
    <row r="38" spans="1:8" x14ac:dyDescent="0.35">
      <c r="A38" s="27" t="s">
        <v>146</v>
      </c>
      <c r="B38" s="28" t="s">
        <v>147</v>
      </c>
      <c r="C38" s="28" t="s">
        <v>14</v>
      </c>
      <c r="D38" s="28" t="s">
        <v>131</v>
      </c>
      <c r="E38" s="28" t="s">
        <v>141</v>
      </c>
      <c r="F38" s="28" t="s">
        <v>133</v>
      </c>
      <c r="G38" s="28" t="s">
        <v>45</v>
      </c>
      <c r="H38" s="29" t="s">
        <v>46</v>
      </c>
    </row>
    <row r="39" spans="1:8" x14ac:dyDescent="0.35">
      <c r="A39" s="27" t="s">
        <v>148</v>
      </c>
      <c r="B39" s="28" t="s">
        <v>149</v>
      </c>
      <c r="C39" s="28" t="s">
        <v>14</v>
      </c>
      <c r="D39" s="28" t="s">
        <v>131</v>
      </c>
      <c r="E39" s="28" t="s">
        <v>141</v>
      </c>
      <c r="F39" s="28" t="s">
        <v>133</v>
      </c>
      <c r="G39" s="28" t="s">
        <v>45</v>
      </c>
      <c r="H39" s="29" t="s">
        <v>46</v>
      </c>
    </row>
    <row r="40" spans="1:8" x14ac:dyDescent="0.35">
      <c r="A40" s="27" t="s">
        <v>150</v>
      </c>
      <c r="B40" s="28" t="s">
        <v>151</v>
      </c>
      <c r="C40" s="28" t="s">
        <v>14</v>
      </c>
      <c r="D40" s="28" t="s">
        <v>131</v>
      </c>
      <c r="E40" s="28" t="s">
        <v>141</v>
      </c>
      <c r="F40" s="28" t="s">
        <v>133</v>
      </c>
      <c r="G40" s="28" t="s">
        <v>45</v>
      </c>
      <c r="H40" s="29" t="s">
        <v>46</v>
      </c>
    </row>
    <row r="41" spans="1:8" x14ac:dyDescent="0.35">
      <c r="A41" s="27" t="s">
        <v>152</v>
      </c>
      <c r="B41" s="28" t="s">
        <v>153</v>
      </c>
      <c r="C41" s="28" t="s">
        <v>14</v>
      </c>
      <c r="D41" s="28" t="s">
        <v>131</v>
      </c>
      <c r="E41" s="28" t="s">
        <v>132</v>
      </c>
      <c r="F41" s="28" t="s">
        <v>133</v>
      </c>
      <c r="G41" s="28" t="s">
        <v>45</v>
      </c>
      <c r="H41" s="29" t="s">
        <v>58</v>
      </c>
    </row>
    <row r="42" spans="1:8" x14ac:dyDescent="0.35">
      <c r="A42" s="27" t="s">
        <v>154</v>
      </c>
      <c r="B42" s="28" t="s">
        <v>155</v>
      </c>
      <c r="C42" s="28" t="s">
        <v>14</v>
      </c>
      <c r="D42" s="28" t="s">
        <v>131</v>
      </c>
      <c r="E42" s="28" t="s">
        <v>132</v>
      </c>
      <c r="F42" s="28" t="s">
        <v>133</v>
      </c>
      <c r="G42" s="28" t="s">
        <v>45</v>
      </c>
      <c r="H42" s="29" t="s">
        <v>46</v>
      </c>
    </row>
    <row r="43" spans="1:8" ht="25" x14ac:dyDescent="0.35">
      <c r="A43" s="18" t="s">
        <v>156</v>
      </c>
      <c r="B43" s="19" t="s">
        <v>157</v>
      </c>
      <c r="C43" s="19" t="s">
        <v>8</v>
      </c>
      <c r="D43" s="19" t="s">
        <v>117</v>
      </c>
      <c r="E43" s="19" t="s">
        <v>158</v>
      </c>
      <c r="F43" s="19" t="s">
        <v>158</v>
      </c>
      <c r="G43" s="19" t="s">
        <v>45</v>
      </c>
      <c r="H43" s="20" t="s">
        <v>46</v>
      </c>
    </row>
    <row r="44" spans="1:8" ht="25" x14ac:dyDescent="0.35">
      <c r="A44" s="18" t="s">
        <v>159</v>
      </c>
      <c r="B44" s="19" t="s">
        <v>160</v>
      </c>
      <c r="C44" s="19" t="s">
        <v>8</v>
      </c>
      <c r="D44" s="19" t="s">
        <v>117</v>
      </c>
      <c r="E44" s="19" t="s">
        <v>158</v>
      </c>
      <c r="F44" s="19" t="s">
        <v>158</v>
      </c>
      <c r="G44" s="19" t="s">
        <v>45</v>
      </c>
      <c r="H44" s="20" t="s">
        <v>46</v>
      </c>
    </row>
    <row r="45" spans="1:8" ht="25" x14ac:dyDescent="0.35">
      <c r="A45" s="18" t="s">
        <v>161</v>
      </c>
      <c r="B45" s="19" t="s">
        <v>162</v>
      </c>
      <c r="C45" s="19" t="s">
        <v>8</v>
      </c>
      <c r="D45" s="19" t="s">
        <v>117</v>
      </c>
      <c r="E45" s="19" t="s">
        <v>49</v>
      </c>
      <c r="F45" s="19" t="s">
        <v>101</v>
      </c>
      <c r="G45" s="19" t="s">
        <v>45</v>
      </c>
      <c r="H45" s="20" t="s">
        <v>46</v>
      </c>
    </row>
    <row r="46" spans="1:8" ht="25" x14ac:dyDescent="0.35">
      <c r="A46" s="24" t="s">
        <v>163</v>
      </c>
      <c r="B46" s="25" t="s">
        <v>164</v>
      </c>
      <c r="C46" s="25" t="s">
        <v>12</v>
      </c>
      <c r="D46" s="25" t="s">
        <v>165</v>
      </c>
      <c r="E46" s="25" t="s">
        <v>166</v>
      </c>
      <c r="F46" s="25" t="s">
        <v>167</v>
      </c>
      <c r="G46" s="25" t="s">
        <v>45</v>
      </c>
      <c r="H46" s="26" t="s">
        <v>58</v>
      </c>
    </row>
    <row r="47" spans="1:8" ht="25" x14ac:dyDescent="0.35">
      <c r="A47" s="24" t="s">
        <v>168</v>
      </c>
      <c r="B47" s="25" t="s">
        <v>169</v>
      </c>
      <c r="C47" s="25" t="s">
        <v>12</v>
      </c>
      <c r="D47" s="25" t="s">
        <v>165</v>
      </c>
      <c r="E47" s="25" t="s">
        <v>166</v>
      </c>
      <c r="F47" s="25" t="s">
        <v>170</v>
      </c>
      <c r="G47" s="25" t="s">
        <v>45</v>
      </c>
      <c r="H47" s="26" t="s">
        <v>58</v>
      </c>
    </row>
    <row r="48" spans="1:8" x14ac:dyDescent="0.35">
      <c r="A48" s="24" t="s">
        <v>171</v>
      </c>
      <c r="B48" s="25" t="s">
        <v>172</v>
      </c>
      <c r="C48" s="25" t="s">
        <v>12</v>
      </c>
      <c r="D48" s="25" t="s">
        <v>165</v>
      </c>
      <c r="E48" s="25" t="s">
        <v>173</v>
      </c>
      <c r="F48" s="25" t="s">
        <v>174</v>
      </c>
      <c r="G48" s="25" t="s">
        <v>45</v>
      </c>
      <c r="H48" s="26" t="s">
        <v>58</v>
      </c>
    </row>
    <row r="49" spans="1:8" x14ac:dyDescent="0.35">
      <c r="A49" s="24" t="s">
        <v>175</v>
      </c>
      <c r="B49" s="25" t="s">
        <v>176</v>
      </c>
      <c r="C49" s="25" t="s">
        <v>12</v>
      </c>
      <c r="D49" s="25" t="s">
        <v>165</v>
      </c>
      <c r="E49" s="25" t="s">
        <v>177</v>
      </c>
      <c r="F49" s="25" t="s">
        <v>174</v>
      </c>
      <c r="G49" s="25" t="s">
        <v>45</v>
      </c>
      <c r="H49" s="26" t="s">
        <v>46</v>
      </c>
    </row>
    <row r="50" spans="1:8" x14ac:dyDescent="0.35">
      <c r="A50" s="30" t="s">
        <v>178</v>
      </c>
      <c r="B50" s="31" t="s">
        <v>179</v>
      </c>
      <c r="C50" s="31" t="s">
        <v>16</v>
      </c>
      <c r="D50" s="31" t="s">
        <v>165</v>
      </c>
      <c r="E50" s="31" t="s">
        <v>180</v>
      </c>
      <c r="F50" s="31" t="s">
        <v>181</v>
      </c>
      <c r="G50" s="31" t="s">
        <v>182</v>
      </c>
      <c r="H50" s="32" t="s">
        <v>46</v>
      </c>
    </row>
    <row r="51" spans="1:8" x14ac:dyDescent="0.35">
      <c r="A51" s="30" t="s">
        <v>183</v>
      </c>
      <c r="B51" s="31" t="s">
        <v>184</v>
      </c>
      <c r="C51" s="31" t="s">
        <v>16</v>
      </c>
      <c r="D51" s="31" t="s">
        <v>165</v>
      </c>
      <c r="E51" s="31" t="s">
        <v>180</v>
      </c>
      <c r="F51" s="31" t="s">
        <v>181</v>
      </c>
      <c r="G51" s="31" t="s">
        <v>185</v>
      </c>
      <c r="H51" s="32" t="s">
        <v>46</v>
      </c>
    </row>
    <row r="52" spans="1:8" x14ac:dyDescent="0.35">
      <c r="A52" s="30" t="s">
        <v>186</v>
      </c>
      <c r="B52" s="31" t="s">
        <v>187</v>
      </c>
      <c r="C52" s="31" t="s">
        <v>16</v>
      </c>
      <c r="D52" s="31" t="s">
        <v>165</v>
      </c>
      <c r="E52" s="31" t="s">
        <v>180</v>
      </c>
      <c r="F52" s="31" t="s">
        <v>181</v>
      </c>
      <c r="G52" s="31" t="s">
        <v>188</v>
      </c>
      <c r="H52" s="32" t="s">
        <v>46</v>
      </c>
    </row>
    <row r="53" spans="1:8" x14ac:dyDescent="0.35">
      <c r="A53" s="24" t="s">
        <v>189</v>
      </c>
      <c r="B53" s="25" t="s">
        <v>190</v>
      </c>
      <c r="C53" s="25" t="s">
        <v>12</v>
      </c>
      <c r="D53" s="25" t="s">
        <v>136</v>
      </c>
      <c r="E53" s="25" t="s">
        <v>137</v>
      </c>
      <c r="F53" s="25" t="s">
        <v>138</v>
      </c>
      <c r="G53" s="25" t="s">
        <v>45</v>
      </c>
      <c r="H53" s="26" t="s">
        <v>46</v>
      </c>
    </row>
    <row r="54" spans="1:8" x14ac:dyDescent="0.35">
      <c r="A54" s="24" t="s">
        <v>191</v>
      </c>
      <c r="B54" s="25" t="s">
        <v>192</v>
      </c>
      <c r="C54" s="25" t="s">
        <v>12</v>
      </c>
      <c r="D54" s="25" t="s">
        <v>136</v>
      </c>
      <c r="E54" s="25" t="s">
        <v>193</v>
      </c>
      <c r="F54" s="25" t="s">
        <v>194</v>
      </c>
      <c r="G54" s="25" t="s">
        <v>45</v>
      </c>
      <c r="H54" s="26" t="s">
        <v>46</v>
      </c>
    </row>
    <row r="55" spans="1:8" ht="25" x14ac:dyDescent="0.35">
      <c r="A55" s="18" t="s">
        <v>195</v>
      </c>
      <c r="B55" s="19" t="s">
        <v>196</v>
      </c>
      <c r="C55" s="19" t="s">
        <v>8</v>
      </c>
      <c r="D55" s="19" t="s">
        <v>197</v>
      </c>
      <c r="E55" s="19" t="s">
        <v>198</v>
      </c>
      <c r="F55" s="19" t="s">
        <v>101</v>
      </c>
      <c r="G55" s="19" t="s">
        <v>45</v>
      </c>
      <c r="H55" s="20" t="s">
        <v>58</v>
      </c>
    </row>
    <row r="56" spans="1:8" ht="25" x14ac:dyDescent="0.35">
      <c r="A56" s="18" t="s">
        <v>199</v>
      </c>
      <c r="B56" s="19" t="s">
        <v>200</v>
      </c>
      <c r="C56" s="19" t="s">
        <v>8</v>
      </c>
      <c r="D56" s="19" t="s">
        <v>197</v>
      </c>
      <c r="E56" s="19" t="s">
        <v>70</v>
      </c>
      <c r="F56" s="19" t="s">
        <v>101</v>
      </c>
      <c r="G56" s="19" t="s">
        <v>45</v>
      </c>
      <c r="H56" s="20" t="s">
        <v>58</v>
      </c>
    </row>
    <row r="57" spans="1:8" ht="25" x14ac:dyDescent="0.35">
      <c r="A57" s="18" t="s">
        <v>201</v>
      </c>
      <c r="B57" s="19" t="s">
        <v>202</v>
      </c>
      <c r="C57" s="19" t="s">
        <v>8</v>
      </c>
      <c r="D57" s="19" t="s">
        <v>197</v>
      </c>
      <c r="E57" s="19" t="s">
        <v>203</v>
      </c>
      <c r="F57" s="19" t="s">
        <v>101</v>
      </c>
      <c r="G57" s="19" t="s">
        <v>45</v>
      </c>
      <c r="H57" s="20" t="s">
        <v>58</v>
      </c>
    </row>
    <row r="58" spans="1:8" x14ac:dyDescent="0.35">
      <c r="A58" s="27" t="s">
        <v>204</v>
      </c>
      <c r="B58" s="28" t="s">
        <v>205</v>
      </c>
      <c r="C58" s="28" t="s">
        <v>14</v>
      </c>
      <c r="D58" s="28" t="s">
        <v>131</v>
      </c>
      <c r="E58" s="28" t="s">
        <v>141</v>
      </c>
      <c r="F58" s="28" t="s">
        <v>133</v>
      </c>
      <c r="G58" s="28" t="s">
        <v>45</v>
      </c>
      <c r="H58" s="29" t="s">
        <v>58</v>
      </c>
    </row>
    <row r="59" spans="1:8" x14ac:dyDescent="0.35">
      <c r="A59" s="24" t="s">
        <v>206</v>
      </c>
      <c r="B59" s="25" t="s">
        <v>207</v>
      </c>
      <c r="C59" s="25" t="s">
        <v>12</v>
      </c>
      <c r="D59" s="25" t="s">
        <v>208</v>
      </c>
      <c r="E59" s="25" t="s">
        <v>209</v>
      </c>
      <c r="F59" s="25" t="s">
        <v>210</v>
      </c>
      <c r="G59" s="25" t="s">
        <v>45</v>
      </c>
      <c r="H59" s="26" t="s">
        <v>58</v>
      </c>
    </row>
    <row r="60" spans="1:8" ht="25" x14ac:dyDescent="0.35">
      <c r="A60" s="18" t="s">
        <v>211</v>
      </c>
      <c r="B60" s="19" t="s">
        <v>212</v>
      </c>
      <c r="C60" s="19" t="s">
        <v>8</v>
      </c>
      <c r="D60" s="19" t="s">
        <v>213</v>
      </c>
      <c r="E60" s="19" t="s">
        <v>214</v>
      </c>
      <c r="F60" s="19" t="s">
        <v>101</v>
      </c>
      <c r="G60" s="19" t="s">
        <v>45</v>
      </c>
      <c r="H60" s="20" t="s">
        <v>46</v>
      </c>
    </row>
    <row r="61" spans="1:8" ht="25" x14ac:dyDescent="0.35">
      <c r="A61" s="18" t="s">
        <v>215</v>
      </c>
      <c r="B61" s="19" t="s">
        <v>216</v>
      </c>
      <c r="C61" s="19" t="s">
        <v>8</v>
      </c>
      <c r="D61" s="19" t="s">
        <v>213</v>
      </c>
      <c r="E61" s="19" t="s">
        <v>214</v>
      </c>
      <c r="F61" s="19" t="s">
        <v>101</v>
      </c>
      <c r="G61" s="19" t="s">
        <v>45</v>
      </c>
      <c r="H61" s="20" t="s">
        <v>46</v>
      </c>
    </row>
    <row r="62" spans="1:8" ht="25" x14ac:dyDescent="0.35">
      <c r="A62" s="18" t="s">
        <v>217</v>
      </c>
      <c r="B62" s="19" t="s">
        <v>218</v>
      </c>
      <c r="C62" s="19" t="s">
        <v>8</v>
      </c>
      <c r="D62" s="19" t="s">
        <v>213</v>
      </c>
      <c r="E62" s="19" t="s">
        <v>214</v>
      </c>
      <c r="F62" s="19" t="s">
        <v>101</v>
      </c>
      <c r="G62" s="19" t="s">
        <v>45</v>
      </c>
      <c r="H62" s="20" t="s">
        <v>46</v>
      </c>
    </row>
    <row r="63" spans="1:8" ht="25" x14ac:dyDescent="0.35">
      <c r="A63" s="18" t="s">
        <v>219</v>
      </c>
      <c r="B63" s="19" t="s">
        <v>220</v>
      </c>
      <c r="C63" s="19" t="s">
        <v>8</v>
      </c>
      <c r="D63" s="19" t="s">
        <v>213</v>
      </c>
      <c r="E63" s="19" t="s">
        <v>214</v>
      </c>
      <c r="F63" s="19" t="s">
        <v>101</v>
      </c>
      <c r="G63" s="19" t="s">
        <v>45</v>
      </c>
      <c r="H63" s="20" t="s">
        <v>46</v>
      </c>
    </row>
    <row r="64" spans="1:8" ht="25" x14ac:dyDescent="0.35">
      <c r="A64" s="18" t="s">
        <v>221</v>
      </c>
      <c r="B64" s="19" t="s">
        <v>222</v>
      </c>
      <c r="C64" s="19" t="s">
        <v>8</v>
      </c>
      <c r="D64" s="19" t="s">
        <v>213</v>
      </c>
      <c r="E64" s="19" t="s">
        <v>214</v>
      </c>
      <c r="F64" s="19" t="s">
        <v>101</v>
      </c>
      <c r="G64" s="19" t="s">
        <v>45</v>
      </c>
      <c r="H64" s="20" t="s">
        <v>46</v>
      </c>
    </row>
    <row r="65" spans="1:8" x14ac:dyDescent="0.35">
      <c r="A65" s="30" t="s">
        <v>223</v>
      </c>
      <c r="B65" s="31" t="s">
        <v>224</v>
      </c>
      <c r="C65" s="31" t="s">
        <v>16</v>
      </c>
      <c r="D65" s="31" t="s">
        <v>225</v>
      </c>
      <c r="E65" s="31" t="s">
        <v>180</v>
      </c>
      <c r="F65" s="31" t="s">
        <v>181</v>
      </c>
      <c r="G65" s="31" t="s">
        <v>226</v>
      </c>
      <c r="H65" s="32" t="s">
        <v>46</v>
      </c>
    </row>
    <row r="66" spans="1:8" x14ac:dyDescent="0.35">
      <c r="A66" s="30" t="s">
        <v>227</v>
      </c>
      <c r="B66" s="31" t="s">
        <v>228</v>
      </c>
      <c r="C66" s="31" t="s">
        <v>16</v>
      </c>
      <c r="D66" s="31" t="s">
        <v>225</v>
      </c>
      <c r="E66" s="31" t="s">
        <v>180</v>
      </c>
      <c r="F66" s="31" t="s">
        <v>181</v>
      </c>
      <c r="G66" s="31" t="s">
        <v>229</v>
      </c>
      <c r="H66" s="32" t="s">
        <v>46</v>
      </c>
    </row>
    <row r="67" spans="1:8" x14ac:dyDescent="0.35">
      <c r="A67" s="30" t="s">
        <v>230</v>
      </c>
      <c r="B67" s="31" t="s">
        <v>231</v>
      </c>
      <c r="C67" s="31" t="s">
        <v>16</v>
      </c>
      <c r="D67" s="31" t="s">
        <v>225</v>
      </c>
      <c r="E67" s="31" t="s">
        <v>180</v>
      </c>
      <c r="F67" s="31" t="s">
        <v>181</v>
      </c>
      <c r="G67" s="31" t="s">
        <v>232</v>
      </c>
      <c r="H67" s="32" t="s">
        <v>46</v>
      </c>
    </row>
    <row r="68" spans="1:8" x14ac:dyDescent="0.35">
      <c r="A68" s="30" t="s">
        <v>233</v>
      </c>
      <c r="B68" s="31" t="s">
        <v>234</v>
      </c>
      <c r="C68" s="31" t="s">
        <v>16</v>
      </c>
      <c r="D68" s="31" t="s">
        <v>225</v>
      </c>
      <c r="E68" s="31" t="s">
        <v>180</v>
      </c>
      <c r="F68" s="31" t="s">
        <v>181</v>
      </c>
      <c r="G68" s="31" t="s">
        <v>232</v>
      </c>
      <c r="H68" s="32" t="s">
        <v>46</v>
      </c>
    </row>
    <row r="69" spans="1:8" x14ac:dyDescent="0.35">
      <c r="A69" s="30" t="s">
        <v>235</v>
      </c>
      <c r="B69" s="31" t="s">
        <v>236</v>
      </c>
      <c r="C69" s="31" t="s">
        <v>16</v>
      </c>
      <c r="D69" s="31" t="s">
        <v>225</v>
      </c>
      <c r="E69" s="31" t="s">
        <v>180</v>
      </c>
      <c r="F69" s="31" t="s">
        <v>181</v>
      </c>
      <c r="G69" s="31" t="s">
        <v>232</v>
      </c>
      <c r="H69" s="32" t="s">
        <v>46</v>
      </c>
    </row>
    <row r="70" spans="1:8" x14ac:dyDescent="0.35">
      <c r="A70" s="30" t="s">
        <v>237</v>
      </c>
      <c r="B70" s="31" t="s">
        <v>238</v>
      </c>
      <c r="C70" s="31" t="s">
        <v>16</v>
      </c>
      <c r="D70" s="31" t="s">
        <v>225</v>
      </c>
      <c r="E70" s="31" t="s">
        <v>180</v>
      </c>
      <c r="F70" s="31" t="s">
        <v>181</v>
      </c>
      <c r="G70" s="31" t="s">
        <v>239</v>
      </c>
      <c r="H70" s="32" t="s">
        <v>46</v>
      </c>
    </row>
    <row r="71" spans="1:8" x14ac:dyDescent="0.35">
      <c r="A71" s="30" t="s">
        <v>240</v>
      </c>
      <c r="B71" s="31" t="s">
        <v>241</v>
      </c>
      <c r="C71" s="31" t="s">
        <v>16</v>
      </c>
      <c r="D71" s="31" t="s">
        <v>225</v>
      </c>
      <c r="E71" s="31" t="s">
        <v>180</v>
      </c>
      <c r="F71" s="31" t="s">
        <v>181</v>
      </c>
      <c r="G71" s="31" t="s">
        <v>242</v>
      </c>
      <c r="H71" s="32" t="s">
        <v>46</v>
      </c>
    </row>
    <row r="72" spans="1:8" x14ac:dyDescent="0.35">
      <c r="A72" s="30" t="s">
        <v>243</v>
      </c>
      <c r="B72" s="31" t="s">
        <v>244</v>
      </c>
      <c r="C72" s="31" t="s">
        <v>16</v>
      </c>
      <c r="D72" s="31" t="s">
        <v>225</v>
      </c>
      <c r="E72" s="31" t="s">
        <v>180</v>
      </c>
      <c r="F72" s="31" t="s">
        <v>181</v>
      </c>
      <c r="G72" s="31" t="s">
        <v>245</v>
      </c>
      <c r="H72" s="32" t="s">
        <v>46</v>
      </c>
    </row>
    <row r="73" spans="1:8" x14ac:dyDescent="0.35">
      <c r="A73" s="30" t="s">
        <v>246</v>
      </c>
      <c r="B73" s="31" t="s">
        <v>247</v>
      </c>
      <c r="C73" s="31" t="s">
        <v>16</v>
      </c>
      <c r="D73" s="31" t="s">
        <v>225</v>
      </c>
      <c r="E73" s="31" t="s">
        <v>180</v>
      </c>
      <c r="F73" s="31" t="s">
        <v>181</v>
      </c>
      <c r="G73" s="31" t="s">
        <v>248</v>
      </c>
      <c r="H73" s="32" t="s">
        <v>46</v>
      </c>
    </row>
    <row r="74" spans="1:8" ht="25" x14ac:dyDescent="0.35">
      <c r="A74" s="18" t="s">
        <v>249</v>
      </c>
      <c r="B74" s="19" t="s">
        <v>250</v>
      </c>
      <c r="C74" s="19" t="s">
        <v>8</v>
      </c>
      <c r="D74" s="19" t="s">
        <v>251</v>
      </c>
      <c r="E74" s="19" t="s">
        <v>252</v>
      </c>
      <c r="F74" s="19" t="s">
        <v>101</v>
      </c>
      <c r="G74" s="19" t="s">
        <v>45</v>
      </c>
      <c r="H74" s="20" t="s">
        <v>46</v>
      </c>
    </row>
    <row r="75" spans="1:8" ht="25" x14ac:dyDescent="0.35">
      <c r="A75" s="18" t="s">
        <v>253</v>
      </c>
      <c r="B75" s="19" t="s">
        <v>254</v>
      </c>
      <c r="C75" s="19" t="s">
        <v>8</v>
      </c>
      <c r="D75" s="19" t="s">
        <v>251</v>
      </c>
      <c r="E75" s="19" t="s">
        <v>252</v>
      </c>
      <c r="F75" s="19" t="s">
        <v>101</v>
      </c>
      <c r="G75" s="19" t="s">
        <v>45</v>
      </c>
      <c r="H75" s="20" t="s">
        <v>46</v>
      </c>
    </row>
    <row r="76" spans="1:8" ht="25" x14ac:dyDescent="0.35">
      <c r="A76" s="18" t="s">
        <v>255</v>
      </c>
      <c r="B76" s="19" t="s">
        <v>256</v>
      </c>
      <c r="C76" s="19" t="s">
        <v>8</v>
      </c>
      <c r="D76" s="19" t="s">
        <v>251</v>
      </c>
      <c r="E76" s="19" t="s">
        <v>252</v>
      </c>
      <c r="F76" s="19" t="s">
        <v>101</v>
      </c>
      <c r="G76" s="19" t="s">
        <v>45</v>
      </c>
      <c r="H76" s="20" t="s">
        <v>46</v>
      </c>
    </row>
    <row r="77" spans="1:8" x14ac:dyDescent="0.35">
      <c r="A77" s="24" t="s">
        <v>257</v>
      </c>
      <c r="B77" s="25" t="s">
        <v>258</v>
      </c>
      <c r="C77" s="25" t="s">
        <v>12</v>
      </c>
      <c r="D77" s="25" t="s">
        <v>208</v>
      </c>
      <c r="E77" s="25" t="s">
        <v>259</v>
      </c>
      <c r="F77" s="25" t="s">
        <v>260</v>
      </c>
      <c r="G77" s="25" t="s">
        <v>45</v>
      </c>
      <c r="H77" s="26" t="s">
        <v>46</v>
      </c>
    </row>
    <row r="78" spans="1:8" x14ac:dyDescent="0.35">
      <c r="A78" s="24" t="s">
        <v>261</v>
      </c>
      <c r="B78" s="25" t="s">
        <v>262</v>
      </c>
      <c r="C78" s="25" t="s">
        <v>12</v>
      </c>
      <c r="D78" s="25" t="s">
        <v>208</v>
      </c>
      <c r="E78" s="25" t="s">
        <v>263</v>
      </c>
      <c r="F78" s="25" t="s">
        <v>260</v>
      </c>
      <c r="G78" s="25" t="s">
        <v>45</v>
      </c>
      <c r="H78" s="26" t="s">
        <v>46</v>
      </c>
    </row>
    <row r="79" spans="1:8" x14ac:dyDescent="0.35">
      <c r="A79" s="24" t="s">
        <v>264</v>
      </c>
      <c r="B79" s="25" t="s">
        <v>265</v>
      </c>
      <c r="C79" s="25" t="s">
        <v>12</v>
      </c>
      <c r="D79" s="25" t="s">
        <v>208</v>
      </c>
      <c r="E79" s="25" t="s">
        <v>209</v>
      </c>
      <c r="F79" s="25" t="s">
        <v>210</v>
      </c>
      <c r="G79" s="25" t="s">
        <v>45</v>
      </c>
      <c r="H79" s="26" t="s">
        <v>46</v>
      </c>
    </row>
    <row r="80" spans="1:8" x14ac:dyDescent="0.35">
      <c r="A80" s="30" t="s">
        <v>266</v>
      </c>
      <c r="B80" s="31" t="s">
        <v>267</v>
      </c>
      <c r="C80" s="31" t="s">
        <v>16</v>
      </c>
      <c r="D80" s="31" t="s">
        <v>268</v>
      </c>
      <c r="E80" s="31" t="s">
        <v>180</v>
      </c>
      <c r="F80" s="31" t="s">
        <v>181</v>
      </c>
      <c r="G80" s="31" t="s">
        <v>269</v>
      </c>
      <c r="H80" s="32" t="s">
        <v>46</v>
      </c>
    </row>
    <row r="81" spans="1:8" x14ac:dyDescent="0.35">
      <c r="A81" s="30" t="s">
        <v>270</v>
      </c>
      <c r="B81" s="31" t="s">
        <v>271</v>
      </c>
      <c r="C81" s="31" t="s">
        <v>16</v>
      </c>
      <c r="D81" s="31" t="s">
        <v>268</v>
      </c>
      <c r="E81" s="31" t="s">
        <v>180</v>
      </c>
      <c r="F81" s="31" t="s">
        <v>181</v>
      </c>
      <c r="G81" s="31" t="s">
        <v>272</v>
      </c>
      <c r="H81" s="32" t="s">
        <v>46</v>
      </c>
    </row>
    <row r="82" spans="1:8" x14ac:dyDescent="0.35">
      <c r="A82" s="30" t="s">
        <v>273</v>
      </c>
      <c r="B82" s="31" t="s">
        <v>274</v>
      </c>
      <c r="C82" s="31" t="s">
        <v>16</v>
      </c>
      <c r="D82" s="31" t="s">
        <v>268</v>
      </c>
      <c r="E82" s="31" t="s">
        <v>180</v>
      </c>
      <c r="F82" s="31" t="s">
        <v>181</v>
      </c>
      <c r="G82" s="31" t="s">
        <v>275</v>
      </c>
      <c r="H82" s="32" t="s">
        <v>46</v>
      </c>
    </row>
    <row r="83" spans="1:8" x14ac:dyDescent="0.35">
      <c r="A83" s="30" t="s">
        <v>276</v>
      </c>
      <c r="B83" s="31" t="s">
        <v>277</v>
      </c>
      <c r="C83" s="31" t="s">
        <v>16</v>
      </c>
      <c r="D83" s="31" t="s">
        <v>268</v>
      </c>
      <c r="E83" s="31" t="s">
        <v>180</v>
      </c>
      <c r="F83" s="31" t="s">
        <v>181</v>
      </c>
      <c r="G83" s="31" t="s">
        <v>278</v>
      </c>
      <c r="H83" s="32" t="s">
        <v>46</v>
      </c>
    </row>
    <row r="84" spans="1:8" ht="25" x14ac:dyDescent="0.35">
      <c r="A84" s="30" t="s">
        <v>279</v>
      </c>
      <c r="B84" s="31" t="s">
        <v>280</v>
      </c>
      <c r="C84" s="31" t="s">
        <v>16</v>
      </c>
      <c r="D84" s="31" t="s">
        <v>268</v>
      </c>
      <c r="E84" s="31" t="s">
        <v>180</v>
      </c>
      <c r="F84" s="31" t="s">
        <v>181</v>
      </c>
      <c r="G84" s="31" t="s">
        <v>281</v>
      </c>
      <c r="H84" s="32" t="s">
        <v>46</v>
      </c>
    </row>
    <row r="85" spans="1:8" x14ac:dyDescent="0.35">
      <c r="A85" s="30" t="s">
        <v>282</v>
      </c>
      <c r="B85" s="31" t="s">
        <v>283</v>
      </c>
      <c r="C85" s="31" t="s">
        <v>16</v>
      </c>
      <c r="D85" s="31" t="s">
        <v>268</v>
      </c>
      <c r="E85" s="31" t="s">
        <v>180</v>
      </c>
      <c r="F85" s="31" t="s">
        <v>181</v>
      </c>
      <c r="G85" s="31" t="s">
        <v>284</v>
      </c>
      <c r="H85" s="32" t="s">
        <v>46</v>
      </c>
    </row>
    <row r="86" spans="1:8" x14ac:dyDescent="0.35">
      <c r="A86" s="30" t="s">
        <v>285</v>
      </c>
      <c r="B86" s="31" t="s">
        <v>286</v>
      </c>
      <c r="C86" s="31" t="s">
        <v>16</v>
      </c>
      <c r="D86" s="31" t="s">
        <v>268</v>
      </c>
      <c r="E86" s="31" t="s">
        <v>180</v>
      </c>
      <c r="F86" s="31" t="s">
        <v>181</v>
      </c>
      <c r="G86" s="31" t="s">
        <v>287</v>
      </c>
      <c r="H86" s="32" t="s">
        <v>46</v>
      </c>
    </row>
    <row r="87" spans="1:8" x14ac:dyDescent="0.35">
      <c r="A87" s="30" t="s">
        <v>288</v>
      </c>
      <c r="B87" s="31" t="s">
        <v>289</v>
      </c>
      <c r="C87" s="31" t="s">
        <v>16</v>
      </c>
      <c r="D87" s="31" t="s">
        <v>268</v>
      </c>
      <c r="E87" s="31" t="s">
        <v>180</v>
      </c>
      <c r="F87" s="31" t="s">
        <v>181</v>
      </c>
      <c r="G87" s="31" t="s">
        <v>285</v>
      </c>
      <c r="H87" s="32" t="s">
        <v>46</v>
      </c>
    </row>
    <row r="88" spans="1:8" ht="25" x14ac:dyDescent="0.35">
      <c r="A88" s="21" t="s">
        <v>290</v>
      </c>
      <c r="B88" s="22" t="s">
        <v>291</v>
      </c>
      <c r="C88" s="22" t="s">
        <v>6</v>
      </c>
      <c r="D88" s="22" t="s">
        <v>79</v>
      </c>
      <c r="E88" s="22" t="s">
        <v>80</v>
      </c>
      <c r="F88" s="22" t="s">
        <v>81</v>
      </c>
      <c r="G88" s="22" t="s">
        <v>45</v>
      </c>
      <c r="H88" s="23" t="s">
        <v>46</v>
      </c>
    </row>
    <row r="89" spans="1:8" x14ac:dyDescent="0.35">
      <c r="A89" s="30" t="s">
        <v>292</v>
      </c>
      <c r="B89" s="31" t="s">
        <v>293</v>
      </c>
      <c r="C89" s="31" t="s">
        <v>16</v>
      </c>
      <c r="D89" s="31" t="s">
        <v>294</v>
      </c>
      <c r="E89" s="31" t="s">
        <v>180</v>
      </c>
      <c r="F89" s="31" t="s">
        <v>181</v>
      </c>
      <c r="G89" s="31" t="s">
        <v>290</v>
      </c>
      <c r="H89" s="32" t="s">
        <v>46</v>
      </c>
    </row>
    <row r="90" spans="1:8" ht="25" x14ac:dyDescent="0.35">
      <c r="A90" s="18" t="s">
        <v>295</v>
      </c>
      <c r="B90" s="19" t="s">
        <v>296</v>
      </c>
      <c r="C90" s="19" t="s">
        <v>8</v>
      </c>
      <c r="D90" s="19" t="s">
        <v>294</v>
      </c>
      <c r="E90" s="19" t="s">
        <v>67</v>
      </c>
      <c r="F90" s="19" t="s">
        <v>101</v>
      </c>
      <c r="G90" s="19" t="s">
        <v>45</v>
      </c>
      <c r="H90" s="20" t="s">
        <v>46</v>
      </c>
    </row>
    <row r="91" spans="1:8" ht="25" x14ac:dyDescent="0.35">
      <c r="A91" s="18" t="s">
        <v>297</v>
      </c>
      <c r="B91" s="19" t="s">
        <v>298</v>
      </c>
      <c r="C91" s="19" t="s">
        <v>8</v>
      </c>
      <c r="D91" s="19" t="s">
        <v>294</v>
      </c>
      <c r="E91" s="19" t="s">
        <v>67</v>
      </c>
      <c r="F91" s="19" t="s">
        <v>101</v>
      </c>
      <c r="G91" s="19" t="s">
        <v>45</v>
      </c>
      <c r="H91" s="20" t="s">
        <v>46</v>
      </c>
    </row>
    <row r="92" spans="1:8" x14ac:dyDescent="0.35">
      <c r="A92" s="30" t="s">
        <v>299</v>
      </c>
      <c r="B92" s="31" t="s">
        <v>300</v>
      </c>
      <c r="C92" s="31" t="s">
        <v>16</v>
      </c>
      <c r="D92" s="31" t="s">
        <v>294</v>
      </c>
      <c r="E92" s="31" t="s">
        <v>180</v>
      </c>
      <c r="F92" s="31" t="s">
        <v>181</v>
      </c>
      <c r="G92" s="31" t="s">
        <v>301</v>
      </c>
      <c r="H92" s="32" t="s">
        <v>46</v>
      </c>
    </row>
    <row r="93" spans="1:8" ht="25" x14ac:dyDescent="0.35">
      <c r="A93" s="18" t="s">
        <v>302</v>
      </c>
      <c r="B93" s="19" t="s">
        <v>303</v>
      </c>
      <c r="C93" s="19" t="s">
        <v>8</v>
      </c>
      <c r="D93" s="19" t="s">
        <v>294</v>
      </c>
      <c r="E93" s="19" t="s">
        <v>67</v>
      </c>
      <c r="F93" s="19" t="s">
        <v>194</v>
      </c>
      <c r="G93" s="19" t="s">
        <v>45</v>
      </c>
      <c r="H93" s="20" t="s">
        <v>46</v>
      </c>
    </row>
    <row r="94" spans="1:8" ht="25" x14ac:dyDescent="0.35">
      <c r="A94" s="18" t="s">
        <v>304</v>
      </c>
      <c r="B94" s="19" t="s">
        <v>305</v>
      </c>
      <c r="C94" s="19" t="s">
        <v>8</v>
      </c>
      <c r="D94" s="19" t="s">
        <v>294</v>
      </c>
      <c r="E94" s="19" t="s">
        <v>306</v>
      </c>
      <c r="F94" s="19" t="s">
        <v>194</v>
      </c>
      <c r="G94" s="19" t="s">
        <v>45</v>
      </c>
      <c r="H94" s="20" t="s">
        <v>46</v>
      </c>
    </row>
    <row r="95" spans="1:8" x14ac:dyDescent="0.35">
      <c r="A95" s="30" t="s">
        <v>307</v>
      </c>
      <c r="B95" s="31" t="s">
        <v>308</v>
      </c>
      <c r="C95" s="31" t="s">
        <v>16</v>
      </c>
      <c r="D95" s="31" t="s">
        <v>294</v>
      </c>
      <c r="E95" s="31" t="s">
        <v>180</v>
      </c>
      <c r="F95" s="31" t="s">
        <v>181</v>
      </c>
      <c r="G95" s="31" t="s">
        <v>309</v>
      </c>
      <c r="H95" s="32" t="s">
        <v>46</v>
      </c>
    </row>
    <row r="96" spans="1:8" ht="25" x14ac:dyDescent="0.35">
      <c r="A96" s="18" t="s">
        <v>310</v>
      </c>
      <c r="B96" s="19" t="s">
        <v>311</v>
      </c>
      <c r="C96" s="19" t="s">
        <v>8</v>
      </c>
      <c r="D96" s="19" t="s">
        <v>312</v>
      </c>
      <c r="E96" s="19" t="s">
        <v>313</v>
      </c>
      <c r="F96" s="19" t="s">
        <v>101</v>
      </c>
      <c r="G96" s="19" t="s">
        <v>45</v>
      </c>
      <c r="H96" s="20" t="s">
        <v>46</v>
      </c>
    </row>
    <row r="97" spans="1:8" x14ac:dyDescent="0.35">
      <c r="A97" s="24" t="s">
        <v>314</v>
      </c>
      <c r="B97" s="25" t="s">
        <v>315</v>
      </c>
      <c r="C97" s="25" t="s">
        <v>12</v>
      </c>
      <c r="D97" s="25" t="s">
        <v>312</v>
      </c>
      <c r="E97" s="25" t="s">
        <v>316</v>
      </c>
      <c r="F97" s="25" t="s">
        <v>174</v>
      </c>
      <c r="G97" s="25" t="s">
        <v>45</v>
      </c>
      <c r="H97" s="26" t="s">
        <v>58</v>
      </c>
    </row>
    <row r="98" spans="1:8" x14ac:dyDescent="0.35">
      <c r="A98" s="30" t="s">
        <v>317</v>
      </c>
      <c r="B98" s="31" t="s">
        <v>318</v>
      </c>
      <c r="C98" s="31" t="s">
        <v>16</v>
      </c>
      <c r="D98" s="31" t="s">
        <v>312</v>
      </c>
      <c r="E98" s="31" t="s">
        <v>180</v>
      </c>
      <c r="F98" s="31" t="s">
        <v>181</v>
      </c>
      <c r="G98" s="31" t="s">
        <v>314</v>
      </c>
      <c r="H98" s="32" t="s">
        <v>46</v>
      </c>
    </row>
    <row r="99" spans="1:8" x14ac:dyDescent="0.35">
      <c r="A99" s="30" t="s">
        <v>319</v>
      </c>
      <c r="B99" s="31" t="s">
        <v>320</v>
      </c>
      <c r="C99" s="31" t="s">
        <v>16</v>
      </c>
      <c r="D99" s="31" t="s">
        <v>312</v>
      </c>
      <c r="E99" s="31" t="s">
        <v>180</v>
      </c>
      <c r="F99" s="31" t="s">
        <v>181</v>
      </c>
      <c r="G99" s="31" t="s">
        <v>321</v>
      </c>
      <c r="H99" s="32" t="s">
        <v>46</v>
      </c>
    </row>
    <row r="100" spans="1:8" x14ac:dyDescent="0.35">
      <c r="A100" s="30" t="s">
        <v>322</v>
      </c>
      <c r="B100" s="31" t="s">
        <v>323</v>
      </c>
      <c r="C100" s="31" t="s">
        <v>16</v>
      </c>
      <c r="D100" s="31" t="s">
        <v>324</v>
      </c>
      <c r="E100" s="31" t="s">
        <v>180</v>
      </c>
      <c r="F100" s="31" t="s">
        <v>181</v>
      </c>
      <c r="G100" s="31" t="s">
        <v>325</v>
      </c>
      <c r="H100" s="32" t="s">
        <v>46</v>
      </c>
    </row>
    <row r="101" spans="1:8" x14ac:dyDescent="0.35">
      <c r="A101" s="30" t="s">
        <v>326</v>
      </c>
      <c r="B101" s="31" t="s">
        <v>327</v>
      </c>
      <c r="C101" s="31" t="s">
        <v>16</v>
      </c>
      <c r="D101" s="31" t="s">
        <v>324</v>
      </c>
      <c r="E101" s="31" t="s">
        <v>180</v>
      </c>
      <c r="F101" s="31" t="s">
        <v>181</v>
      </c>
      <c r="G101" s="31" t="s">
        <v>322</v>
      </c>
      <c r="H101" s="32" t="s">
        <v>46</v>
      </c>
    </row>
    <row r="102" spans="1:8" ht="25" x14ac:dyDescent="0.35">
      <c r="A102" s="33" t="s">
        <v>328</v>
      </c>
      <c r="B102" s="34" t="s">
        <v>329</v>
      </c>
      <c r="C102" s="34" t="s">
        <v>10</v>
      </c>
      <c r="D102" s="34" t="s">
        <v>330</v>
      </c>
      <c r="E102" s="34" t="s">
        <v>331</v>
      </c>
      <c r="F102" s="34" t="s">
        <v>260</v>
      </c>
      <c r="G102" s="34" t="s">
        <v>45</v>
      </c>
      <c r="H102" s="35" t="s">
        <v>46</v>
      </c>
    </row>
    <row r="103" spans="1:8" ht="25" x14ac:dyDescent="0.35">
      <c r="A103" s="33" t="s">
        <v>332</v>
      </c>
      <c r="B103" s="34" t="s">
        <v>333</v>
      </c>
      <c r="C103" s="34" t="s">
        <v>10</v>
      </c>
      <c r="D103" s="34" t="s">
        <v>330</v>
      </c>
      <c r="E103" s="34" t="s">
        <v>331</v>
      </c>
      <c r="F103" s="34" t="s">
        <v>260</v>
      </c>
      <c r="G103" s="34" t="s">
        <v>45</v>
      </c>
      <c r="H103" s="35" t="s">
        <v>46</v>
      </c>
    </row>
    <row r="104" spans="1:8" ht="25" x14ac:dyDescent="0.35">
      <c r="A104" s="33" t="s">
        <v>334</v>
      </c>
      <c r="B104" s="34" t="s">
        <v>335</v>
      </c>
      <c r="C104" s="34" t="s">
        <v>10</v>
      </c>
      <c r="D104" s="34" t="s">
        <v>330</v>
      </c>
      <c r="E104" s="34" t="s">
        <v>331</v>
      </c>
      <c r="F104" s="34" t="s">
        <v>336</v>
      </c>
      <c r="G104" s="34" t="s">
        <v>45</v>
      </c>
      <c r="H104" s="35" t="s">
        <v>46</v>
      </c>
    </row>
    <row r="105" spans="1:8" ht="25" x14ac:dyDescent="0.35">
      <c r="A105" s="33" t="s">
        <v>337</v>
      </c>
      <c r="B105" s="34" t="s">
        <v>338</v>
      </c>
      <c r="C105" s="34" t="s">
        <v>10</v>
      </c>
      <c r="D105" s="34" t="s">
        <v>330</v>
      </c>
      <c r="E105" s="34" t="s">
        <v>331</v>
      </c>
      <c r="F105" s="34" t="s">
        <v>138</v>
      </c>
      <c r="G105" s="34" t="s">
        <v>45</v>
      </c>
      <c r="H105" s="35" t="s">
        <v>58</v>
      </c>
    </row>
    <row r="106" spans="1:8" ht="25" x14ac:dyDescent="0.35">
      <c r="A106" s="33" t="s">
        <v>339</v>
      </c>
      <c r="B106" s="34" t="s">
        <v>340</v>
      </c>
      <c r="C106" s="34" t="s">
        <v>10</v>
      </c>
      <c r="D106" s="34" t="s">
        <v>341</v>
      </c>
      <c r="E106" s="34" t="s">
        <v>259</v>
      </c>
      <c r="F106" s="34" t="s">
        <v>342</v>
      </c>
      <c r="G106" s="34" t="s">
        <v>45</v>
      </c>
      <c r="H106" s="35" t="s">
        <v>46</v>
      </c>
    </row>
    <row r="107" spans="1:8" ht="25" x14ac:dyDescent="0.35">
      <c r="A107" s="33" t="s">
        <v>343</v>
      </c>
      <c r="B107" s="34" t="s">
        <v>344</v>
      </c>
      <c r="C107" s="34" t="s">
        <v>10</v>
      </c>
      <c r="D107" s="34" t="s">
        <v>341</v>
      </c>
      <c r="E107" s="34" t="s">
        <v>259</v>
      </c>
      <c r="F107" s="34" t="s">
        <v>342</v>
      </c>
      <c r="G107" s="34" t="s">
        <v>45</v>
      </c>
      <c r="H107" s="35" t="s">
        <v>46</v>
      </c>
    </row>
    <row r="108" spans="1:8" ht="25" x14ac:dyDescent="0.35">
      <c r="A108" s="33" t="s">
        <v>345</v>
      </c>
      <c r="B108" s="34" t="s">
        <v>346</v>
      </c>
      <c r="C108" s="34" t="s">
        <v>10</v>
      </c>
      <c r="D108" s="34" t="s">
        <v>341</v>
      </c>
      <c r="E108" s="34" t="s">
        <v>259</v>
      </c>
      <c r="F108" s="34" t="s">
        <v>342</v>
      </c>
      <c r="G108" s="34" t="s">
        <v>45</v>
      </c>
      <c r="H108" s="35" t="s">
        <v>46</v>
      </c>
    </row>
    <row r="109" spans="1:8" ht="25" x14ac:dyDescent="0.35">
      <c r="A109" s="33" t="s">
        <v>347</v>
      </c>
      <c r="B109" s="34" t="s">
        <v>348</v>
      </c>
      <c r="C109" s="34" t="s">
        <v>10</v>
      </c>
      <c r="D109" s="34" t="s">
        <v>341</v>
      </c>
      <c r="E109" s="34" t="s">
        <v>349</v>
      </c>
      <c r="F109" s="34" t="s">
        <v>342</v>
      </c>
      <c r="G109" s="34" t="s">
        <v>45</v>
      </c>
      <c r="H109" s="35" t="s">
        <v>46</v>
      </c>
    </row>
    <row r="110" spans="1:8" ht="25" x14ac:dyDescent="0.35">
      <c r="A110" s="33" t="s">
        <v>350</v>
      </c>
      <c r="B110" s="34" t="s">
        <v>351</v>
      </c>
      <c r="C110" s="34" t="s">
        <v>10</v>
      </c>
      <c r="D110" s="34" t="s">
        <v>341</v>
      </c>
      <c r="E110" s="34" t="s">
        <v>349</v>
      </c>
      <c r="F110" s="34" t="s">
        <v>342</v>
      </c>
      <c r="G110" s="34" t="s">
        <v>45</v>
      </c>
      <c r="H110" s="35" t="s">
        <v>46</v>
      </c>
    </row>
    <row r="111" spans="1:8" ht="25" x14ac:dyDescent="0.35">
      <c r="A111" s="33" t="s">
        <v>352</v>
      </c>
      <c r="B111" s="34" t="s">
        <v>353</v>
      </c>
      <c r="C111" s="34" t="s">
        <v>10</v>
      </c>
      <c r="D111" s="34" t="s">
        <v>341</v>
      </c>
      <c r="E111" s="34" t="s">
        <v>354</v>
      </c>
      <c r="F111" s="34" t="s">
        <v>342</v>
      </c>
      <c r="G111" s="34" t="s">
        <v>45</v>
      </c>
      <c r="H111" s="35" t="s">
        <v>46</v>
      </c>
    </row>
    <row r="112" spans="1:8" ht="25" x14ac:dyDescent="0.35">
      <c r="A112" s="33" t="s">
        <v>355</v>
      </c>
      <c r="B112" s="34" t="s">
        <v>356</v>
      </c>
      <c r="C112" s="34" t="s">
        <v>10</v>
      </c>
      <c r="D112" s="34" t="s">
        <v>341</v>
      </c>
      <c r="E112" s="34" t="s">
        <v>354</v>
      </c>
      <c r="F112" s="34" t="s">
        <v>342</v>
      </c>
      <c r="G112" s="34" t="s">
        <v>45</v>
      </c>
      <c r="H112" s="35" t="s">
        <v>46</v>
      </c>
    </row>
    <row r="113" spans="1:8" x14ac:dyDescent="0.35">
      <c r="A113" s="30" t="s">
        <v>357</v>
      </c>
      <c r="B113" s="31" t="s">
        <v>358</v>
      </c>
      <c r="C113" s="31" t="s">
        <v>16</v>
      </c>
      <c r="D113" s="31" t="s">
        <v>341</v>
      </c>
      <c r="E113" s="31" t="s">
        <v>180</v>
      </c>
      <c r="F113" s="31" t="s">
        <v>181</v>
      </c>
      <c r="G113" s="31" t="s">
        <v>359</v>
      </c>
      <c r="H113" s="32" t="s">
        <v>46</v>
      </c>
    </row>
    <row r="114" spans="1:8" x14ac:dyDescent="0.35">
      <c r="A114" s="30" t="s">
        <v>360</v>
      </c>
      <c r="B114" s="31" t="s">
        <v>361</v>
      </c>
      <c r="C114" s="31" t="s">
        <v>16</v>
      </c>
      <c r="D114" s="31" t="s">
        <v>341</v>
      </c>
      <c r="E114" s="31" t="s">
        <v>180</v>
      </c>
      <c r="F114" s="31" t="s">
        <v>181</v>
      </c>
      <c r="G114" s="31" t="s">
        <v>362</v>
      </c>
      <c r="H114" s="32" t="s">
        <v>46</v>
      </c>
    </row>
    <row r="115" spans="1:8" ht="25" x14ac:dyDescent="0.35">
      <c r="A115" s="24" t="s">
        <v>363</v>
      </c>
      <c r="B115" s="25" t="s">
        <v>364</v>
      </c>
      <c r="C115" s="25" t="s">
        <v>12</v>
      </c>
      <c r="D115" s="25" t="s">
        <v>365</v>
      </c>
      <c r="E115" s="25" t="s">
        <v>366</v>
      </c>
      <c r="F115" s="25" t="s">
        <v>210</v>
      </c>
      <c r="G115" s="25" t="s">
        <v>45</v>
      </c>
      <c r="H115" s="26" t="s">
        <v>46</v>
      </c>
    </row>
    <row r="116" spans="1:8" ht="25" x14ac:dyDescent="0.35">
      <c r="A116" s="30" t="s">
        <v>367</v>
      </c>
      <c r="B116" s="31" t="s">
        <v>368</v>
      </c>
      <c r="C116" s="31" t="s">
        <v>16</v>
      </c>
      <c r="D116" s="31" t="s">
        <v>365</v>
      </c>
      <c r="E116" s="31" t="s">
        <v>180</v>
      </c>
      <c r="F116" s="31" t="s">
        <v>181</v>
      </c>
      <c r="G116" s="31" t="s">
        <v>369</v>
      </c>
      <c r="H116" s="32" t="s">
        <v>46</v>
      </c>
    </row>
    <row r="117" spans="1:8" ht="25" x14ac:dyDescent="0.35">
      <c r="A117" s="24" t="s">
        <v>370</v>
      </c>
      <c r="B117" s="25" t="s">
        <v>371</v>
      </c>
      <c r="C117" s="25" t="s">
        <v>12</v>
      </c>
      <c r="D117" s="25" t="s">
        <v>365</v>
      </c>
      <c r="E117" s="25" t="s">
        <v>372</v>
      </c>
      <c r="F117" s="25" t="s">
        <v>210</v>
      </c>
      <c r="G117" s="25" t="s">
        <v>45</v>
      </c>
      <c r="H117" s="26" t="s">
        <v>46</v>
      </c>
    </row>
    <row r="118" spans="1:8" ht="25" x14ac:dyDescent="0.35">
      <c r="A118" s="24" t="s">
        <v>373</v>
      </c>
      <c r="B118" s="25" t="s">
        <v>374</v>
      </c>
      <c r="C118" s="25" t="s">
        <v>12</v>
      </c>
      <c r="D118" s="25" t="s">
        <v>365</v>
      </c>
      <c r="E118" s="25" t="s">
        <v>375</v>
      </c>
      <c r="F118" s="25" t="s">
        <v>210</v>
      </c>
      <c r="G118" s="25" t="s">
        <v>45</v>
      </c>
      <c r="H118" s="26" t="s">
        <v>46</v>
      </c>
    </row>
    <row r="119" spans="1:8" ht="25" x14ac:dyDescent="0.35">
      <c r="A119" s="24" t="s">
        <v>376</v>
      </c>
      <c r="B119" s="25" t="s">
        <v>377</v>
      </c>
      <c r="C119" s="25" t="s">
        <v>12</v>
      </c>
      <c r="D119" s="25" t="s">
        <v>365</v>
      </c>
      <c r="E119" s="25" t="s">
        <v>375</v>
      </c>
      <c r="F119" s="25" t="s">
        <v>210</v>
      </c>
      <c r="G119" s="25" t="s">
        <v>45</v>
      </c>
      <c r="H119" s="26" t="s">
        <v>46</v>
      </c>
    </row>
    <row r="120" spans="1:8" ht="25" x14ac:dyDescent="0.35">
      <c r="A120" s="24" t="s">
        <v>378</v>
      </c>
      <c r="B120" s="25" t="s">
        <v>379</v>
      </c>
      <c r="C120" s="25" t="s">
        <v>12</v>
      </c>
      <c r="D120" s="25" t="s">
        <v>365</v>
      </c>
      <c r="E120" s="25" t="s">
        <v>375</v>
      </c>
      <c r="F120" s="25" t="s">
        <v>210</v>
      </c>
      <c r="G120" s="25" t="s">
        <v>45</v>
      </c>
      <c r="H120" s="26" t="s">
        <v>46</v>
      </c>
    </row>
    <row r="121" spans="1:8" ht="25" x14ac:dyDescent="0.35">
      <c r="A121" s="24" t="s">
        <v>380</v>
      </c>
      <c r="B121" s="25" t="s">
        <v>381</v>
      </c>
      <c r="C121" s="25" t="s">
        <v>12</v>
      </c>
      <c r="D121" s="25" t="s">
        <v>365</v>
      </c>
      <c r="E121" s="25" t="s">
        <v>375</v>
      </c>
      <c r="F121" s="25" t="s">
        <v>210</v>
      </c>
      <c r="G121" s="25" t="s">
        <v>45</v>
      </c>
      <c r="H121" s="26" t="s">
        <v>46</v>
      </c>
    </row>
    <row r="122" spans="1:8" ht="25" x14ac:dyDescent="0.35">
      <c r="A122" s="30" t="s">
        <v>382</v>
      </c>
      <c r="B122" s="31" t="s">
        <v>383</v>
      </c>
      <c r="C122" s="31" t="s">
        <v>16</v>
      </c>
      <c r="D122" s="31" t="s">
        <v>384</v>
      </c>
      <c r="E122" s="31" t="s">
        <v>180</v>
      </c>
      <c r="F122" s="31" t="s">
        <v>181</v>
      </c>
      <c r="G122" s="31" t="s">
        <v>385</v>
      </c>
      <c r="H122" s="32" t="s">
        <v>46</v>
      </c>
    </row>
    <row r="123" spans="1:8" x14ac:dyDescent="0.35">
      <c r="A123" s="30" t="s">
        <v>386</v>
      </c>
      <c r="B123" s="31" t="s">
        <v>387</v>
      </c>
      <c r="C123" s="31" t="s">
        <v>16</v>
      </c>
      <c r="D123" s="31" t="s">
        <v>384</v>
      </c>
      <c r="E123" s="31" t="s">
        <v>180</v>
      </c>
      <c r="F123" s="31" t="s">
        <v>181</v>
      </c>
      <c r="G123" s="31" t="s">
        <v>388</v>
      </c>
      <c r="H123" s="32" t="s">
        <v>46</v>
      </c>
    </row>
    <row r="124" spans="1:8" x14ac:dyDescent="0.35">
      <c r="A124" s="30" t="s">
        <v>389</v>
      </c>
      <c r="B124" s="31" t="s">
        <v>390</v>
      </c>
      <c r="C124" s="31" t="s">
        <v>16</v>
      </c>
      <c r="D124" s="31" t="s">
        <v>384</v>
      </c>
      <c r="E124" s="31" t="s">
        <v>180</v>
      </c>
      <c r="F124" s="31" t="s">
        <v>181</v>
      </c>
      <c r="G124" s="31" t="s">
        <v>391</v>
      </c>
      <c r="H124" s="32" t="s">
        <v>46</v>
      </c>
    </row>
    <row r="125" spans="1:8" x14ac:dyDescent="0.35">
      <c r="A125" s="30" t="s">
        <v>392</v>
      </c>
      <c r="B125" s="31" t="s">
        <v>393</v>
      </c>
      <c r="C125" s="31" t="s">
        <v>16</v>
      </c>
      <c r="D125" s="31" t="s">
        <v>384</v>
      </c>
      <c r="E125" s="31" t="s">
        <v>180</v>
      </c>
      <c r="F125" s="31" t="s">
        <v>181</v>
      </c>
      <c r="G125" s="31" t="s">
        <v>278</v>
      </c>
      <c r="H125" s="32" t="s">
        <v>46</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showGridLines="0" zoomScaleNormal="100" workbookViewId="0">
      <pane ySplit="1" topLeftCell="A2" activePane="bottomLeft" state="frozen"/>
      <selection pane="bottomLeft" activeCell="A15" sqref="A15"/>
    </sheetView>
  </sheetViews>
  <sheetFormatPr defaultColWidth="8.6328125" defaultRowHeight="14.5" x14ac:dyDescent="0.35"/>
  <cols>
    <col min="1" max="1" width="52" customWidth="1"/>
    <col min="2" max="2" width="24" customWidth="1"/>
    <col min="3" max="3" width="60" customWidth="1"/>
    <col min="4" max="4" width="30" customWidth="1"/>
  </cols>
  <sheetData>
    <row r="1" spans="1:4" x14ac:dyDescent="0.35">
      <c r="A1" s="4" t="s">
        <v>36</v>
      </c>
      <c r="B1" s="4" t="s">
        <v>2</v>
      </c>
      <c r="C1" s="4" t="s">
        <v>394</v>
      </c>
      <c r="D1" s="4" t="s">
        <v>37</v>
      </c>
    </row>
    <row r="2" spans="1:4" ht="25" x14ac:dyDescent="0.35">
      <c r="A2" s="5" t="s">
        <v>80</v>
      </c>
      <c r="B2" s="22" t="s">
        <v>6</v>
      </c>
      <c r="C2" s="22" t="s">
        <v>395</v>
      </c>
      <c r="D2" s="22" t="s">
        <v>81</v>
      </c>
    </row>
    <row r="3" spans="1:4" ht="25" x14ac:dyDescent="0.35">
      <c r="A3" s="5" t="s">
        <v>108</v>
      </c>
      <c r="B3" s="22" t="s">
        <v>6</v>
      </c>
      <c r="C3" s="22" t="s">
        <v>396</v>
      </c>
      <c r="D3" s="22" t="s">
        <v>81</v>
      </c>
    </row>
    <row r="4" spans="1:4" ht="25" x14ac:dyDescent="0.35">
      <c r="A4" s="8" t="s">
        <v>306</v>
      </c>
      <c r="B4" s="19" t="s">
        <v>8</v>
      </c>
      <c r="C4" s="19" t="s">
        <v>304</v>
      </c>
      <c r="D4" s="19" t="s">
        <v>194</v>
      </c>
    </row>
    <row r="5" spans="1:4" ht="25" x14ac:dyDescent="0.35">
      <c r="A5" s="8" t="s">
        <v>67</v>
      </c>
      <c r="B5" s="19" t="s">
        <v>8</v>
      </c>
      <c r="C5" s="19" t="s">
        <v>397</v>
      </c>
      <c r="D5" s="19" t="s">
        <v>398</v>
      </c>
    </row>
    <row r="6" spans="1:4" ht="25" x14ac:dyDescent="0.35">
      <c r="A6" s="8" t="s">
        <v>101</v>
      </c>
      <c r="B6" s="19" t="s">
        <v>8</v>
      </c>
      <c r="C6" s="19" t="s">
        <v>399</v>
      </c>
      <c r="D6" s="19" t="s">
        <v>101</v>
      </c>
    </row>
    <row r="7" spans="1:4" ht="25" x14ac:dyDescent="0.35">
      <c r="A7" s="8" t="s">
        <v>252</v>
      </c>
      <c r="B7" s="19" t="s">
        <v>8</v>
      </c>
      <c r="C7" s="19" t="s">
        <v>400</v>
      </c>
      <c r="D7" s="19" t="s">
        <v>101</v>
      </c>
    </row>
    <row r="8" spans="1:4" ht="37.5" x14ac:dyDescent="0.35">
      <c r="A8" s="8" t="s">
        <v>86</v>
      </c>
      <c r="B8" s="19" t="s">
        <v>8</v>
      </c>
      <c r="C8" s="19" t="s">
        <v>401</v>
      </c>
      <c r="D8" s="19" t="s">
        <v>402</v>
      </c>
    </row>
    <row r="9" spans="1:4" ht="25" x14ac:dyDescent="0.35">
      <c r="A9" s="8" t="s">
        <v>49</v>
      </c>
      <c r="B9" s="19" t="s">
        <v>8</v>
      </c>
      <c r="C9" s="19" t="s">
        <v>403</v>
      </c>
      <c r="D9" s="19" t="s">
        <v>101</v>
      </c>
    </row>
    <row r="10" spans="1:4" ht="25" x14ac:dyDescent="0.35">
      <c r="A10" s="8" t="s">
        <v>214</v>
      </c>
      <c r="B10" s="19" t="s">
        <v>8</v>
      </c>
      <c r="C10" s="19" t="s">
        <v>404</v>
      </c>
      <c r="D10" s="19" t="s">
        <v>101</v>
      </c>
    </row>
    <row r="11" spans="1:4" ht="25" x14ac:dyDescent="0.35">
      <c r="A11" s="8" t="s">
        <v>313</v>
      </c>
      <c r="B11" s="19" t="s">
        <v>8</v>
      </c>
      <c r="C11" s="19" t="s">
        <v>310</v>
      </c>
      <c r="D11" s="19" t="s">
        <v>101</v>
      </c>
    </row>
    <row r="12" spans="1:4" ht="25" x14ac:dyDescent="0.35">
      <c r="A12" s="8" t="s">
        <v>118</v>
      </c>
      <c r="B12" s="19" t="s">
        <v>8</v>
      </c>
      <c r="C12" s="19" t="s">
        <v>115</v>
      </c>
      <c r="D12" s="19" t="s">
        <v>119</v>
      </c>
    </row>
    <row r="13" spans="1:4" ht="25" x14ac:dyDescent="0.35">
      <c r="A13" s="8" t="s">
        <v>70</v>
      </c>
      <c r="B13" s="19" t="s">
        <v>8</v>
      </c>
      <c r="C13" s="19" t="s">
        <v>405</v>
      </c>
      <c r="D13" s="19" t="s">
        <v>406</v>
      </c>
    </row>
    <row r="14" spans="1:4" ht="25" x14ac:dyDescent="0.35">
      <c r="A14" s="8" t="s">
        <v>203</v>
      </c>
      <c r="B14" s="19" t="s">
        <v>8</v>
      </c>
      <c r="C14" s="19" t="s">
        <v>201</v>
      </c>
      <c r="D14" s="19" t="s">
        <v>101</v>
      </c>
    </row>
    <row r="15" spans="1:4" ht="25" x14ac:dyDescent="0.35">
      <c r="A15" s="8" t="s">
        <v>43</v>
      </c>
      <c r="B15" s="19" t="s">
        <v>8</v>
      </c>
      <c r="C15" s="19" t="s">
        <v>407</v>
      </c>
      <c r="D15" s="19" t="s">
        <v>408</v>
      </c>
    </row>
    <row r="16" spans="1:4" ht="25" x14ac:dyDescent="0.35">
      <c r="A16" s="8" t="s">
        <v>73</v>
      </c>
      <c r="B16" s="19" t="s">
        <v>8</v>
      </c>
      <c r="C16" s="19" t="s">
        <v>409</v>
      </c>
      <c r="D16" s="19" t="s">
        <v>49</v>
      </c>
    </row>
    <row r="17" spans="1:4" ht="25" x14ac:dyDescent="0.35">
      <c r="A17" s="8" t="s">
        <v>198</v>
      </c>
      <c r="B17" s="19" t="s">
        <v>8</v>
      </c>
      <c r="C17" s="19" t="s">
        <v>195</v>
      </c>
      <c r="D17" s="19" t="s">
        <v>101</v>
      </c>
    </row>
    <row r="18" spans="1:4" ht="25" x14ac:dyDescent="0.35">
      <c r="A18" s="8" t="s">
        <v>122</v>
      </c>
      <c r="B18" s="19" t="s">
        <v>8</v>
      </c>
      <c r="C18" s="19" t="s">
        <v>120</v>
      </c>
      <c r="D18" s="19" t="s">
        <v>123</v>
      </c>
    </row>
    <row r="19" spans="1:4" ht="25" x14ac:dyDescent="0.35">
      <c r="A19" s="8" t="s">
        <v>158</v>
      </c>
      <c r="B19" s="19" t="s">
        <v>8</v>
      </c>
      <c r="C19" s="19" t="s">
        <v>410</v>
      </c>
      <c r="D19" s="19" t="s">
        <v>158</v>
      </c>
    </row>
    <row r="20" spans="1:4" ht="25" x14ac:dyDescent="0.35">
      <c r="A20" s="9" t="s">
        <v>259</v>
      </c>
      <c r="B20" s="34" t="s">
        <v>10</v>
      </c>
      <c r="C20" s="34" t="s">
        <v>411</v>
      </c>
      <c r="D20" s="34" t="s">
        <v>342</v>
      </c>
    </row>
    <row r="21" spans="1:4" ht="25" x14ac:dyDescent="0.35">
      <c r="A21" s="9" t="s">
        <v>331</v>
      </c>
      <c r="B21" s="34" t="s">
        <v>10</v>
      </c>
      <c r="C21" s="34" t="s">
        <v>412</v>
      </c>
      <c r="D21" s="34" t="s">
        <v>413</v>
      </c>
    </row>
    <row r="22" spans="1:4" ht="25" x14ac:dyDescent="0.35">
      <c r="A22" s="9" t="s">
        <v>349</v>
      </c>
      <c r="B22" s="34" t="s">
        <v>10</v>
      </c>
      <c r="C22" s="34" t="s">
        <v>414</v>
      </c>
      <c r="D22" s="34" t="s">
        <v>342</v>
      </c>
    </row>
    <row r="23" spans="1:4" ht="25" x14ac:dyDescent="0.35">
      <c r="A23" s="9" t="s">
        <v>354</v>
      </c>
      <c r="B23" s="34" t="s">
        <v>10</v>
      </c>
      <c r="C23" s="34" t="s">
        <v>415</v>
      </c>
      <c r="D23" s="34" t="s">
        <v>342</v>
      </c>
    </row>
    <row r="24" spans="1:4" x14ac:dyDescent="0.35">
      <c r="A24" s="10" t="s">
        <v>259</v>
      </c>
      <c r="B24" s="25" t="s">
        <v>12</v>
      </c>
      <c r="C24" s="25" t="s">
        <v>257</v>
      </c>
      <c r="D24" s="25" t="s">
        <v>260</v>
      </c>
    </row>
    <row r="25" spans="1:4" ht="26" x14ac:dyDescent="0.35">
      <c r="A25" s="10" t="s">
        <v>127</v>
      </c>
      <c r="B25" s="25" t="s">
        <v>12</v>
      </c>
      <c r="C25" s="25" t="s">
        <v>124</v>
      </c>
      <c r="D25" s="25" t="s">
        <v>128</v>
      </c>
    </row>
    <row r="26" spans="1:4" x14ac:dyDescent="0.35">
      <c r="A26" s="10" t="s">
        <v>137</v>
      </c>
      <c r="B26" s="25" t="s">
        <v>12</v>
      </c>
      <c r="C26" s="25" t="s">
        <v>416</v>
      </c>
      <c r="D26" s="25" t="s">
        <v>138</v>
      </c>
    </row>
    <row r="27" spans="1:4" x14ac:dyDescent="0.35">
      <c r="A27" s="10" t="s">
        <v>193</v>
      </c>
      <c r="B27" s="25" t="s">
        <v>12</v>
      </c>
      <c r="C27" s="25" t="s">
        <v>191</v>
      </c>
      <c r="D27" s="25" t="s">
        <v>194</v>
      </c>
    </row>
    <row r="28" spans="1:4" x14ac:dyDescent="0.35">
      <c r="A28" s="10" t="s">
        <v>209</v>
      </c>
      <c r="B28" s="25" t="s">
        <v>12</v>
      </c>
      <c r="C28" s="25" t="s">
        <v>417</v>
      </c>
      <c r="D28" s="25" t="s">
        <v>210</v>
      </c>
    </row>
    <row r="29" spans="1:4" x14ac:dyDescent="0.35">
      <c r="A29" s="10" t="s">
        <v>263</v>
      </c>
      <c r="B29" s="25" t="s">
        <v>12</v>
      </c>
      <c r="C29" s="25" t="s">
        <v>261</v>
      </c>
      <c r="D29" s="25" t="s">
        <v>260</v>
      </c>
    </row>
    <row r="30" spans="1:4" x14ac:dyDescent="0.35">
      <c r="A30" s="10" t="s">
        <v>366</v>
      </c>
      <c r="B30" s="25" t="s">
        <v>12</v>
      </c>
      <c r="C30" s="25" t="s">
        <v>363</v>
      </c>
      <c r="D30" s="25" t="s">
        <v>210</v>
      </c>
    </row>
    <row r="31" spans="1:4" x14ac:dyDescent="0.35">
      <c r="A31" s="10" t="s">
        <v>372</v>
      </c>
      <c r="B31" s="25" t="s">
        <v>12</v>
      </c>
      <c r="C31" s="25" t="s">
        <v>370</v>
      </c>
      <c r="D31" s="25" t="s">
        <v>210</v>
      </c>
    </row>
    <row r="32" spans="1:4" x14ac:dyDescent="0.35">
      <c r="A32" s="10" t="s">
        <v>375</v>
      </c>
      <c r="B32" s="25" t="s">
        <v>12</v>
      </c>
      <c r="C32" s="25" t="s">
        <v>418</v>
      </c>
      <c r="D32" s="25" t="s">
        <v>210</v>
      </c>
    </row>
    <row r="33" spans="1:4" x14ac:dyDescent="0.35">
      <c r="A33" s="10" t="s">
        <v>316</v>
      </c>
      <c r="B33" s="25" t="s">
        <v>12</v>
      </c>
      <c r="C33" s="25" t="s">
        <v>314</v>
      </c>
      <c r="D33" s="25" t="s">
        <v>174</v>
      </c>
    </row>
    <row r="34" spans="1:4" ht="26" x14ac:dyDescent="0.35">
      <c r="A34" s="10" t="s">
        <v>166</v>
      </c>
      <c r="B34" s="25" t="s">
        <v>12</v>
      </c>
      <c r="C34" s="25" t="s">
        <v>419</v>
      </c>
      <c r="D34" s="25" t="s">
        <v>420</v>
      </c>
    </row>
    <row r="35" spans="1:4" x14ac:dyDescent="0.35">
      <c r="A35" s="10" t="s">
        <v>173</v>
      </c>
      <c r="B35" s="25" t="s">
        <v>12</v>
      </c>
      <c r="C35" s="25" t="s">
        <v>171</v>
      </c>
      <c r="D35" s="25" t="s">
        <v>174</v>
      </c>
    </row>
    <row r="36" spans="1:4" x14ac:dyDescent="0.35">
      <c r="A36" s="10" t="s">
        <v>177</v>
      </c>
      <c r="B36" s="25" t="s">
        <v>12</v>
      </c>
      <c r="C36" s="25" t="s">
        <v>175</v>
      </c>
      <c r="D36" s="25" t="s">
        <v>174</v>
      </c>
    </row>
    <row r="37" spans="1:4" x14ac:dyDescent="0.35">
      <c r="A37" s="11" t="s">
        <v>141</v>
      </c>
      <c r="B37" s="28" t="s">
        <v>14</v>
      </c>
      <c r="C37" s="28" t="s">
        <v>421</v>
      </c>
      <c r="D37" s="28" t="s">
        <v>133</v>
      </c>
    </row>
    <row r="38" spans="1:4" x14ac:dyDescent="0.35">
      <c r="A38" s="11" t="s">
        <v>132</v>
      </c>
      <c r="B38" s="28" t="s">
        <v>14</v>
      </c>
      <c r="C38" s="28" t="s">
        <v>422</v>
      </c>
      <c r="D38" s="28" t="s">
        <v>133</v>
      </c>
    </row>
    <row r="39" spans="1:4" ht="37.5" x14ac:dyDescent="0.35">
      <c r="A39" s="12" t="s">
        <v>180</v>
      </c>
      <c r="B39" s="31" t="s">
        <v>16</v>
      </c>
      <c r="C39" s="31" t="s">
        <v>423</v>
      </c>
      <c r="D39" s="31" t="s">
        <v>181</v>
      </c>
    </row>
    <row r="41" spans="1:4" ht="34.5" x14ac:dyDescent="0.35">
      <c r="A41" s="36" t="s">
        <v>424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showGridLines="0" zoomScaleNormal="100" workbookViewId="0">
      <selection activeCell="C18" sqref="C18"/>
    </sheetView>
  </sheetViews>
  <sheetFormatPr defaultColWidth="8.6328125" defaultRowHeight="14.5" x14ac:dyDescent="0.35"/>
  <cols>
    <col min="1" max="1" width="22" customWidth="1"/>
    <col min="2" max="2" width="16" customWidth="1"/>
    <col min="3" max="3" width="50" customWidth="1"/>
    <col min="4" max="4" width="36" customWidth="1"/>
    <col min="5" max="5" width="22" customWidth="1"/>
  </cols>
  <sheetData>
    <row r="1" spans="1:5" x14ac:dyDescent="0.35">
      <c r="A1" s="4" t="s">
        <v>425</v>
      </c>
      <c r="B1" s="4" t="s">
        <v>426</v>
      </c>
      <c r="C1" s="4" t="s">
        <v>427</v>
      </c>
      <c r="D1" s="4" t="s">
        <v>428</v>
      </c>
      <c r="E1" s="4" t="s">
        <v>429</v>
      </c>
    </row>
    <row r="2" spans="1:5" x14ac:dyDescent="0.35">
      <c r="A2" s="7" t="s">
        <v>430</v>
      </c>
      <c r="B2" s="37" t="s">
        <v>431</v>
      </c>
      <c r="C2" s="7" t="s">
        <v>432</v>
      </c>
      <c r="D2" s="7" t="s">
        <v>433</v>
      </c>
      <c r="E2" s="7" t="s">
        <v>434</v>
      </c>
    </row>
    <row r="3" spans="1:5" x14ac:dyDescent="0.35">
      <c r="A3" s="7" t="s">
        <v>430</v>
      </c>
      <c r="B3" s="37" t="s">
        <v>435</v>
      </c>
      <c r="C3" s="7" t="s">
        <v>436</v>
      </c>
      <c r="D3" s="7" t="s">
        <v>433</v>
      </c>
      <c r="E3" s="7" t="s">
        <v>437</v>
      </c>
    </row>
    <row r="4" spans="1:5" x14ac:dyDescent="0.35">
      <c r="A4" s="7" t="s">
        <v>430</v>
      </c>
      <c r="B4" s="37" t="s">
        <v>438</v>
      </c>
      <c r="C4" s="7" t="s">
        <v>439</v>
      </c>
      <c r="D4" s="7" t="s">
        <v>440</v>
      </c>
      <c r="E4" s="7" t="s">
        <v>441</v>
      </c>
    </row>
    <row r="5" spans="1:5" x14ac:dyDescent="0.35">
      <c r="A5" s="7" t="s">
        <v>430</v>
      </c>
      <c r="B5" s="37" t="s">
        <v>442</v>
      </c>
      <c r="C5" s="7" t="s">
        <v>443</v>
      </c>
      <c r="D5" s="7" t="s">
        <v>263</v>
      </c>
      <c r="E5" s="7" t="s">
        <v>444</v>
      </c>
    </row>
    <row r="6" spans="1:5" x14ac:dyDescent="0.35">
      <c r="A6" s="7" t="s">
        <v>430</v>
      </c>
      <c r="B6" s="37" t="s">
        <v>445</v>
      </c>
      <c r="C6" s="7" t="s">
        <v>364</v>
      </c>
      <c r="D6" s="7" t="s">
        <v>263</v>
      </c>
      <c r="E6" s="7" t="s">
        <v>446</v>
      </c>
    </row>
    <row r="7" spans="1:5" x14ac:dyDescent="0.35">
      <c r="A7" s="7" t="s">
        <v>430</v>
      </c>
      <c r="B7" s="37" t="s">
        <v>447</v>
      </c>
      <c r="C7" s="7" t="s">
        <v>448</v>
      </c>
      <c r="D7" s="7" t="s">
        <v>449</v>
      </c>
      <c r="E7" s="7" t="s">
        <v>450</v>
      </c>
    </row>
    <row r="8" spans="1:5" x14ac:dyDescent="0.35">
      <c r="A8" s="7" t="s">
        <v>430</v>
      </c>
      <c r="B8" s="37" t="s">
        <v>451</v>
      </c>
      <c r="C8" s="7" t="s">
        <v>452</v>
      </c>
      <c r="D8" s="7" t="s">
        <v>449</v>
      </c>
      <c r="E8" s="7" t="s">
        <v>453</v>
      </c>
    </row>
    <row r="9" spans="1:5" ht="25" x14ac:dyDescent="0.35">
      <c r="A9" s="7" t="s">
        <v>454</v>
      </c>
      <c r="B9" s="37" t="s">
        <v>455</v>
      </c>
      <c r="C9" s="7" t="s">
        <v>456</v>
      </c>
      <c r="D9" s="7" t="s">
        <v>457</v>
      </c>
      <c r="E9" s="7" t="s">
        <v>458</v>
      </c>
    </row>
    <row r="10" spans="1:5" ht="37.5" x14ac:dyDescent="0.35">
      <c r="A10" s="7" t="s">
        <v>454</v>
      </c>
      <c r="B10" s="37" t="s">
        <v>459</v>
      </c>
      <c r="C10" s="7" t="s">
        <v>460</v>
      </c>
      <c r="D10" s="7" t="s">
        <v>457</v>
      </c>
      <c r="E10" s="7" t="s">
        <v>461</v>
      </c>
    </row>
    <row r="11" spans="1:5" ht="25" x14ac:dyDescent="0.35">
      <c r="A11" s="7" t="s">
        <v>454</v>
      </c>
      <c r="B11" s="37" t="s">
        <v>462</v>
      </c>
      <c r="C11" s="7" t="s">
        <v>463</v>
      </c>
      <c r="D11" s="7" t="s">
        <v>457</v>
      </c>
      <c r="E11" s="7" t="s">
        <v>464</v>
      </c>
    </row>
    <row r="12" spans="1:5" x14ac:dyDescent="0.35">
      <c r="A12" s="7" t="s">
        <v>454</v>
      </c>
      <c r="B12" s="37" t="s">
        <v>465</v>
      </c>
      <c r="C12" s="7" t="s">
        <v>466</v>
      </c>
      <c r="D12" s="7" t="s">
        <v>467</v>
      </c>
      <c r="E12" s="7" t="s">
        <v>468</v>
      </c>
    </row>
    <row r="14" spans="1:5" ht="69" x14ac:dyDescent="0.35">
      <c r="A14" s="36" t="s">
        <v>469</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
  <sheetViews>
    <sheetView showGridLines="0" zoomScaleNormal="100" workbookViewId="0"/>
  </sheetViews>
  <sheetFormatPr defaultColWidth="8.6328125" defaultRowHeight="14.5" x14ac:dyDescent="0.35"/>
  <cols>
    <col min="1" max="1" width="6" customWidth="1"/>
    <col min="2" max="2" width="46" customWidth="1"/>
    <col min="3" max="3" width="14" customWidth="1"/>
    <col min="4" max="4" width="26" customWidth="1"/>
    <col min="5" max="5" width="44" customWidth="1"/>
    <col min="6" max="6" width="40" customWidth="1"/>
  </cols>
  <sheetData>
    <row r="1" spans="1:6" ht="15.5" x14ac:dyDescent="0.35">
      <c r="A1" s="38" t="s">
        <v>470</v>
      </c>
    </row>
    <row r="2" spans="1:6" x14ac:dyDescent="0.35">
      <c r="A2" s="39" t="s">
        <v>471</v>
      </c>
    </row>
    <row r="4" spans="1:6" x14ac:dyDescent="0.35">
      <c r="A4" s="4" t="s">
        <v>472</v>
      </c>
      <c r="B4" s="4" t="s">
        <v>473</v>
      </c>
      <c r="C4" s="4" t="s">
        <v>474</v>
      </c>
      <c r="D4" s="4" t="s">
        <v>475</v>
      </c>
      <c r="E4" s="4" t="s">
        <v>476</v>
      </c>
      <c r="F4" s="4" t="s">
        <v>477</v>
      </c>
    </row>
    <row r="5" spans="1:6" x14ac:dyDescent="0.35">
      <c r="A5" s="20">
        <v>1</v>
      </c>
      <c r="B5" s="19" t="s">
        <v>478</v>
      </c>
      <c r="C5" s="40">
        <v>3</v>
      </c>
      <c r="D5" s="20" t="s">
        <v>97</v>
      </c>
      <c r="E5" s="19" t="s">
        <v>479</v>
      </c>
      <c r="F5" s="19"/>
    </row>
    <row r="6" spans="1:6" x14ac:dyDescent="0.35">
      <c r="A6" s="20">
        <v>2</v>
      </c>
      <c r="B6" s="19" t="s">
        <v>75</v>
      </c>
      <c r="C6" s="40">
        <v>3</v>
      </c>
      <c r="D6" s="20" t="s">
        <v>74</v>
      </c>
      <c r="E6" s="19" t="s">
        <v>479</v>
      </c>
      <c r="F6" s="19"/>
    </row>
    <row r="7" spans="1:6" x14ac:dyDescent="0.35">
      <c r="A7" s="20">
        <v>3</v>
      </c>
      <c r="B7" s="19" t="s">
        <v>480</v>
      </c>
      <c r="C7" s="40">
        <v>3</v>
      </c>
      <c r="D7" s="20" t="s">
        <v>99</v>
      </c>
      <c r="E7" s="19" t="s">
        <v>481</v>
      </c>
      <c r="F7" s="19"/>
    </row>
    <row r="8" spans="1:6" ht="25" x14ac:dyDescent="0.35">
      <c r="A8" s="23">
        <v>4</v>
      </c>
      <c r="B8" s="22" t="s">
        <v>482</v>
      </c>
      <c r="C8" s="41">
        <v>1</v>
      </c>
      <c r="D8" s="23" t="s">
        <v>77</v>
      </c>
      <c r="E8" s="22" t="s">
        <v>483</v>
      </c>
      <c r="F8" s="22" t="s">
        <v>484</v>
      </c>
    </row>
    <row r="9" spans="1:6" ht="25" x14ac:dyDescent="0.35">
      <c r="A9" s="20">
        <v>5</v>
      </c>
      <c r="B9" s="19" t="s">
        <v>485</v>
      </c>
      <c r="C9" s="40" t="s">
        <v>486</v>
      </c>
      <c r="D9" s="20" t="s">
        <v>487</v>
      </c>
      <c r="E9" s="19" t="s">
        <v>488</v>
      </c>
      <c r="F9" s="19" t="s">
        <v>489</v>
      </c>
    </row>
    <row r="10" spans="1:6" ht="25" x14ac:dyDescent="0.35">
      <c r="A10" s="20">
        <v>6</v>
      </c>
      <c r="B10" s="19" t="s">
        <v>157</v>
      </c>
      <c r="C10" s="40" t="s">
        <v>490</v>
      </c>
      <c r="D10" s="20" t="s">
        <v>156</v>
      </c>
      <c r="E10" s="19" t="s">
        <v>491</v>
      </c>
      <c r="F10" s="19"/>
    </row>
    <row r="11" spans="1:6" ht="25" x14ac:dyDescent="0.35">
      <c r="A11" s="6">
        <v>7</v>
      </c>
      <c r="B11" s="7" t="s">
        <v>492</v>
      </c>
      <c r="C11" s="42">
        <v>4</v>
      </c>
      <c r="D11" s="6" t="s">
        <v>223</v>
      </c>
      <c r="E11" s="7" t="s">
        <v>493</v>
      </c>
      <c r="F11" s="7" t="s">
        <v>494</v>
      </c>
    </row>
    <row r="12" spans="1:6" x14ac:dyDescent="0.35">
      <c r="A12" s="6">
        <v>8</v>
      </c>
      <c r="B12" s="7" t="s">
        <v>495</v>
      </c>
      <c r="C12" s="42">
        <v>2</v>
      </c>
      <c r="D12" s="6" t="s">
        <v>230</v>
      </c>
      <c r="E12" s="7" t="s">
        <v>496</v>
      </c>
      <c r="F12" s="7" t="s">
        <v>497</v>
      </c>
    </row>
    <row r="13" spans="1:6" x14ac:dyDescent="0.35">
      <c r="A13" s="6">
        <v>9</v>
      </c>
      <c r="B13" s="7" t="s">
        <v>228</v>
      </c>
      <c r="C13" s="42">
        <v>3</v>
      </c>
      <c r="D13" s="6" t="s">
        <v>227</v>
      </c>
      <c r="E13" s="7" t="s">
        <v>493</v>
      </c>
      <c r="F13" s="7" t="s">
        <v>229</v>
      </c>
    </row>
    <row r="14" spans="1:6" x14ac:dyDescent="0.35">
      <c r="A14" s="6">
        <v>10</v>
      </c>
      <c r="B14" s="7" t="s">
        <v>238</v>
      </c>
      <c r="C14" s="43">
        <f>C12/C13</f>
        <v>0.66666666666666663</v>
      </c>
      <c r="D14" s="6" t="s">
        <v>237</v>
      </c>
      <c r="E14" s="7" t="s">
        <v>493</v>
      </c>
      <c r="F14" s="7" t="s">
        <v>239</v>
      </c>
    </row>
    <row r="15" spans="1:6" x14ac:dyDescent="0.35">
      <c r="A15" s="6">
        <v>11</v>
      </c>
      <c r="B15" s="7" t="s">
        <v>498</v>
      </c>
      <c r="C15" s="6" t="str">
        <f>IF(C13&gt;=3,"Hit-rate-based","Rating-based")</f>
        <v>Hit-rate-based</v>
      </c>
      <c r="D15" s="6" t="s">
        <v>246</v>
      </c>
      <c r="E15" s="7" t="s">
        <v>493</v>
      </c>
      <c r="F15" s="7" t="s">
        <v>499</v>
      </c>
    </row>
    <row r="16" spans="1:6" ht="25" x14ac:dyDescent="0.35">
      <c r="A16" s="6">
        <v>12</v>
      </c>
      <c r="B16" s="7" t="s">
        <v>267</v>
      </c>
      <c r="C16" s="6">
        <f>IF(C15="Hit-rate-based",MIN(IF(C11&lt;2,2,3),IF(C14&gt;=0.7,3,IF(C14&gt;=0.4,2,1))),MIN(IF(C11&lt;2,2,3),C6))</f>
        <v>2</v>
      </c>
      <c r="D16" s="6" t="s">
        <v>266</v>
      </c>
      <c r="E16" s="7" t="s">
        <v>493</v>
      </c>
      <c r="F16" s="7" t="s">
        <v>500</v>
      </c>
    </row>
    <row r="17" spans="1:6" x14ac:dyDescent="0.35">
      <c r="A17" s="6">
        <v>13</v>
      </c>
      <c r="B17" s="7" t="s">
        <v>271</v>
      </c>
      <c r="C17" s="6">
        <f>C16*IF(C7=0,1,C7)</f>
        <v>6</v>
      </c>
      <c r="D17" s="6" t="s">
        <v>270</v>
      </c>
      <c r="E17" s="7" t="s">
        <v>493</v>
      </c>
      <c r="F17" s="7" t="s">
        <v>501</v>
      </c>
    </row>
    <row r="18" spans="1:6" ht="37.5" x14ac:dyDescent="0.35">
      <c r="A18" s="6">
        <v>14</v>
      </c>
      <c r="B18" s="7" t="s">
        <v>502</v>
      </c>
      <c r="C18" s="6" t="s">
        <v>503</v>
      </c>
      <c r="D18" s="6" t="s">
        <v>279</v>
      </c>
      <c r="E18" s="7" t="s">
        <v>493</v>
      </c>
      <c r="F18" s="7" t="s">
        <v>504</v>
      </c>
    </row>
    <row r="19" spans="1:6" x14ac:dyDescent="0.35">
      <c r="A19" s="6">
        <v>15</v>
      </c>
      <c r="B19" s="7" t="s">
        <v>505</v>
      </c>
      <c r="C19" s="6">
        <f>C17</f>
        <v>6</v>
      </c>
      <c r="D19" s="6" t="s">
        <v>285</v>
      </c>
      <c r="E19" s="7" t="s">
        <v>493</v>
      </c>
      <c r="F19" s="7" t="s">
        <v>506</v>
      </c>
    </row>
    <row r="20" spans="1:6" ht="25" x14ac:dyDescent="0.35">
      <c r="A20" s="6">
        <v>16</v>
      </c>
      <c r="B20" s="7" t="s">
        <v>507</v>
      </c>
      <c r="C20" s="6">
        <v>18</v>
      </c>
      <c r="D20" s="6" t="s">
        <v>508</v>
      </c>
      <c r="E20" s="7" t="s">
        <v>493</v>
      </c>
      <c r="F20" s="7" t="s">
        <v>509</v>
      </c>
    </row>
    <row r="21" spans="1:6" x14ac:dyDescent="0.35">
      <c r="A21" s="6">
        <v>17</v>
      </c>
      <c r="B21" s="7" t="s">
        <v>510</v>
      </c>
      <c r="C21" s="43">
        <f>C19/C20</f>
        <v>0.33333333333333331</v>
      </c>
      <c r="D21" s="6" t="s">
        <v>45</v>
      </c>
      <c r="E21" s="7" t="s">
        <v>493</v>
      </c>
      <c r="F21" s="7"/>
    </row>
    <row r="22" spans="1:6" x14ac:dyDescent="0.35">
      <c r="A22" s="6">
        <v>18</v>
      </c>
      <c r="B22" s="7" t="s">
        <v>511</v>
      </c>
      <c r="C22" s="43">
        <f>18/31</f>
        <v>0.58064516129032262</v>
      </c>
      <c r="D22" s="6" t="s">
        <v>512</v>
      </c>
      <c r="E22" s="7" t="s">
        <v>493</v>
      </c>
      <c r="F22" s="7" t="s">
        <v>513</v>
      </c>
    </row>
    <row r="24" spans="1:6" ht="30" customHeight="1" x14ac:dyDescent="0.35">
      <c r="A24" s="1" t="s">
        <v>514</v>
      </c>
      <c r="B24" s="1"/>
      <c r="C24" s="1"/>
      <c r="D24" s="1"/>
      <c r="E24" s="1"/>
      <c r="F24" s="1"/>
    </row>
    <row r="25" spans="1:6" x14ac:dyDescent="0.35">
      <c r="A25" s="1"/>
      <c r="B25" s="1"/>
      <c r="C25" s="1"/>
      <c r="D25" s="1"/>
      <c r="E25" s="1"/>
      <c r="F25" s="1"/>
    </row>
  </sheetData>
  <mergeCells count="1">
    <mergeCell ref="A24:F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Column Register</vt:lpstr>
      <vt:lpstr>By Provider</vt:lpstr>
      <vt:lpstr>Settings (yellow cells)</vt:lpstr>
      <vt:lpstr>Worked Trace – Frog 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Armil</cp:lastModifiedBy>
  <cp:revision>0</cp:revision>
  <dcterms:created xsi:type="dcterms:W3CDTF">2026-10-19T16:55:50Z</dcterms:created>
  <dcterms:modified xsi:type="dcterms:W3CDTF">2026-10-19T17:30:11Z</dcterms:modified>
  <dc:language>en-US</dc:language>
</cp:coreProperties>
</file>