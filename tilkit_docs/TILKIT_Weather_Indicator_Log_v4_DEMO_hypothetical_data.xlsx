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6AEEF382-D48F-428D-B10C-1C7E3B08321D}" xr6:coauthVersionLast="36" xr6:coauthVersionMax="36" xr10:uidLastSave="{00000000-0000-0000-0000-000000000000}"/>
  <bookViews>
    <workbookView xWindow="0" yWindow="0" windowWidth="16800" windowHeight="8700" tabRatio="500" activeTab="2" xr2:uid="{00000000-000D-0000-FFFF-FFFF00000000}"/>
  </bookViews>
  <sheets>
    <sheet name="How to Use" sheetId="1" r:id="rId1"/>
    <sheet name="Community Data List" sheetId="2" r:id="rId2"/>
    <sheet name="Sheet 1 - Indicator Log" sheetId="3" r:id="rId3"/>
    <sheet name="Seasonal Tercile Tally" sheetId="4" r:id="rId4"/>
    <sheet name="Seasonal Indicator Calendar" sheetId="5" r:id="rId5"/>
    <sheet name="Indicator Code Legend" sheetId="6" r:id="rId6"/>
    <sheet name="Prior Multipliers" sheetId="7" r:id="rId7"/>
    <sheet name="Weighting Options" sheetId="8" r:id="rId8"/>
    <sheet name="Barriers Addressed" sheetId="9" r:id="rId9"/>
    <sheet name="Framework Crosswalk" sheetId="10" r:id="rId10"/>
    <sheet name="References" sheetId="11" r:id="rId11"/>
    <sheet name="Change Log v4" sheetId="12" r:id="rId12"/>
  </sheets>
  <definedNames>
    <definedName name="_xlnm._FilterDatabase" localSheetId="5" hidden="1">'Indicator Code Legend'!$A$5:$L$165</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54" i="8" l="1"/>
  <c r="D54" i="8" s="1"/>
  <c r="C53" i="8"/>
  <c r="C52" i="8"/>
  <c r="C55" i="8" s="1"/>
  <c r="N49" i="8"/>
  <c r="L49" i="8"/>
  <c r="M49" i="8" s="1"/>
  <c r="O49" i="8" s="1"/>
  <c r="K49" i="8"/>
  <c r="H49" i="8"/>
  <c r="N48" i="8"/>
  <c r="M48" i="8"/>
  <c r="O48" i="8" s="1"/>
  <c r="L48" i="8"/>
  <c r="K48" i="8"/>
  <c r="H48" i="8"/>
  <c r="N47" i="8"/>
  <c r="K47" i="8"/>
  <c r="L47" i="8" s="1"/>
  <c r="M47" i="8" s="1"/>
  <c r="H47" i="8"/>
  <c r="N46" i="8"/>
  <c r="L46" i="8"/>
  <c r="M46" i="8" s="1"/>
  <c r="K46" i="8"/>
  <c r="H46" i="8"/>
  <c r="N45" i="8"/>
  <c r="K45" i="8"/>
  <c r="H45" i="8"/>
  <c r="L45" i="8" s="1"/>
  <c r="M45" i="8" s="1"/>
  <c r="O45" i="8" s="1"/>
  <c r="N44" i="8"/>
  <c r="K44" i="8"/>
  <c r="H44" i="8"/>
  <c r="L44" i="8" s="1"/>
  <c r="M44" i="8" s="1"/>
  <c r="D15" i="8"/>
  <c r="E9" i="8" s="1"/>
  <c r="E13" i="8"/>
  <c r="E12" i="8"/>
  <c r="E7" i="8"/>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G38" i="5"/>
  <c r="G36" i="5"/>
  <c r="G34" i="5"/>
  <c r="M15" i="5"/>
  <c r="K15" i="5"/>
  <c r="G15" i="5"/>
  <c r="E15" i="5"/>
  <c r="C15" i="5"/>
  <c r="L14" i="5"/>
  <c r="J14" i="5"/>
  <c r="H14" i="5"/>
  <c r="D14" i="5"/>
  <c r="M13" i="5"/>
  <c r="I13" i="5"/>
  <c r="G13" i="5"/>
  <c r="E13" i="5"/>
  <c r="N12" i="5"/>
  <c r="L12" i="5"/>
  <c r="J12" i="5"/>
  <c r="F12" i="5"/>
  <c r="D12" i="5"/>
  <c r="K11" i="5"/>
  <c r="I11" i="5"/>
  <c r="G11" i="5"/>
  <c r="C11" i="5"/>
  <c r="N10" i="5"/>
  <c r="L10" i="5"/>
  <c r="H10" i="5"/>
  <c r="F10" i="5"/>
  <c r="D10" i="5"/>
  <c r="M9" i="5"/>
  <c r="L9" i="5"/>
  <c r="K9" i="5"/>
  <c r="I9" i="5"/>
  <c r="E9" i="5"/>
  <c r="D9" i="5"/>
  <c r="C9" i="5"/>
  <c r="B4" i="5"/>
  <c r="B101" i="4"/>
  <c r="B100" i="4"/>
  <c r="B102" i="4" s="1"/>
  <c r="B95" i="4"/>
  <c r="B94" i="4"/>
  <c r="B92" i="4"/>
  <c r="B93" i="4" s="1"/>
  <c r="B91" i="4"/>
  <c r="B90" i="4"/>
  <c r="B74" i="4"/>
  <c r="B21" i="4"/>
  <c r="DT500" i="3"/>
  <c r="DR500" i="3"/>
  <c r="DQ500" i="3"/>
  <c r="DK500" i="3"/>
  <c r="DI500" i="3"/>
  <c r="DH500" i="3"/>
  <c r="CV500" i="3"/>
  <c r="CU500" i="3"/>
  <c r="CT500" i="3"/>
  <c r="CS500" i="3"/>
  <c r="CP500" i="3"/>
  <c r="CJ500" i="3"/>
  <c r="CM500" i="3" s="1"/>
  <c r="CF500" i="3"/>
  <c r="CE500" i="3"/>
  <c r="CD500" i="3"/>
  <c r="CC500" i="3"/>
  <c r="CA500" i="3"/>
  <c r="CB500" i="3" s="1"/>
  <c r="CG500" i="3" s="1"/>
  <c r="CH500" i="3" s="1"/>
  <c r="BT500" i="3"/>
  <c r="BP500" i="3"/>
  <c r="BO500" i="3"/>
  <c r="BN500" i="3"/>
  <c r="BM500" i="3"/>
  <c r="BL500" i="3"/>
  <c r="AY500" i="3"/>
  <c r="AX500" i="3"/>
  <c r="AW500" i="3"/>
  <c r="DT499" i="3"/>
  <c r="DR499" i="3"/>
  <c r="DQ499" i="3"/>
  <c r="DK499" i="3"/>
  <c r="DI499" i="3"/>
  <c r="DH499" i="3"/>
  <c r="CV499" i="3"/>
  <c r="CU499" i="3"/>
  <c r="CT499" i="3"/>
  <c r="CS499" i="3"/>
  <c r="CP499" i="3"/>
  <c r="CJ499" i="3"/>
  <c r="CM499" i="3" s="1"/>
  <c r="CF499" i="3"/>
  <c r="CE499" i="3"/>
  <c r="CD499" i="3"/>
  <c r="CC499" i="3"/>
  <c r="CA499" i="3"/>
  <c r="CB499" i="3" s="1"/>
  <c r="CG499" i="3" s="1"/>
  <c r="BT499" i="3"/>
  <c r="BP499" i="3"/>
  <c r="BO499" i="3"/>
  <c r="BN499" i="3"/>
  <c r="BM499" i="3"/>
  <c r="BS499" i="3" s="1"/>
  <c r="BL499" i="3"/>
  <c r="AY499" i="3"/>
  <c r="AX499" i="3"/>
  <c r="AW499" i="3"/>
  <c r="DT498" i="3"/>
  <c r="DR498" i="3"/>
  <c r="DQ498" i="3"/>
  <c r="DK498" i="3"/>
  <c r="DI498" i="3"/>
  <c r="DH498" i="3"/>
  <c r="CV498" i="3"/>
  <c r="CU498" i="3"/>
  <c r="CS498" i="3"/>
  <c r="CT498" i="3" s="1"/>
  <c r="CP498" i="3"/>
  <c r="CM498" i="3"/>
  <c r="CJ498" i="3"/>
  <c r="CF498" i="3"/>
  <c r="CE498" i="3"/>
  <c r="CD498" i="3"/>
  <c r="CC498" i="3"/>
  <c r="CA498" i="3"/>
  <c r="CB498" i="3" s="1"/>
  <c r="CG498" i="3" s="1"/>
  <c r="BT498" i="3"/>
  <c r="BS498" i="3"/>
  <c r="BP498" i="3"/>
  <c r="BO498" i="3"/>
  <c r="BN498" i="3"/>
  <c r="BM498" i="3"/>
  <c r="BL498" i="3"/>
  <c r="AY498" i="3"/>
  <c r="AX498" i="3"/>
  <c r="AW498" i="3"/>
  <c r="DT497" i="3"/>
  <c r="DS497" i="3"/>
  <c r="DR497" i="3"/>
  <c r="DQ497" i="3"/>
  <c r="DK497" i="3"/>
  <c r="DI497" i="3"/>
  <c r="DH497" i="3"/>
  <c r="CU497" i="3"/>
  <c r="CV497" i="3" s="1"/>
  <c r="CS497" i="3"/>
  <c r="CT497" i="3" s="1"/>
  <c r="CP497" i="3"/>
  <c r="CJ497" i="3"/>
  <c r="CM497" i="3" s="1"/>
  <c r="CF497" i="3"/>
  <c r="CE497" i="3"/>
  <c r="CD497" i="3"/>
  <c r="CC497" i="3"/>
  <c r="CA497" i="3"/>
  <c r="CB497" i="3" s="1"/>
  <c r="CG497" i="3" s="1"/>
  <c r="CH497" i="3" s="1"/>
  <c r="BT497" i="3"/>
  <c r="BQ497" i="3"/>
  <c r="BP497" i="3"/>
  <c r="BO497" i="3"/>
  <c r="BN497" i="3"/>
  <c r="BM497" i="3"/>
  <c r="BL497" i="3"/>
  <c r="AY497" i="3"/>
  <c r="AX497" i="3"/>
  <c r="AW497" i="3"/>
  <c r="DT496" i="3"/>
  <c r="DS496" i="3"/>
  <c r="DR496" i="3"/>
  <c r="DQ496" i="3"/>
  <c r="DK496" i="3"/>
  <c r="DI496" i="3"/>
  <c r="DH496" i="3"/>
  <c r="CV496" i="3"/>
  <c r="CU496" i="3"/>
  <c r="CT496" i="3"/>
  <c r="CS496" i="3"/>
  <c r="CP496" i="3"/>
  <c r="CJ496" i="3"/>
  <c r="CM496" i="3" s="1"/>
  <c r="CH496" i="3"/>
  <c r="CF496" i="3"/>
  <c r="CE496" i="3"/>
  <c r="CD496" i="3"/>
  <c r="CC496" i="3"/>
  <c r="CA496" i="3"/>
  <c r="CB496" i="3" s="1"/>
  <c r="CG496" i="3" s="1"/>
  <c r="BT496" i="3"/>
  <c r="BP496" i="3"/>
  <c r="BO496" i="3"/>
  <c r="BN496" i="3"/>
  <c r="BM496" i="3"/>
  <c r="BL496" i="3"/>
  <c r="AY496" i="3"/>
  <c r="AX496" i="3"/>
  <c r="AW496" i="3"/>
  <c r="DT495" i="3"/>
  <c r="DS495" i="3"/>
  <c r="DR495" i="3"/>
  <c r="DQ495" i="3"/>
  <c r="DK495" i="3"/>
  <c r="DI495" i="3"/>
  <c r="DH495" i="3"/>
  <c r="CV495" i="3"/>
  <c r="CU495" i="3"/>
  <c r="CT495" i="3"/>
  <c r="CS495" i="3"/>
  <c r="CP495" i="3"/>
  <c r="CJ495" i="3"/>
  <c r="CM495" i="3" s="1"/>
  <c r="CG495" i="3"/>
  <c r="CH495" i="3" s="1"/>
  <c r="CF495" i="3"/>
  <c r="CE495" i="3"/>
  <c r="CD495" i="3"/>
  <c r="CC495" i="3"/>
  <c r="CB495" i="3"/>
  <c r="CA495" i="3"/>
  <c r="BT495" i="3"/>
  <c r="BS495" i="3"/>
  <c r="BP495" i="3"/>
  <c r="BO495" i="3"/>
  <c r="BN495" i="3"/>
  <c r="BM495" i="3"/>
  <c r="BR495" i="3" s="1"/>
  <c r="BL495" i="3"/>
  <c r="AY495" i="3"/>
  <c r="AX495" i="3"/>
  <c r="AW495" i="3"/>
  <c r="DT494" i="3"/>
  <c r="DR494" i="3"/>
  <c r="DQ494" i="3"/>
  <c r="DK494" i="3"/>
  <c r="DI494" i="3"/>
  <c r="DH494" i="3"/>
  <c r="CV494" i="3"/>
  <c r="CU494" i="3"/>
  <c r="CS494" i="3"/>
  <c r="CT494" i="3" s="1"/>
  <c r="CP494" i="3"/>
  <c r="CM494" i="3"/>
  <c r="CJ494" i="3"/>
  <c r="CG494" i="3"/>
  <c r="CF494" i="3"/>
  <c r="CE494" i="3"/>
  <c r="CD494" i="3"/>
  <c r="CC494" i="3"/>
  <c r="CB494" i="3"/>
  <c r="CA494" i="3"/>
  <c r="BT494" i="3"/>
  <c r="BS494" i="3"/>
  <c r="BP494" i="3"/>
  <c r="BO494" i="3"/>
  <c r="BN494" i="3"/>
  <c r="BM494" i="3"/>
  <c r="BR494" i="3" s="1"/>
  <c r="BL494" i="3"/>
  <c r="AY494" i="3"/>
  <c r="AX494" i="3"/>
  <c r="AW494" i="3"/>
  <c r="DT493" i="3"/>
  <c r="DR493" i="3"/>
  <c r="DQ493" i="3"/>
  <c r="DK493" i="3"/>
  <c r="DI493" i="3"/>
  <c r="DH493" i="3"/>
  <c r="CU493" i="3"/>
  <c r="CV493" i="3" s="1"/>
  <c r="CS493" i="3"/>
  <c r="CT493" i="3" s="1"/>
  <c r="CP493" i="3"/>
  <c r="CJ493" i="3"/>
  <c r="CM493" i="3" s="1"/>
  <c r="CF493" i="3"/>
  <c r="CE493" i="3"/>
  <c r="CD493" i="3"/>
  <c r="CC493" i="3"/>
  <c r="CA493" i="3"/>
  <c r="CB493" i="3" s="1"/>
  <c r="CG493" i="3" s="1"/>
  <c r="CH493" i="3" s="1"/>
  <c r="BT493" i="3"/>
  <c r="BS493" i="3"/>
  <c r="BP493" i="3"/>
  <c r="BO493" i="3"/>
  <c r="BN493" i="3"/>
  <c r="BM493" i="3"/>
  <c r="BL493" i="3"/>
  <c r="AY493" i="3"/>
  <c r="AX493" i="3"/>
  <c r="AW493" i="3"/>
  <c r="DT492" i="3"/>
  <c r="DR492" i="3"/>
  <c r="DQ492" i="3"/>
  <c r="DK492" i="3"/>
  <c r="DI492" i="3"/>
  <c r="DH492" i="3"/>
  <c r="CU492" i="3"/>
  <c r="CV492" i="3" s="1"/>
  <c r="CT492" i="3"/>
  <c r="CS492" i="3"/>
  <c r="CP492" i="3"/>
  <c r="CJ492" i="3"/>
  <c r="CM492" i="3" s="1"/>
  <c r="CH492" i="3"/>
  <c r="CF492" i="3"/>
  <c r="CE492" i="3"/>
  <c r="CD492" i="3"/>
  <c r="CC492" i="3"/>
  <c r="CA492" i="3"/>
  <c r="CB492" i="3" s="1"/>
  <c r="CG492" i="3" s="1"/>
  <c r="DS492" i="3" s="1"/>
  <c r="BT492" i="3"/>
  <c r="BP492" i="3"/>
  <c r="BO492" i="3"/>
  <c r="BN492" i="3"/>
  <c r="BM492" i="3"/>
  <c r="BL492" i="3"/>
  <c r="AY492" i="3"/>
  <c r="AX492" i="3"/>
  <c r="AW492" i="3"/>
  <c r="DT491" i="3"/>
  <c r="DR491" i="3"/>
  <c r="DQ491" i="3"/>
  <c r="DK491" i="3"/>
  <c r="DI491" i="3"/>
  <c r="DH491" i="3"/>
  <c r="CV491" i="3"/>
  <c r="CU491" i="3"/>
  <c r="CT491" i="3"/>
  <c r="CS491" i="3"/>
  <c r="CP491" i="3"/>
  <c r="CM491" i="3"/>
  <c r="CJ491" i="3"/>
  <c r="CF491" i="3"/>
  <c r="CE491" i="3"/>
  <c r="CD491" i="3"/>
  <c r="CC491" i="3"/>
  <c r="CA491" i="3"/>
  <c r="CB491" i="3" s="1"/>
  <c r="CG491" i="3" s="1"/>
  <c r="BT491" i="3"/>
  <c r="BS491" i="3"/>
  <c r="BP491" i="3"/>
  <c r="BO491" i="3"/>
  <c r="BN491" i="3"/>
  <c r="BM491" i="3"/>
  <c r="BR491" i="3" s="1"/>
  <c r="BL491" i="3"/>
  <c r="AY491" i="3"/>
  <c r="AX491" i="3"/>
  <c r="AW491" i="3"/>
  <c r="DT490" i="3"/>
  <c r="DR490" i="3"/>
  <c r="DQ490" i="3"/>
  <c r="DK490" i="3"/>
  <c r="DI490" i="3"/>
  <c r="DH490" i="3"/>
  <c r="CV490" i="3"/>
  <c r="CU490" i="3"/>
  <c r="CS490" i="3"/>
  <c r="CT490" i="3" s="1"/>
  <c r="CP490" i="3"/>
  <c r="CM490" i="3"/>
  <c r="CJ490" i="3"/>
  <c r="CF490" i="3"/>
  <c r="CE490" i="3"/>
  <c r="CD490" i="3"/>
  <c r="CC490" i="3"/>
  <c r="CA490" i="3"/>
  <c r="CB490" i="3" s="1"/>
  <c r="CG490" i="3" s="1"/>
  <c r="BT490" i="3"/>
  <c r="BS490" i="3"/>
  <c r="BQ490" i="3"/>
  <c r="BP490" i="3"/>
  <c r="BO490" i="3"/>
  <c r="BN490" i="3"/>
  <c r="BM490" i="3"/>
  <c r="BR490" i="3" s="1"/>
  <c r="BL490" i="3"/>
  <c r="AY490" i="3"/>
  <c r="AX490" i="3"/>
  <c r="AW490" i="3"/>
  <c r="DT489" i="3"/>
  <c r="DR489" i="3"/>
  <c r="DQ489" i="3"/>
  <c r="DK489" i="3"/>
  <c r="DI489" i="3"/>
  <c r="DH489" i="3"/>
  <c r="CV489" i="3"/>
  <c r="CU489" i="3"/>
  <c r="CS489" i="3"/>
  <c r="CT489" i="3" s="1"/>
  <c r="CP489" i="3"/>
  <c r="CJ489" i="3"/>
  <c r="CM489" i="3" s="1"/>
  <c r="CF489" i="3"/>
  <c r="CE489" i="3"/>
  <c r="CD489" i="3"/>
  <c r="CC489" i="3"/>
  <c r="CA489" i="3"/>
  <c r="CB489" i="3" s="1"/>
  <c r="CG489" i="3" s="1"/>
  <c r="CH489" i="3" s="1"/>
  <c r="BT489" i="3"/>
  <c r="BQ489" i="3"/>
  <c r="BP489" i="3"/>
  <c r="BO489" i="3"/>
  <c r="BN489" i="3"/>
  <c r="BM489" i="3"/>
  <c r="BL489" i="3"/>
  <c r="AY489" i="3"/>
  <c r="AX489" i="3"/>
  <c r="AW489" i="3"/>
  <c r="DT488" i="3"/>
  <c r="DS488" i="3"/>
  <c r="DR488" i="3"/>
  <c r="DQ488" i="3"/>
  <c r="DK488" i="3"/>
  <c r="DI488" i="3"/>
  <c r="DH488" i="3"/>
  <c r="CV488" i="3"/>
  <c r="CU488" i="3"/>
  <c r="CT488" i="3"/>
  <c r="CS488" i="3"/>
  <c r="CP488" i="3"/>
  <c r="CJ488" i="3"/>
  <c r="CM488" i="3" s="1"/>
  <c r="CH488" i="3"/>
  <c r="CF488" i="3"/>
  <c r="CE488" i="3"/>
  <c r="CD488" i="3"/>
  <c r="CC488" i="3"/>
  <c r="CA488" i="3"/>
  <c r="CB488" i="3" s="1"/>
  <c r="CG488" i="3" s="1"/>
  <c r="BT488" i="3"/>
  <c r="BQ488" i="3"/>
  <c r="BP488" i="3"/>
  <c r="BO488" i="3"/>
  <c r="BN488" i="3"/>
  <c r="BM488" i="3"/>
  <c r="BL488" i="3"/>
  <c r="AY488" i="3"/>
  <c r="AX488" i="3"/>
  <c r="AW488" i="3"/>
  <c r="DT487" i="3"/>
  <c r="DR487" i="3"/>
  <c r="DQ487" i="3"/>
  <c r="DK487" i="3"/>
  <c r="DI487" i="3"/>
  <c r="DH487" i="3"/>
  <c r="CV487" i="3"/>
  <c r="CU487" i="3"/>
  <c r="CT487" i="3"/>
  <c r="CS487" i="3"/>
  <c r="CP487" i="3"/>
  <c r="CM487" i="3"/>
  <c r="CJ487" i="3"/>
  <c r="CF487" i="3"/>
  <c r="CE487" i="3"/>
  <c r="CD487" i="3"/>
  <c r="CC487" i="3"/>
  <c r="CB487" i="3"/>
  <c r="CG487" i="3" s="1"/>
  <c r="CA487" i="3"/>
  <c r="BT487" i="3"/>
  <c r="BQ487" i="3"/>
  <c r="BP487" i="3"/>
  <c r="BO487" i="3"/>
  <c r="BN487" i="3"/>
  <c r="BM487" i="3"/>
  <c r="BL487" i="3"/>
  <c r="AY487" i="3"/>
  <c r="AX487" i="3"/>
  <c r="AW487" i="3"/>
  <c r="DT486" i="3"/>
  <c r="DR486" i="3"/>
  <c r="DQ486" i="3"/>
  <c r="DK486" i="3"/>
  <c r="DI486" i="3"/>
  <c r="DH486" i="3"/>
  <c r="CV486" i="3"/>
  <c r="CU486" i="3"/>
  <c r="CS486" i="3"/>
  <c r="CT486" i="3" s="1"/>
  <c r="CP486" i="3"/>
  <c r="CM486" i="3"/>
  <c r="CJ486" i="3"/>
  <c r="CF486" i="3"/>
  <c r="CE486" i="3"/>
  <c r="CD486" i="3"/>
  <c r="CC486" i="3"/>
  <c r="CB486" i="3"/>
  <c r="CG486" i="3" s="1"/>
  <c r="CA486" i="3"/>
  <c r="BT486" i="3"/>
  <c r="BP486" i="3"/>
  <c r="BO486" i="3"/>
  <c r="BN486" i="3"/>
  <c r="BM486" i="3"/>
  <c r="BL486" i="3"/>
  <c r="AY486" i="3"/>
  <c r="AX486" i="3"/>
  <c r="AW486" i="3"/>
  <c r="DT485" i="3"/>
  <c r="DR485" i="3"/>
  <c r="DQ485" i="3"/>
  <c r="DK485" i="3"/>
  <c r="DI485" i="3"/>
  <c r="DH485" i="3"/>
  <c r="CU485" i="3"/>
  <c r="CV485" i="3" s="1"/>
  <c r="CS485" i="3"/>
  <c r="CT485" i="3" s="1"/>
  <c r="CP485" i="3"/>
  <c r="CJ485" i="3"/>
  <c r="CM485" i="3" s="1"/>
  <c r="CF485" i="3"/>
  <c r="CE485" i="3"/>
  <c r="CD485" i="3"/>
  <c r="CC485" i="3"/>
  <c r="CA485" i="3"/>
  <c r="CB485" i="3" s="1"/>
  <c r="CG485" i="3" s="1"/>
  <c r="CH485" i="3" s="1"/>
  <c r="BT485" i="3"/>
  <c r="BP485" i="3"/>
  <c r="BO485" i="3"/>
  <c r="BN485" i="3"/>
  <c r="BM485" i="3"/>
  <c r="BL485" i="3"/>
  <c r="AY485" i="3"/>
  <c r="AX485" i="3"/>
  <c r="AW485" i="3"/>
  <c r="DT484" i="3"/>
  <c r="DR484" i="3"/>
  <c r="DQ484" i="3"/>
  <c r="DK484" i="3"/>
  <c r="DI484" i="3"/>
  <c r="DH484" i="3"/>
  <c r="CV484" i="3"/>
  <c r="CU484" i="3"/>
  <c r="CT484" i="3"/>
  <c r="CS484" i="3"/>
  <c r="CP484" i="3"/>
  <c r="CJ484" i="3"/>
  <c r="CM484" i="3" s="1"/>
  <c r="CF484" i="3"/>
  <c r="CE484" i="3"/>
  <c r="CD484" i="3"/>
  <c r="CC484" i="3"/>
  <c r="CA484" i="3"/>
  <c r="CB484" i="3" s="1"/>
  <c r="CG484" i="3" s="1"/>
  <c r="BT484" i="3"/>
  <c r="BS484" i="3"/>
  <c r="BQ484" i="3"/>
  <c r="BP484" i="3"/>
  <c r="BO484" i="3"/>
  <c r="BN484" i="3"/>
  <c r="BM484" i="3"/>
  <c r="BR484" i="3" s="1"/>
  <c r="BL484" i="3"/>
  <c r="AY484" i="3"/>
  <c r="AX484" i="3"/>
  <c r="AW484" i="3"/>
  <c r="DT483" i="3"/>
  <c r="DS483" i="3"/>
  <c r="DR483" i="3"/>
  <c r="DQ483" i="3"/>
  <c r="DK483" i="3"/>
  <c r="DI483" i="3"/>
  <c r="DH483" i="3"/>
  <c r="CV483" i="3"/>
  <c r="CU483" i="3"/>
  <c r="CT483" i="3"/>
  <c r="CS483" i="3"/>
  <c r="CP483" i="3"/>
  <c r="CM483" i="3"/>
  <c r="CJ483" i="3"/>
  <c r="CG483" i="3"/>
  <c r="CH483" i="3" s="1"/>
  <c r="CF483" i="3"/>
  <c r="CE483" i="3"/>
  <c r="CD483" i="3"/>
  <c r="CC483" i="3"/>
  <c r="CA483" i="3"/>
  <c r="CB483" i="3" s="1"/>
  <c r="BT483" i="3"/>
  <c r="BS483" i="3"/>
  <c r="BQ483" i="3"/>
  <c r="BP483" i="3"/>
  <c r="BO483" i="3"/>
  <c r="BN483" i="3"/>
  <c r="BM483" i="3"/>
  <c r="BR483" i="3" s="1"/>
  <c r="BL483" i="3"/>
  <c r="AY483" i="3"/>
  <c r="AX483" i="3"/>
  <c r="AW483" i="3"/>
  <c r="DT482" i="3"/>
  <c r="DR482" i="3"/>
  <c r="DQ482" i="3"/>
  <c r="DK482" i="3"/>
  <c r="DI482" i="3"/>
  <c r="DH482" i="3"/>
  <c r="CV482" i="3"/>
  <c r="CU482" i="3"/>
  <c r="CS482" i="3"/>
  <c r="CT482" i="3" s="1"/>
  <c r="CP482" i="3"/>
  <c r="CM482" i="3"/>
  <c r="CJ482" i="3"/>
  <c r="CF482" i="3"/>
  <c r="CE482" i="3"/>
  <c r="CD482" i="3"/>
  <c r="CC482" i="3"/>
  <c r="CA482" i="3"/>
  <c r="CB482" i="3" s="1"/>
  <c r="CG482" i="3" s="1"/>
  <c r="BT482" i="3"/>
  <c r="BS482" i="3"/>
  <c r="BQ482" i="3"/>
  <c r="BP482" i="3"/>
  <c r="BO482" i="3"/>
  <c r="BN482" i="3"/>
  <c r="BM482" i="3"/>
  <c r="BR482" i="3" s="1"/>
  <c r="BL482" i="3"/>
  <c r="AY482" i="3"/>
  <c r="AX482" i="3"/>
  <c r="AW482" i="3"/>
  <c r="DT481" i="3"/>
  <c r="DR481" i="3"/>
  <c r="DQ481" i="3"/>
  <c r="DK481" i="3"/>
  <c r="DI481" i="3"/>
  <c r="DH481" i="3"/>
  <c r="CU481" i="3"/>
  <c r="CV481" i="3" s="1"/>
  <c r="CS481" i="3"/>
  <c r="CT481" i="3" s="1"/>
  <c r="CP481" i="3"/>
  <c r="CJ481" i="3"/>
  <c r="CM481" i="3" s="1"/>
  <c r="CF481" i="3"/>
  <c r="CE481" i="3"/>
  <c r="CD481" i="3"/>
  <c r="CC481" i="3"/>
  <c r="CA481" i="3"/>
  <c r="CB481" i="3" s="1"/>
  <c r="CG481" i="3" s="1"/>
  <c r="CH481" i="3" s="1"/>
  <c r="BT481" i="3"/>
  <c r="BQ481" i="3"/>
  <c r="BP481" i="3"/>
  <c r="BO481" i="3"/>
  <c r="BN481" i="3"/>
  <c r="BM481" i="3"/>
  <c r="BL481" i="3"/>
  <c r="AY481" i="3"/>
  <c r="AX481" i="3"/>
  <c r="AW481" i="3"/>
  <c r="DT480" i="3"/>
  <c r="DR480" i="3"/>
  <c r="DQ480" i="3"/>
  <c r="DK480" i="3"/>
  <c r="DI480" i="3"/>
  <c r="DH480" i="3"/>
  <c r="CU480" i="3"/>
  <c r="CV480" i="3" s="1"/>
  <c r="CT480" i="3"/>
  <c r="CS480" i="3"/>
  <c r="CP480" i="3"/>
  <c r="CJ480" i="3"/>
  <c r="CM480" i="3" s="1"/>
  <c r="CF480" i="3"/>
  <c r="CE480" i="3"/>
  <c r="CD480" i="3"/>
  <c r="CC480" i="3"/>
  <c r="CA480" i="3"/>
  <c r="CB480" i="3" s="1"/>
  <c r="CG480" i="3" s="1"/>
  <c r="BT480" i="3"/>
  <c r="BS480" i="3"/>
  <c r="BQ480" i="3"/>
  <c r="BP480" i="3"/>
  <c r="BO480" i="3"/>
  <c r="BN480" i="3"/>
  <c r="BM480" i="3"/>
  <c r="BR480" i="3" s="1"/>
  <c r="BL480" i="3"/>
  <c r="AY480" i="3"/>
  <c r="AX480" i="3"/>
  <c r="AW480" i="3"/>
  <c r="DT479" i="3"/>
  <c r="DR479" i="3"/>
  <c r="DQ479" i="3"/>
  <c r="DK479" i="3"/>
  <c r="DI479" i="3"/>
  <c r="DH479" i="3"/>
  <c r="CV479" i="3"/>
  <c r="CU479" i="3"/>
  <c r="CT479" i="3"/>
  <c r="CS479" i="3"/>
  <c r="CP479" i="3"/>
  <c r="CM479" i="3"/>
  <c r="CJ479" i="3"/>
  <c r="CF479" i="3"/>
  <c r="CE479" i="3"/>
  <c r="CD479" i="3"/>
  <c r="CC479" i="3"/>
  <c r="CA479" i="3"/>
  <c r="CB479" i="3" s="1"/>
  <c r="CG479" i="3" s="1"/>
  <c r="BT479" i="3"/>
  <c r="BS479" i="3"/>
  <c r="BQ479" i="3"/>
  <c r="BP479" i="3"/>
  <c r="BO479" i="3"/>
  <c r="BN479" i="3"/>
  <c r="BM479" i="3"/>
  <c r="BR479" i="3" s="1"/>
  <c r="BL479" i="3"/>
  <c r="AY479" i="3"/>
  <c r="AX479" i="3"/>
  <c r="AW479" i="3"/>
  <c r="DT478" i="3"/>
  <c r="DR478" i="3"/>
  <c r="DQ478" i="3"/>
  <c r="DK478" i="3"/>
  <c r="DI478" i="3"/>
  <c r="DH478" i="3"/>
  <c r="CV478" i="3"/>
  <c r="CU478" i="3"/>
  <c r="CT478" i="3"/>
  <c r="CS478" i="3"/>
  <c r="CP478" i="3"/>
  <c r="CM478" i="3"/>
  <c r="CJ478" i="3"/>
  <c r="CG478" i="3"/>
  <c r="CH478" i="3" s="1"/>
  <c r="CF478" i="3"/>
  <c r="CE478" i="3"/>
  <c r="CD478" i="3"/>
  <c r="CC478" i="3"/>
  <c r="CA478" i="3"/>
  <c r="CB478" i="3" s="1"/>
  <c r="BT478" i="3"/>
  <c r="BS478" i="3"/>
  <c r="BQ478" i="3"/>
  <c r="BP478" i="3"/>
  <c r="BO478" i="3"/>
  <c r="BN478" i="3"/>
  <c r="BM478" i="3"/>
  <c r="BR478" i="3" s="1"/>
  <c r="BL478" i="3"/>
  <c r="AY478" i="3"/>
  <c r="AX478" i="3"/>
  <c r="AW478" i="3"/>
  <c r="DT477" i="3"/>
  <c r="DR477" i="3"/>
  <c r="DQ477" i="3"/>
  <c r="DK477" i="3"/>
  <c r="DI477" i="3"/>
  <c r="DH477" i="3"/>
  <c r="CV477" i="3"/>
  <c r="CU477" i="3"/>
  <c r="CT477" i="3"/>
  <c r="CS477" i="3"/>
  <c r="CP477" i="3"/>
  <c r="CJ477" i="3"/>
  <c r="CM477" i="3" s="1"/>
  <c r="CF477" i="3"/>
  <c r="CE477" i="3"/>
  <c r="CD477" i="3"/>
  <c r="CC477" i="3"/>
  <c r="CA477" i="3"/>
  <c r="CB477" i="3" s="1"/>
  <c r="CG477" i="3" s="1"/>
  <c r="CH477" i="3" s="1"/>
  <c r="BT477" i="3"/>
  <c r="BS477" i="3"/>
  <c r="BQ477" i="3"/>
  <c r="BP477" i="3"/>
  <c r="BO477" i="3"/>
  <c r="BN477" i="3"/>
  <c r="BM477" i="3"/>
  <c r="BR477" i="3" s="1"/>
  <c r="BL477" i="3"/>
  <c r="AY477" i="3"/>
  <c r="AX477" i="3"/>
  <c r="AW477" i="3"/>
  <c r="DT476" i="3"/>
  <c r="DS476" i="3"/>
  <c r="DR476" i="3"/>
  <c r="DQ476" i="3"/>
  <c r="DK476" i="3"/>
  <c r="DI476" i="3"/>
  <c r="DH476" i="3"/>
  <c r="CV476" i="3"/>
  <c r="CU476" i="3"/>
  <c r="CT476" i="3"/>
  <c r="CS476" i="3"/>
  <c r="CP476" i="3"/>
  <c r="CJ476" i="3"/>
  <c r="CM476" i="3" s="1"/>
  <c r="CH476" i="3"/>
  <c r="CF476" i="3"/>
  <c r="CE476" i="3"/>
  <c r="CD476" i="3"/>
  <c r="CC476" i="3"/>
  <c r="CA476" i="3"/>
  <c r="CB476" i="3" s="1"/>
  <c r="CG476" i="3" s="1"/>
  <c r="BT476" i="3"/>
  <c r="BS476" i="3"/>
  <c r="BQ476" i="3"/>
  <c r="BP476" i="3"/>
  <c r="BO476" i="3"/>
  <c r="BN476" i="3"/>
  <c r="BM476" i="3"/>
  <c r="BR476" i="3" s="1"/>
  <c r="BL476" i="3"/>
  <c r="AY476" i="3"/>
  <c r="AX476" i="3"/>
  <c r="AW476" i="3"/>
  <c r="DT475" i="3"/>
  <c r="DR475" i="3"/>
  <c r="DQ475" i="3"/>
  <c r="DK475" i="3"/>
  <c r="DI475" i="3"/>
  <c r="DH475" i="3"/>
  <c r="CV475" i="3"/>
  <c r="CU475" i="3"/>
  <c r="CT475" i="3"/>
  <c r="CS475" i="3"/>
  <c r="CP475" i="3"/>
  <c r="CM475" i="3"/>
  <c r="CJ475" i="3"/>
  <c r="CG475" i="3"/>
  <c r="CF475" i="3"/>
  <c r="CE475" i="3"/>
  <c r="CD475" i="3"/>
  <c r="CC475" i="3"/>
  <c r="CB475" i="3"/>
  <c r="CA475" i="3"/>
  <c r="BT475" i="3"/>
  <c r="BS475" i="3"/>
  <c r="BQ475" i="3"/>
  <c r="BP475" i="3"/>
  <c r="BO475" i="3"/>
  <c r="BN475" i="3"/>
  <c r="BM475" i="3"/>
  <c r="BR475" i="3" s="1"/>
  <c r="BL475" i="3"/>
  <c r="AY475" i="3"/>
  <c r="AX475" i="3"/>
  <c r="AW475" i="3"/>
  <c r="DT474" i="3"/>
  <c r="DR474" i="3"/>
  <c r="DQ474" i="3"/>
  <c r="DK474" i="3"/>
  <c r="DI474" i="3"/>
  <c r="DH474" i="3"/>
  <c r="CV474" i="3"/>
  <c r="CU474" i="3"/>
  <c r="CT474" i="3"/>
  <c r="CS474" i="3"/>
  <c r="CP474" i="3"/>
  <c r="CM474" i="3"/>
  <c r="CJ474" i="3"/>
  <c r="CG474" i="3"/>
  <c r="CF474" i="3"/>
  <c r="CE474" i="3"/>
  <c r="CD474" i="3"/>
  <c r="CC474" i="3"/>
  <c r="CB474" i="3"/>
  <c r="CA474" i="3"/>
  <c r="BT474" i="3"/>
  <c r="BS474" i="3"/>
  <c r="BQ474" i="3"/>
  <c r="BP474" i="3"/>
  <c r="BO474" i="3"/>
  <c r="BN474" i="3"/>
  <c r="BM474" i="3"/>
  <c r="BR474" i="3" s="1"/>
  <c r="BL474" i="3"/>
  <c r="AY474" i="3"/>
  <c r="AX474" i="3"/>
  <c r="AW474" i="3"/>
  <c r="DT473" i="3"/>
  <c r="DR473" i="3"/>
  <c r="DQ473" i="3"/>
  <c r="DK473" i="3"/>
  <c r="DI473" i="3"/>
  <c r="DH473" i="3"/>
  <c r="CV473" i="3"/>
  <c r="CU473" i="3"/>
  <c r="CT473" i="3"/>
  <c r="CS473" i="3"/>
  <c r="CP473" i="3"/>
  <c r="CJ473" i="3"/>
  <c r="CM473" i="3" s="1"/>
  <c r="CF473" i="3"/>
  <c r="CE473" i="3"/>
  <c r="CD473" i="3"/>
  <c r="CC473" i="3"/>
  <c r="CA473" i="3"/>
  <c r="CB473" i="3" s="1"/>
  <c r="CG473" i="3" s="1"/>
  <c r="CH473" i="3" s="1"/>
  <c r="BT473" i="3"/>
  <c r="BS473" i="3"/>
  <c r="BQ473" i="3"/>
  <c r="BP473" i="3"/>
  <c r="BO473" i="3"/>
  <c r="BN473" i="3"/>
  <c r="BM473" i="3"/>
  <c r="BR473" i="3" s="1"/>
  <c r="BL473" i="3"/>
  <c r="AY473" i="3"/>
  <c r="AX473" i="3"/>
  <c r="AW473" i="3"/>
  <c r="DT472" i="3"/>
  <c r="DR472" i="3"/>
  <c r="DQ472" i="3"/>
  <c r="DK472" i="3"/>
  <c r="DI472" i="3"/>
  <c r="DH472" i="3"/>
  <c r="CV472" i="3"/>
  <c r="CU472" i="3"/>
  <c r="CT472" i="3"/>
  <c r="CS472" i="3"/>
  <c r="CP472" i="3"/>
  <c r="CJ472" i="3"/>
  <c r="CM472" i="3" s="1"/>
  <c r="CF472" i="3"/>
  <c r="CE472" i="3"/>
  <c r="CD472" i="3"/>
  <c r="CC472" i="3"/>
  <c r="CA472" i="3"/>
  <c r="CB472" i="3" s="1"/>
  <c r="CG472" i="3" s="1"/>
  <c r="CH472" i="3" s="1"/>
  <c r="BT472" i="3"/>
  <c r="BP472" i="3"/>
  <c r="BO472" i="3"/>
  <c r="BN472" i="3"/>
  <c r="BM472" i="3"/>
  <c r="BL472" i="3"/>
  <c r="AY472" i="3"/>
  <c r="AX472" i="3"/>
  <c r="AW472" i="3"/>
  <c r="DT471" i="3"/>
  <c r="DR471" i="3"/>
  <c r="DQ471" i="3"/>
  <c r="DK471" i="3"/>
  <c r="DI471" i="3"/>
  <c r="DH471" i="3"/>
  <c r="CV471" i="3"/>
  <c r="CU471" i="3"/>
  <c r="CT471" i="3"/>
  <c r="CS471" i="3"/>
  <c r="CP471" i="3"/>
  <c r="CM471" i="3"/>
  <c r="CJ471" i="3"/>
  <c r="CF471" i="3"/>
  <c r="CE471" i="3"/>
  <c r="CD471" i="3"/>
  <c r="CC471" i="3"/>
  <c r="CA471" i="3"/>
  <c r="CB471" i="3" s="1"/>
  <c r="CG471" i="3" s="1"/>
  <c r="BT471" i="3"/>
  <c r="BS471" i="3"/>
  <c r="BP471" i="3"/>
  <c r="BO471" i="3"/>
  <c r="BN471" i="3"/>
  <c r="BM471" i="3"/>
  <c r="BL471" i="3"/>
  <c r="AY471" i="3"/>
  <c r="AX471" i="3"/>
  <c r="AW471" i="3"/>
  <c r="DT470" i="3"/>
  <c r="DR470" i="3"/>
  <c r="DQ470" i="3"/>
  <c r="DK470" i="3"/>
  <c r="DI470" i="3"/>
  <c r="DH470" i="3"/>
  <c r="CU470" i="3"/>
  <c r="CV470" i="3" s="1"/>
  <c r="CT470" i="3"/>
  <c r="CS470" i="3"/>
  <c r="CP470" i="3"/>
  <c r="CM470" i="3"/>
  <c r="CJ470" i="3"/>
  <c r="CF470" i="3"/>
  <c r="CE470" i="3"/>
  <c r="CD470" i="3"/>
  <c r="CC470" i="3"/>
  <c r="CA470" i="3"/>
  <c r="CB470" i="3" s="1"/>
  <c r="CG470" i="3" s="1"/>
  <c r="BT470" i="3"/>
  <c r="BS470" i="3"/>
  <c r="BQ470" i="3"/>
  <c r="BP470" i="3"/>
  <c r="BO470" i="3"/>
  <c r="BN470" i="3"/>
  <c r="BM470" i="3"/>
  <c r="BR470" i="3" s="1"/>
  <c r="BL470" i="3"/>
  <c r="AY470" i="3"/>
  <c r="AX470" i="3"/>
  <c r="AW470" i="3"/>
  <c r="DT469" i="3"/>
  <c r="DR469" i="3"/>
  <c r="DQ469" i="3"/>
  <c r="DK469" i="3"/>
  <c r="DI469" i="3"/>
  <c r="DH469" i="3"/>
  <c r="CU469" i="3"/>
  <c r="CV469" i="3" s="1"/>
  <c r="CS469" i="3"/>
  <c r="CT469" i="3" s="1"/>
  <c r="CP469" i="3"/>
  <c r="CJ469" i="3"/>
  <c r="CM469" i="3" s="1"/>
  <c r="CF469" i="3"/>
  <c r="CE469" i="3"/>
  <c r="CD469" i="3"/>
  <c r="CC469" i="3"/>
  <c r="CA469" i="3"/>
  <c r="CB469" i="3" s="1"/>
  <c r="CG469" i="3" s="1"/>
  <c r="DS469" i="3" s="1"/>
  <c r="BT469" i="3"/>
  <c r="BS469" i="3"/>
  <c r="BQ469" i="3"/>
  <c r="BP469" i="3"/>
  <c r="BO469" i="3"/>
  <c r="BN469" i="3"/>
  <c r="BM469" i="3"/>
  <c r="BR469" i="3" s="1"/>
  <c r="BL469" i="3"/>
  <c r="AY469" i="3"/>
  <c r="AX469" i="3"/>
  <c r="AW469" i="3"/>
  <c r="DT468" i="3"/>
  <c r="DR468" i="3"/>
  <c r="DQ468" i="3"/>
  <c r="DK468" i="3"/>
  <c r="DI468" i="3"/>
  <c r="DH468" i="3"/>
  <c r="CU468" i="3"/>
  <c r="CV468" i="3" s="1"/>
  <c r="CT468" i="3"/>
  <c r="CS468" i="3"/>
  <c r="CP468" i="3"/>
  <c r="CJ468" i="3"/>
  <c r="CM468" i="3" s="1"/>
  <c r="CG468" i="3"/>
  <c r="CF468" i="3"/>
  <c r="CE468" i="3"/>
  <c r="CD468" i="3"/>
  <c r="CC468" i="3"/>
  <c r="CA468" i="3"/>
  <c r="CB468" i="3" s="1"/>
  <c r="BT468" i="3"/>
  <c r="BS468" i="3"/>
  <c r="BR468" i="3"/>
  <c r="BP468" i="3"/>
  <c r="BO468" i="3"/>
  <c r="BN468" i="3"/>
  <c r="BM468" i="3"/>
  <c r="BQ468" i="3" s="1"/>
  <c r="BL468" i="3"/>
  <c r="AY468" i="3"/>
  <c r="AX468" i="3"/>
  <c r="AW468" i="3"/>
  <c r="DT467" i="3"/>
  <c r="DR467" i="3"/>
  <c r="DQ467" i="3"/>
  <c r="DK467" i="3"/>
  <c r="DI467" i="3"/>
  <c r="DH467" i="3"/>
  <c r="CV467" i="3"/>
  <c r="CU467" i="3"/>
  <c r="CT467" i="3"/>
  <c r="CS467" i="3"/>
  <c r="CP467" i="3"/>
  <c r="CJ467" i="3"/>
  <c r="CM467" i="3" s="1"/>
  <c r="CG467" i="3"/>
  <c r="CF467" i="3"/>
  <c r="CE467" i="3"/>
  <c r="CD467" i="3"/>
  <c r="CC467" i="3"/>
  <c r="CA467" i="3"/>
  <c r="CB467" i="3" s="1"/>
  <c r="BT467" i="3"/>
  <c r="BS467" i="3"/>
  <c r="BP467" i="3"/>
  <c r="BO467" i="3"/>
  <c r="BN467" i="3"/>
  <c r="BM467" i="3"/>
  <c r="BR467" i="3" s="1"/>
  <c r="BL467" i="3"/>
  <c r="AY467" i="3"/>
  <c r="AX467" i="3"/>
  <c r="AW467" i="3"/>
  <c r="DT466" i="3"/>
  <c r="DR466" i="3"/>
  <c r="DQ466" i="3"/>
  <c r="DK466" i="3"/>
  <c r="DI466" i="3"/>
  <c r="DH466" i="3"/>
  <c r="CV466" i="3"/>
  <c r="CU466" i="3"/>
  <c r="CS466" i="3"/>
  <c r="CT466" i="3" s="1"/>
  <c r="CP466" i="3"/>
  <c r="CM466" i="3"/>
  <c r="CJ466" i="3"/>
  <c r="CG466" i="3"/>
  <c r="CF466" i="3"/>
  <c r="CE466" i="3"/>
  <c r="CD466" i="3"/>
  <c r="CC466" i="3"/>
  <c r="CA466" i="3"/>
  <c r="CB466" i="3" s="1"/>
  <c r="BT466" i="3"/>
  <c r="BS466" i="3"/>
  <c r="BR466" i="3"/>
  <c r="BQ466" i="3"/>
  <c r="BP466" i="3"/>
  <c r="BO466" i="3"/>
  <c r="BN466" i="3"/>
  <c r="BM466" i="3"/>
  <c r="BL466" i="3"/>
  <c r="AY466" i="3"/>
  <c r="AX466" i="3"/>
  <c r="AW466" i="3"/>
  <c r="DT465" i="3"/>
  <c r="DR465" i="3"/>
  <c r="DQ465" i="3"/>
  <c r="DK465" i="3"/>
  <c r="DI465" i="3"/>
  <c r="DH465" i="3"/>
  <c r="CV465" i="3"/>
  <c r="CU465" i="3"/>
  <c r="CS465" i="3"/>
  <c r="CT465" i="3" s="1"/>
  <c r="CP465" i="3"/>
  <c r="CJ465" i="3"/>
  <c r="CM465" i="3" s="1"/>
  <c r="CH465" i="3"/>
  <c r="CF465" i="3"/>
  <c r="CE465" i="3"/>
  <c r="CD465" i="3"/>
  <c r="CC465" i="3"/>
  <c r="CA465" i="3"/>
  <c r="CB465" i="3" s="1"/>
  <c r="CG465" i="3" s="1"/>
  <c r="BT465" i="3"/>
  <c r="BS465" i="3"/>
  <c r="BP465" i="3"/>
  <c r="BO465" i="3"/>
  <c r="BN465" i="3"/>
  <c r="BM465" i="3"/>
  <c r="BL465" i="3"/>
  <c r="AY465" i="3"/>
  <c r="AX465" i="3"/>
  <c r="AW465" i="3"/>
  <c r="DT464" i="3"/>
  <c r="DR464" i="3"/>
  <c r="DQ464" i="3"/>
  <c r="DK464" i="3"/>
  <c r="DI464" i="3"/>
  <c r="DH464" i="3"/>
  <c r="CV464" i="3"/>
  <c r="CU464" i="3"/>
  <c r="CT464" i="3"/>
  <c r="CS464" i="3"/>
  <c r="CP464" i="3"/>
  <c r="CM464" i="3"/>
  <c r="CJ464" i="3"/>
  <c r="CF464" i="3"/>
  <c r="CE464" i="3"/>
  <c r="CD464" i="3"/>
  <c r="CC464" i="3"/>
  <c r="CB464" i="3"/>
  <c r="CG464" i="3" s="1"/>
  <c r="CA464" i="3"/>
  <c r="BT464" i="3"/>
  <c r="BP464" i="3"/>
  <c r="BO464" i="3"/>
  <c r="BN464" i="3"/>
  <c r="BM464" i="3"/>
  <c r="BL464" i="3"/>
  <c r="AY464" i="3"/>
  <c r="AX464" i="3"/>
  <c r="AW464" i="3"/>
  <c r="DT463" i="3"/>
  <c r="DR463" i="3"/>
  <c r="DQ463" i="3"/>
  <c r="DK463" i="3"/>
  <c r="DI463" i="3"/>
  <c r="DH463" i="3"/>
  <c r="CV463" i="3"/>
  <c r="CU463" i="3"/>
  <c r="CT463" i="3"/>
  <c r="CS463" i="3"/>
  <c r="CP463" i="3"/>
  <c r="CJ463" i="3"/>
  <c r="CM463" i="3" s="1"/>
  <c r="CF463" i="3"/>
  <c r="CE463" i="3"/>
  <c r="CD463" i="3"/>
  <c r="CC463" i="3"/>
  <c r="CB463" i="3"/>
  <c r="CG463" i="3" s="1"/>
  <c r="CH463" i="3" s="1"/>
  <c r="CA463" i="3"/>
  <c r="BT463" i="3"/>
  <c r="BQ463" i="3"/>
  <c r="BP463" i="3"/>
  <c r="BO463" i="3"/>
  <c r="BN463" i="3"/>
  <c r="BM463" i="3"/>
  <c r="BL463" i="3"/>
  <c r="AY463" i="3"/>
  <c r="AX463" i="3"/>
  <c r="AW463" i="3"/>
  <c r="DT462" i="3"/>
  <c r="DR462" i="3"/>
  <c r="DQ462" i="3"/>
  <c r="DK462" i="3"/>
  <c r="DI462" i="3"/>
  <c r="DH462" i="3"/>
  <c r="CV462" i="3"/>
  <c r="CU462" i="3"/>
  <c r="CT462" i="3"/>
  <c r="CS462" i="3"/>
  <c r="CP462" i="3"/>
  <c r="CM462" i="3"/>
  <c r="CJ462" i="3"/>
  <c r="CF462" i="3"/>
  <c r="CE462" i="3"/>
  <c r="CD462" i="3"/>
  <c r="CC462" i="3"/>
  <c r="CB462" i="3"/>
  <c r="CG462" i="3" s="1"/>
  <c r="CH462" i="3" s="1"/>
  <c r="CA462" i="3"/>
  <c r="BT462" i="3"/>
  <c r="BR462" i="3"/>
  <c r="BP462" i="3"/>
  <c r="BO462" i="3"/>
  <c r="BN462" i="3"/>
  <c r="BM462" i="3"/>
  <c r="BL462" i="3"/>
  <c r="AY462" i="3"/>
  <c r="AX462" i="3"/>
  <c r="AW462" i="3"/>
  <c r="DT461" i="3"/>
  <c r="DS461" i="3"/>
  <c r="DR461" i="3"/>
  <c r="DQ461" i="3"/>
  <c r="DK461" i="3"/>
  <c r="DI461" i="3"/>
  <c r="DH461" i="3"/>
  <c r="CU461" i="3"/>
  <c r="CV461" i="3" s="1"/>
  <c r="CS461" i="3"/>
  <c r="CT461" i="3" s="1"/>
  <c r="CP461" i="3"/>
  <c r="CJ461" i="3"/>
  <c r="CM461" i="3" s="1"/>
  <c r="CG461" i="3"/>
  <c r="CH461" i="3" s="1"/>
  <c r="CF461" i="3"/>
  <c r="CE461" i="3"/>
  <c r="CD461" i="3"/>
  <c r="CC461" i="3"/>
  <c r="CA461" i="3"/>
  <c r="CB461" i="3" s="1"/>
  <c r="BT461" i="3"/>
  <c r="BP461" i="3"/>
  <c r="BO461" i="3"/>
  <c r="BN461" i="3"/>
  <c r="BM461" i="3"/>
  <c r="BL461" i="3"/>
  <c r="AY461" i="3"/>
  <c r="AX461" i="3"/>
  <c r="AW461" i="3"/>
  <c r="DT460" i="3"/>
  <c r="DR460" i="3"/>
  <c r="DQ460" i="3"/>
  <c r="DK460" i="3"/>
  <c r="DI460" i="3"/>
  <c r="DH460" i="3"/>
  <c r="CU460" i="3"/>
  <c r="CV460" i="3" s="1"/>
  <c r="CT460" i="3"/>
  <c r="CS460" i="3"/>
  <c r="CP460" i="3"/>
  <c r="CM460" i="3"/>
  <c r="CJ460" i="3"/>
  <c r="CF460" i="3"/>
  <c r="CE460" i="3"/>
  <c r="CD460" i="3"/>
  <c r="CC460" i="3"/>
  <c r="CA460" i="3"/>
  <c r="CB460" i="3" s="1"/>
  <c r="CG460" i="3" s="1"/>
  <c r="DS460" i="3" s="1"/>
  <c r="BT460" i="3"/>
  <c r="BR460" i="3"/>
  <c r="BP460" i="3"/>
  <c r="BO460" i="3"/>
  <c r="BN460" i="3"/>
  <c r="BM460" i="3"/>
  <c r="BL460" i="3"/>
  <c r="AY460" i="3"/>
  <c r="AX460" i="3"/>
  <c r="AW460" i="3"/>
  <c r="DT459" i="3"/>
  <c r="DR459" i="3"/>
  <c r="DQ459" i="3"/>
  <c r="DK459" i="3"/>
  <c r="DI459" i="3"/>
  <c r="DH459" i="3"/>
  <c r="CV459" i="3"/>
  <c r="CU459" i="3"/>
  <c r="CS459" i="3"/>
  <c r="CT459" i="3" s="1"/>
  <c r="CP459" i="3"/>
  <c r="CM459" i="3"/>
  <c r="CJ459" i="3"/>
  <c r="CH459" i="3"/>
  <c r="CF459" i="3"/>
  <c r="CE459" i="3"/>
  <c r="CD459" i="3"/>
  <c r="CC459" i="3"/>
  <c r="CB459" i="3"/>
  <c r="CG459" i="3" s="1"/>
  <c r="DS459" i="3" s="1"/>
  <c r="CA459" i="3"/>
  <c r="BT459" i="3"/>
  <c r="BP459" i="3"/>
  <c r="BO459" i="3"/>
  <c r="BN459" i="3"/>
  <c r="BM459" i="3"/>
  <c r="BL459" i="3"/>
  <c r="AY459" i="3"/>
  <c r="AX459" i="3"/>
  <c r="AW459" i="3"/>
  <c r="DT458" i="3"/>
  <c r="DR458" i="3"/>
  <c r="DQ458" i="3"/>
  <c r="DK458" i="3"/>
  <c r="DI458" i="3"/>
  <c r="DH458" i="3"/>
  <c r="CV458" i="3"/>
  <c r="CU458" i="3"/>
  <c r="CS458" i="3"/>
  <c r="CT458" i="3" s="1"/>
  <c r="CP458" i="3"/>
  <c r="CJ458" i="3"/>
  <c r="CM458" i="3" s="1"/>
  <c r="CF458" i="3"/>
  <c r="CE458" i="3"/>
  <c r="CD458" i="3"/>
  <c r="CC458" i="3"/>
  <c r="CB458" i="3"/>
  <c r="CG458" i="3" s="1"/>
  <c r="CH458" i="3" s="1"/>
  <c r="CA458" i="3"/>
  <c r="BT458" i="3"/>
  <c r="BS458" i="3"/>
  <c r="BR458" i="3"/>
  <c r="BQ458" i="3"/>
  <c r="BP458" i="3"/>
  <c r="BO458" i="3"/>
  <c r="BN458" i="3"/>
  <c r="BM458" i="3"/>
  <c r="BL458" i="3"/>
  <c r="AY458" i="3"/>
  <c r="AX458" i="3"/>
  <c r="AW458" i="3"/>
  <c r="DT457" i="3"/>
  <c r="DR457" i="3"/>
  <c r="DS457" i="3" s="1"/>
  <c r="DQ457" i="3"/>
  <c r="DK457" i="3"/>
  <c r="DI457" i="3"/>
  <c r="DH457" i="3"/>
  <c r="CV457" i="3"/>
  <c r="CU457" i="3"/>
  <c r="CS457" i="3"/>
  <c r="CT457" i="3" s="1"/>
  <c r="CP457" i="3"/>
  <c r="CJ457" i="3"/>
  <c r="CM457" i="3" s="1"/>
  <c r="CH457" i="3"/>
  <c r="CG457" i="3"/>
  <c r="CF457" i="3"/>
  <c r="CE457" i="3"/>
  <c r="CD457" i="3"/>
  <c r="CC457" i="3"/>
  <c r="CA457" i="3"/>
  <c r="CB457" i="3" s="1"/>
  <c r="BT457" i="3"/>
  <c r="BS457" i="3"/>
  <c r="BR457" i="3"/>
  <c r="BQ457" i="3"/>
  <c r="BP457" i="3"/>
  <c r="BO457" i="3"/>
  <c r="BN457" i="3"/>
  <c r="BM457" i="3"/>
  <c r="BL457" i="3"/>
  <c r="AY457" i="3"/>
  <c r="AX457" i="3"/>
  <c r="AW457" i="3"/>
  <c r="DT456" i="3"/>
  <c r="DR456" i="3"/>
  <c r="DQ456" i="3"/>
  <c r="DK456" i="3"/>
  <c r="DI456" i="3"/>
  <c r="DH456" i="3"/>
  <c r="CV456" i="3"/>
  <c r="CU456" i="3"/>
  <c r="CT456" i="3"/>
  <c r="CS456" i="3"/>
  <c r="CP456" i="3"/>
  <c r="CJ456" i="3"/>
  <c r="CM456" i="3" s="1"/>
  <c r="CF456" i="3"/>
  <c r="CE456" i="3"/>
  <c r="CD456" i="3"/>
  <c r="CC456" i="3"/>
  <c r="CA456" i="3"/>
  <c r="CB456" i="3" s="1"/>
  <c r="CG456" i="3" s="1"/>
  <c r="CH456" i="3" s="1"/>
  <c r="BT456" i="3"/>
  <c r="BP456" i="3"/>
  <c r="BO456" i="3"/>
  <c r="BN456" i="3"/>
  <c r="BM456" i="3"/>
  <c r="BL456" i="3"/>
  <c r="AY456" i="3"/>
  <c r="AX456" i="3"/>
  <c r="AW456" i="3"/>
  <c r="DT455" i="3"/>
  <c r="DR455" i="3"/>
  <c r="DQ455" i="3"/>
  <c r="DK455" i="3"/>
  <c r="DI455" i="3"/>
  <c r="DH455" i="3"/>
  <c r="CV455" i="3"/>
  <c r="CU455" i="3"/>
  <c r="CS455" i="3"/>
  <c r="CT455" i="3" s="1"/>
  <c r="CP455" i="3"/>
  <c r="CJ455" i="3"/>
  <c r="CM455" i="3" s="1"/>
  <c r="CF455" i="3"/>
  <c r="CE455" i="3"/>
  <c r="CD455" i="3"/>
  <c r="CC455" i="3"/>
  <c r="CA455" i="3"/>
  <c r="CB455" i="3" s="1"/>
  <c r="CG455" i="3" s="1"/>
  <c r="BT455" i="3"/>
  <c r="BS455" i="3"/>
  <c r="BQ455" i="3"/>
  <c r="BP455" i="3"/>
  <c r="BO455" i="3"/>
  <c r="BN455" i="3"/>
  <c r="BM455" i="3"/>
  <c r="BR455" i="3" s="1"/>
  <c r="BL455" i="3"/>
  <c r="AY455" i="3"/>
  <c r="AX455" i="3"/>
  <c r="AW455" i="3"/>
  <c r="DT454" i="3"/>
  <c r="DR454" i="3"/>
  <c r="DQ454" i="3"/>
  <c r="DK454" i="3"/>
  <c r="DI454" i="3"/>
  <c r="DH454" i="3"/>
  <c r="CV454" i="3"/>
  <c r="CU454" i="3"/>
  <c r="CT454" i="3"/>
  <c r="CS454" i="3"/>
  <c r="CP454" i="3"/>
  <c r="CM454" i="3"/>
  <c r="CJ454" i="3"/>
  <c r="CG454" i="3"/>
  <c r="CH454" i="3" s="1"/>
  <c r="CF454" i="3"/>
  <c r="CE454" i="3"/>
  <c r="CD454" i="3"/>
  <c r="CC454" i="3"/>
  <c r="CA454" i="3"/>
  <c r="CB454" i="3" s="1"/>
  <c r="BT454" i="3"/>
  <c r="BS454" i="3"/>
  <c r="BR454" i="3"/>
  <c r="BP454" i="3"/>
  <c r="BO454" i="3"/>
  <c r="BN454" i="3"/>
  <c r="BM454" i="3"/>
  <c r="BQ454" i="3" s="1"/>
  <c r="BL454" i="3"/>
  <c r="AY454" i="3"/>
  <c r="AX454" i="3"/>
  <c r="AW454" i="3"/>
  <c r="DT453" i="3"/>
  <c r="DS453" i="3"/>
  <c r="DR453" i="3"/>
  <c r="DQ453" i="3"/>
  <c r="DK453" i="3"/>
  <c r="DI453" i="3"/>
  <c r="DH453" i="3"/>
  <c r="CU453" i="3"/>
  <c r="CV453" i="3" s="1"/>
  <c r="CS453" i="3"/>
  <c r="CT453" i="3" s="1"/>
  <c r="CP453" i="3"/>
  <c r="CJ453" i="3"/>
  <c r="CM453" i="3" s="1"/>
  <c r="CF453" i="3"/>
  <c r="CE453" i="3"/>
  <c r="CD453" i="3"/>
  <c r="CC453" i="3"/>
  <c r="CA453" i="3"/>
  <c r="CB453" i="3" s="1"/>
  <c r="CG453" i="3" s="1"/>
  <c r="CH453" i="3" s="1"/>
  <c r="BT453" i="3"/>
  <c r="BP453" i="3"/>
  <c r="BO453" i="3"/>
  <c r="BN453" i="3"/>
  <c r="BM453" i="3"/>
  <c r="BL453" i="3"/>
  <c r="AY453" i="3"/>
  <c r="AX453" i="3"/>
  <c r="AW453" i="3"/>
  <c r="DT452" i="3"/>
  <c r="DR452" i="3"/>
  <c r="DQ452" i="3"/>
  <c r="DK452" i="3"/>
  <c r="DI452" i="3"/>
  <c r="DH452" i="3"/>
  <c r="CU452" i="3"/>
  <c r="CV452" i="3" s="1"/>
  <c r="CT452" i="3"/>
  <c r="CS452" i="3"/>
  <c r="CP452" i="3"/>
  <c r="CJ452" i="3"/>
  <c r="CM452" i="3" s="1"/>
  <c r="CF452" i="3"/>
  <c r="CE452" i="3"/>
  <c r="CD452" i="3"/>
  <c r="CC452" i="3"/>
  <c r="CA452" i="3"/>
  <c r="CB452" i="3" s="1"/>
  <c r="CG452" i="3" s="1"/>
  <c r="BT452" i="3"/>
  <c r="BQ452" i="3"/>
  <c r="BP452" i="3"/>
  <c r="BO452" i="3"/>
  <c r="BN452" i="3"/>
  <c r="BM452" i="3"/>
  <c r="BL452" i="3"/>
  <c r="AY452" i="3"/>
  <c r="AX452" i="3"/>
  <c r="AW452" i="3"/>
  <c r="DT451" i="3"/>
  <c r="DS451" i="3"/>
  <c r="DR451" i="3"/>
  <c r="DQ451" i="3"/>
  <c r="DK451" i="3"/>
  <c r="DI451" i="3"/>
  <c r="DH451" i="3"/>
  <c r="CV451" i="3"/>
  <c r="CU451" i="3"/>
  <c r="CT451" i="3"/>
  <c r="CS451" i="3"/>
  <c r="CP451" i="3"/>
  <c r="CM451" i="3"/>
  <c r="CJ451" i="3"/>
  <c r="CG451" i="3"/>
  <c r="CH451" i="3" s="1"/>
  <c r="CF451" i="3"/>
  <c r="CE451" i="3"/>
  <c r="CD451" i="3"/>
  <c r="CC451" i="3"/>
  <c r="CB451" i="3"/>
  <c r="CA451" i="3"/>
  <c r="BT451" i="3"/>
  <c r="BP451" i="3"/>
  <c r="BO451" i="3"/>
  <c r="BN451" i="3"/>
  <c r="BM451" i="3"/>
  <c r="BL451" i="3"/>
  <c r="AY451" i="3"/>
  <c r="AX451" i="3"/>
  <c r="AW451" i="3"/>
  <c r="DT450" i="3"/>
  <c r="DR450" i="3"/>
  <c r="DQ450" i="3"/>
  <c r="DK450" i="3"/>
  <c r="DI450" i="3"/>
  <c r="DH450" i="3"/>
  <c r="CU450" i="3"/>
  <c r="CV450" i="3" s="1"/>
  <c r="CS450" i="3"/>
  <c r="CT450" i="3" s="1"/>
  <c r="CP450" i="3"/>
  <c r="CJ450" i="3"/>
  <c r="CM450" i="3" s="1"/>
  <c r="CF450" i="3"/>
  <c r="CE450" i="3"/>
  <c r="CD450" i="3"/>
  <c r="CC450" i="3"/>
  <c r="CB450" i="3"/>
  <c r="CG450" i="3" s="1"/>
  <c r="CA450" i="3"/>
  <c r="BT450" i="3"/>
  <c r="BS450" i="3"/>
  <c r="BR450" i="3"/>
  <c r="BQ450" i="3"/>
  <c r="BP450" i="3"/>
  <c r="BO450" i="3"/>
  <c r="BN450" i="3"/>
  <c r="BM450" i="3"/>
  <c r="BL450" i="3"/>
  <c r="AY450" i="3"/>
  <c r="AX450" i="3"/>
  <c r="AW450" i="3"/>
  <c r="DT449" i="3"/>
  <c r="DR449" i="3"/>
  <c r="DQ449" i="3"/>
  <c r="DK449" i="3"/>
  <c r="DI449" i="3"/>
  <c r="DH449" i="3"/>
  <c r="CU449" i="3"/>
  <c r="CV449" i="3" s="1"/>
  <c r="CS449" i="3"/>
  <c r="CT449" i="3" s="1"/>
  <c r="CP449" i="3"/>
  <c r="CJ449" i="3"/>
  <c r="CM449" i="3" s="1"/>
  <c r="CG449" i="3"/>
  <c r="CF449" i="3"/>
  <c r="CE449" i="3"/>
  <c r="CD449" i="3"/>
  <c r="CC449" i="3"/>
  <c r="CA449" i="3"/>
  <c r="CB449" i="3" s="1"/>
  <c r="BT449" i="3"/>
  <c r="BS449" i="3"/>
  <c r="BR449" i="3"/>
  <c r="BQ449" i="3"/>
  <c r="BP449" i="3"/>
  <c r="BO449" i="3"/>
  <c r="BN449" i="3"/>
  <c r="BM449" i="3"/>
  <c r="BL449" i="3"/>
  <c r="AY449" i="3"/>
  <c r="AX449" i="3"/>
  <c r="AW449" i="3"/>
  <c r="DT448" i="3"/>
  <c r="DR448" i="3"/>
  <c r="DQ448" i="3"/>
  <c r="DK448" i="3"/>
  <c r="DI448" i="3"/>
  <c r="DH448" i="3"/>
  <c r="CU448" i="3"/>
  <c r="CV448" i="3" s="1"/>
  <c r="CT448" i="3"/>
  <c r="CS448" i="3"/>
  <c r="CP448" i="3"/>
  <c r="CM448" i="3"/>
  <c r="CJ448" i="3"/>
  <c r="CF448" i="3"/>
  <c r="CE448" i="3"/>
  <c r="CD448" i="3"/>
  <c r="CC448" i="3"/>
  <c r="CB448" i="3"/>
  <c r="CG448" i="3" s="1"/>
  <c r="CA448" i="3"/>
  <c r="BT448" i="3"/>
  <c r="BS448" i="3"/>
  <c r="BR448" i="3"/>
  <c r="BQ448" i="3"/>
  <c r="BP448" i="3"/>
  <c r="BO448" i="3"/>
  <c r="BN448" i="3"/>
  <c r="BM448" i="3"/>
  <c r="BL448" i="3"/>
  <c r="AY448" i="3"/>
  <c r="AX448" i="3"/>
  <c r="AW448" i="3"/>
  <c r="DT447" i="3"/>
  <c r="DR447" i="3"/>
  <c r="DQ447" i="3"/>
  <c r="DK447" i="3"/>
  <c r="DI447" i="3"/>
  <c r="DH447" i="3"/>
  <c r="CV447" i="3"/>
  <c r="CU447" i="3"/>
  <c r="CS447" i="3"/>
  <c r="CT447" i="3" s="1"/>
  <c r="CP447" i="3"/>
  <c r="CM447" i="3"/>
  <c r="CJ447" i="3"/>
  <c r="CF447" i="3"/>
  <c r="CE447" i="3"/>
  <c r="CD447" i="3"/>
  <c r="CC447" i="3"/>
  <c r="CB447" i="3"/>
  <c r="CG447" i="3" s="1"/>
  <c r="CA447" i="3"/>
  <c r="BT447" i="3"/>
  <c r="BQ447" i="3"/>
  <c r="BP447" i="3"/>
  <c r="BO447" i="3"/>
  <c r="BN447" i="3"/>
  <c r="BM447" i="3"/>
  <c r="BL447" i="3"/>
  <c r="AY447" i="3"/>
  <c r="AX447" i="3"/>
  <c r="AW447" i="3"/>
  <c r="DT446" i="3"/>
  <c r="DR446" i="3"/>
  <c r="DQ446" i="3"/>
  <c r="DK446" i="3"/>
  <c r="DI446" i="3"/>
  <c r="DH446" i="3"/>
  <c r="CV446" i="3"/>
  <c r="CU446" i="3"/>
  <c r="CS446" i="3"/>
  <c r="CT446" i="3" s="1"/>
  <c r="CP446" i="3"/>
  <c r="CJ446" i="3"/>
  <c r="CM446" i="3" s="1"/>
  <c r="CF446" i="3"/>
  <c r="CE446" i="3"/>
  <c r="CD446" i="3"/>
  <c r="CC446" i="3"/>
  <c r="CB446" i="3"/>
  <c r="CG446" i="3" s="1"/>
  <c r="CH446" i="3" s="1"/>
  <c r="CA446" i="3"/>
  <c r="BT446" i="3"/>
  <c r="BR446" i="3"/>
  <c r="BP446" i="3"/>
  <c r="BO446" i="3"/>
  <c r="BN446" i="3"/>
  <c r="BM446" i="3"/>
  <c r="BL446" i="3"/>
  <c r="AY446" i="3"/>
  <c r="AX446" i="3"/>
  <c r="AW446" i="3"/>
  <c r="DT445" i="3"/>
  <c r="DS445" i="3"/>
  <c r="DR445" i="3"/>
  <c r="DQ445" i="3"/>
  <c r="DK445" i="3"/>
  <c r="DI445" i="3"/>
  <c r="DH445" i="3"/>
  <c r="CU445" i="3"/>
  <c r="CV445" i="3" s="1"/>
  <c r="CS445" i="3"/>
  <c r="CT445" i="3" s="1"/>
  <c r="CP445" i="3"/>
  <c r="CJ445" i="3"/>
  <c r="CM445" i="3" s="1"/>
  <c r="CF445" i="3"/>
  <c r="CE445" i="3"/>
  <c r="CD445" i="3"/>
  <c r="CC445" i="3"/>
  <c r="CA445" i="3"/>
  <c r="CB445" i="3" s="1"/>
  <c r="CG445" i="3" s="1"/>
  <c r="CH445" i="3" s="1"/>
  <c r="BT445" i="3"/>
  <c r="BR445" i="3"/>
  <c r="BP445" i="3"/>
  <c r="BO445" i="3"/>
  <c r="BN445" i="3"/>
  <c r="BM445" i="3"/>
  <c r="BL445" i="3"/>
  <c r="AY445" i="3"/>
  <c r="AX445" i="3"/>
  <c r="AW445" i="3"/>
  <c r="DT444" i="3"/>
  <c r="DR444" i="3"/>
  <c r="DQ444" i="3"/>
  <c r="DK444" i="3"/>
  <c r="DI444" i="3"/>
  <c r="DH444" i="3"/>
  <c r="CU444" i="3"/>
  <c r="CV444" i="3" s="1"/>
  <c r="CT444" i="3"/>
  <c r="CS444" i="3"/>
  <c r="CP444" i="3"/>
  <c r="CJ444" i="3"/>
  <c r="CM444" i="3" s="1"/>
  <c r="CH444" i="3"/>
  <c r="CF444" i="3"/>
  <c r="CE444" i="3"/>
  <c r="CD444" i="3"/>
  <c r="CC444" i="3"/>
  <c r="CA444" i="3"/>
  <c r="CB444" i="3" s="1"/>
  <c r="CG444" i="3" s="1"/>
  <c r="DS444" i="3" s="1"/>
  <c r="BT444" i="3"/>
  <c r="BR444" i="3"/>
  <c r="BP444" i="3"/>
  <c r="BO444" i="3"/>
  <c r="BN444" i="3"/>
  <c r="BM444" i="3"/>
  <c r="BS444" i="3" s="1"/>
  <c r="BL444" i="3"/>
  <c r="AY444" i="3"/>
  <c r="AX444" i="3"/>
  <c r="AW444" i="3"/>
  <c r="DT443" i="3"/>
  <c r="DR443" i="3"/>
  <c r="DQ443" i="3"/>
  <c r="DK443" i="3"/>
  <c r="DI443" i="3"/>
  <c r="DH443" i="3"/>
  <c r="CV443" i="3"/>
  <c r="CU443" i="3"/>
  <c r="CS443" i="3"/>
  <c r="CT443" i="3" s="1"/>
  <c r="CP443" i="3"/>
  <c r="CM443" i="3"/>
  <c r="CJ443" i="3"/>
  <c r="CF443" i="3"/>
  <c r="CE443" i="3"/>
  <c r="CD443" i="3"/>
  <c r="CC443" i="3"/>
  <c r="CB443" i="3"/>
  <c r="CG443" i="3" s="1"/>
  <c r="CA443" i="3"/>
  <c r="BT443" i="3"/>
  <c r="BP443" i="3"/>
  <c r="BO443" i="3"/>
  <c r="BN443" i="3"/>
  <c r="BM443" i="3"/>
  <c r="BL443" i="3"/>
  <c r="AY443" i="3"/>
  <c r="AX443" i="3"/>
  <c r="AW443" i="3"/>
  <c r="DT442" i="3"/>
  <c r="DR442" i="3"/>
  <c r="DQ442" i="3"/>
  <c r="DK442" i="3"/>
  <c r="DI442" i="3"/>
  <c r="DH442" i="3"/>
  <c r="CV442" i="3"/>
  <c r="CU442" i="3"/>
  <c r="CT442" i="3"/>
  <c r="CS442" i="3"/>
  <c r="CP442" i="3"/>
  <c r="CJ442" i="3"/>
  <c r="CM442" i="3" s="1"/>
  <c r="CG442" i="3"/>
  <c r="CF442" i="3"/>
  <c r="CE442" i="3"/>
  <c r="CD442" i="3"/>
  <c r="CC442" i="3"/>
  <c r="CB442" i="3"/>
  <c r="CA442" i="3"/>
  <c r="BT442" i="3"/>
  <c r="BS442" i="3"/>
  <c r="BR442" i="3"/>
  <c r="BQ442" i="3"/>
  <c r="BP442" i="3"/>
  <c r="BO442" i="3"/>
  <c r="BN442" i="3"/>
  <c r="BM442" i="3"/>
  <c r="BL442" i="3"/>
  <c r="AY442" i="3"/>
  <c r="AX442" i="3"/>
  <c r="AW442" i="3"/>
  <c r="DT441" i="3"/>
  <c r="DS441" i="3"/>
  <c r="DR441" i="3"/>
  <c r="DQ441" i="3"/>
  <c r="DK441" i="3"/>
  <c r="DI441" i="3"/>
  <c r="DH441" i="3"/>
  <c r="CV441" i="3"/>
  <c r="CU441" i="3"/>
  <c r="CT441" i="3"/>
  <c r="CS441" i="3"/>
  <c r="CP441" i="3"/>
  <c r="CJ441" i="3"/>
  <c r="CM441" i="3" s="1"/>
  <c r="CH441" i="3"/>
  <c r="CG441" i="3"/>
  <c r="CF441" i="3"/>
  <c r="CE441" i="3"/>
  <c r="CD441" i="3"/>
  <c r="CC441" i="3"/>
  <c r="CA441" i="3"/>
  <c r="CB441" i="3" s="1"/>
  <c r="BT441" i="3"/>
  <c r="BS441" i="3"/>
  <c r="BR441" i="3"/>
  <c r="BQ441" i="3"/>
  <c r="BP441" i="3"/>
  <c r="BO441" i="3"/>
  <c r="BN441" i="3"/>
  <c r="BM441" i="3"/>
  <c r="BL441" i="3"/>
  <c r="AY441" i="3"/>
  <c r="AX441" i="3"/>
  <c r="AW441" i="3"/>
  <c r="DT440" i="3"/>
  <c r="DR440" i="3"/>
  <c r="DQ440" i="3"/>
  <c r="DK440" i="3"/>
  <c r="DI440" i="3"/>
  <c r="DH440" i="3"/>
  <c r="CV440" i="3"/>
  <c r="CU440" i="3"/>
  <c r="CT440" i="3"/>
  <c r="CS440" i="3"/>
  <c r="CP440" i="3"/>
  <c r="CJ440" i="3"/>
  <c r="CM440" i="3" s="1"/>
  <c r="CF440" i="3"/>
  <c r="CE440" i="3"/>
  <c r="CD440" i="3"/>
  <c r="CC440" i="3"/>
  <c r="CA440" i="3"/>
  <c r="CB440" i="3" s="1"/>
  <c r="CG440" i="3" s="1"/>
  <c r="BT440" i="3"/>
  <c r="BP440" i="3"/>
  <c r="BO440" i="3"/>
  <c r="BN440" i="3"/>
  <c r="BM440" i="3"/>
  <c r="BL440" i="3"/>
  <c r="AY440" i="3"/>
  <c r="AX440" i="3"/>
  <c r="AW440" i="3"/>
  <c r="DT439" i="3"/>
  <c r="DR439" i="3"/>
  <c r="DQ439" i="3"/>
  <c r="DK439" i="3"/>
  <c r="DI439" i="3"/>
  <c r="DH439" i="3"/>
  <c r="CV439" i="3"/>
  <c r="CU439" i="3"/>
  <c r="CS439" i="3"/>
  <c r="CT439" i="3" s="1"/>
  <c r="CP439" i="3"/>
  <c r="CM439" i="3"/>
  <c r="CJ439" i="3"/>
  <c r="CF439" i="3"/>
  <c r="CE439" i="3"/>
  <c r="CD439" i="3"/>
  <c r="CC439" i="3"/>
  <c r="CA439" i="3"/>
  <c r="CB439" i="3" s="1"/>
  <c r="CG439" i="3" s="1"/>
  <c r="BT439" i="3"/>
  <c r="BP439" i="3"/>
  <c r="BO439" i="3"/>
  <c r="BN439" i="3"/>
  <c r="BM439" i="3"/>
  <c r="BS439" i="3" s="1"/>
  <c r="BL439" i="3"/>
  <c r="AY439" i="3"/>
  <c r="AX439" i="3"/>
  <c r="AW439" i="3"/>
  <c r="DT438" i="3"/>
  <c r="DR438" i="3"/>
  <c r="DQ438" i="3"/>
  <c r="DK438" i="3"/>
  <c r="DI438" i="3"/>
  <c r="DH438" i="3"/>
  <c r="CV438" i="3"/>
  <c r="CU438" i="3"/>
  <c r="CS438" i="3"/>
  <c r="CT438" i="3" s="1"/>
  <c r="CP438" i="3"/>
  <c r="CM438" i="3"/>
  <c r="CJ438" i="3"/>
  <c r="CH438" i="3"/>
  <c r="CF438" i="3"/>
  <c r="CE438" i="3"/>
  <c r="CD438" i="3"/>
  <c r="CC438" i="3"/>
  <c r="CB438" i="3"/>
  <c r="CG438" i="3" s="1"/>
  <c r="DS438" i="3" s="1"/>
  <c r="CA438" i="3"/>
  <c r="BT438" i="3"/>
  <c r="BP438" i="3"/>
  <c r="BO438" i="3"/>
  <c r="BN438" i="3"/>
  <c r="BM438" i="3"/>
  <c r="BL438" i="3"/>
  <c r="AY438" i="3"/>
  <c r="AX438" i="3"/>
  <c r="AW438" i="3"/>
  <c r="DT437" i="3"/>
  <c r="DR437" i="3"/>
  <c r="DQ437" i="3"/>
  <c r="DK437" i="3"/>
  <c r="DI437" i="3"/>
  <c r="DH437" i="3"/>
  <c r="CV437" i="3"/>
  <c r="CU437" i="3"/>
  <c r="CS437" i="3"/>
  <c r="CT437" i="3" s="1"/>
  <c r="CP437" i="3"/>
  <c r="CJ437" i="3"/>
  <c r="CM437" i="3" s="1"/>
  <c r="CF437" i="3"/>
  <c r="CE437" i="3"/>
  <c r="CD437" i="3"/>
  <c r="CC437" i="3"/>
  <c r="CB437" i="3"/>
  <c r="CG437" i="3" s="1"/>
  <c r="CH437" i="3" s="1"/>
  <c r="CA437" i="3"/>
  <c r="BT437" i="3"/>
  <c r="BR437" i="3"/>
  <c r="BQ437" i="3"/>
  <c r="BP437" i="3"/>
  <c r="BO437" i="3"/>
  <c r="BN437" i="3"/>
  <c r="BM437" i="3"/>
  <c r="BS437" i="3" s="1"/>
  <c r="BL437" i="3"/>
  <c r="AY437" i="3"/>
  <c r="AX437" i="3"/>
  <c r="AW437" i="3"/>
  <c r="DT436" i="3"/>
  <c r="DR436" i="3"/>
  <c r="DQ436" i="3"/>
  <c r="DK436" i="3"/>
  <c r="DI436" i="3"/>
  <c r="DH436" i="3"/>
  <c r="CU436" i="3"/>
  <c r="CV436" i="3" s="1"/>
  <c r="CT436" i="3"/>
  <c r="CS436" i="3"/>
  <c r="CP436" i="3"/>
  <c r="CJ436" i="3"/>
  <c r="CM436" i="3" s="1"/>
  <c r="CG436" i="3"/>
  <c r="CF436" i="3"/>
  <c r="CE436" i="3"/>
  <c r="CD436" i="3"/>
  <c r="CC436" i="3"/>
  <c r="CA436" i="3"/>
  <c r="CB436" i="3" s="1"/>
  <c r="BT436" i="3"/>
  <c r="BR436" i="3"/>
  <c r="BQ436" i="3"/>
  <c r="BP436" i="3"/>
  <c r="BO436" i="3"/>
  <c r="BN436" i="3"/>
  <c r="BM436" i="3"/>
  <c r="BS436" i="3" s="1"/>
  <c r="BL436" i="3"/>
  <c r="AY436" i="3"/>
  <c r="AX436" i="3"/>
  <c r="AW436" i="3"/>
  <c r="DT435" i="3"/>
  <c r="DR435" i="3"/>
  <c r="DQ435" i="3"/>
  <c r="DK435" i="3"/>
  <c r="DI435" i="3"/>
  <c r="DH435" i="3"/>
  <c r="CU435" i="3"/>
  <c r="CV435" i="3" s="1"/>
  <c r="CT435" i="3"/>
  <c r="CS435" i="3"/>
  <c r="CP435" i="3"/>
  <c r="CM435" i="3"/>
  <c r="CJ435" i="3"/>
  <c r="CH435" i="3"/>
  <c r="CF435" i="3"/>
  <c r="CE435" i="3"/>
  <c r="CD435" i="3"/>
  <c r="CC435" i="3"/>
  <c r="CB435" i="3"/>
  <c r="CG435" i="3" s="1"/>
  <c r="DS435" i="3" s="1"/>
  <c r="CA435" i="3"/>
  <c r="BT435" i="3"/>
  <c r="BS435" i="3"/>
  <c r="BR435" i="3"/>
  <c r="BQ435" i="3"/>
  <c r="BP435" i="3"/>
  <c r="BO435" i="3"/>
  <c r="BN435" i="3"/>
  <c r="BM435" i="3"/>
  <c r="BL435" i="3"/>
  <c r="AY435" i="3"/>
  <c r="AX435" i="3"/>
  <c r="AW435" i="3"/>
  <c r="DT434" i="3"/>
  <c r="DR434" i="3"/>
  <c r="DQ434" i="3"/>
  <c r="DK434" i="3"/>
  <c r="DI434" i="3"/>
  <c r="DH434" i="3"/>
  <c r="CV434" i="3"/>
  <c r="CU434" i="3"/>
  <c r="CS434" i="3"/>
  <c r="CT434" i="3" s="1"/>
  <c r="CP434" i="3"/>
  <c r="CM434" i="3"/>
  <c r="CJ434" i="3"/>
  <c r="CG434" i="3"/>
  <c r="CF434" i="3"/>
  <c r="CE434" i="3"/>
  <c r="CD434" i="3"/>
  <c r="CC434" i="3"/>
  <c r="CB434" i="3"/>
  <c r="CA434" i="3"/>
  <c r="BT434" i="3"/>
  <c r="BS434" i="3"/>
  <c r="BQ434" i="3"/>
  <c r="BP434" i="3"/>
  <c r="BO434" i="3"/>
  <c r="BN434" i="3"/>
  <c r="BM434" i="3"/>
  <c r="BR434" i="3" s="1"/>
  <c r="BL434" i="3"/>
  <c r="AY434" i="3"/>
  <c r="AX434" i="3"/>
  <c r="AW434" i="3"/>
  <c r="DT433" i="3"/>
  <c r="DS433" i="3"/>
  <c r="DR433" i="3"/>
  <c r="DQ433" i="3"/>
  <c r="DK433" i="3"/>
  <c r="DI433" i="3"/>
  <c r="DH433" i="3"/>
  <c r="CV433" i="3"/>
  <c r="CU433" i="3"/>
  <c r="CT433" i="3"/>
  <c r="CS433" i="3"/>
  <c r="CP433" i="3"/>
  <c r="CJ433" i="3"/>
  <c r="CM433" i="3" s="1"/>
  <c r="CG433" i="3"/>
  <c r="CH433" i="3" s="1"/>
  <c r="CF433" i="3"/>
  <c r="CE433" i="3"/>
  <c r="CD433" i="3"/>
  <c r="CC433" i="3"/>
  <c r="CB433" i="3"/>
  <c r="CA433" i="3"/>
  <c r="BT433" i="3"/>
  <c r="BS433" i="3"/>
  <c r="BR433" i="3"/>
  <c r="BP433" i="3"/>
  <c r="BO433" i="3"/>
  <c r="BN433" i="3"/>
  <c r="BM433" i="3"/>
  <c r="BQ433" i="3" s="1"/>
  <c r="BL433" i="3"/>
  <c r="AY433" i="3"/>
  <c r="AX433" i="3"/>
  <c r="AW433" i="3"/>
  <c r="DT432" i="3"/>
  <c r="DR432" i="3"/>
  <c r="DQ432" i="3"/>
  <c r="DK432" i="3"/>
  <c r="DI432" i="3"/>
  <c r="DH432" i="3"/>
  <c r="CU432" i="3"/>
  <c r="CV432" i="3" s="1"/>
  <c r="CS432" i="3"/>
  <c r="CT432" i="3" s="1"/>
  <c r="CP432" i="3"/>
  <c r="CJ432" i="3"/>
  <c r="CM432" i="3" s="1"/>
  <c r="CH432" i="3"/>
  <c r="CG432" i="3"/>
  <c r="CF432" i="3"/>
  <c r="CE432" i="3"/>
  <c r="CD432" i="3"/>
  <c r="CC432" i="3"/>
  <c r="CA432" i="3"/>
  <c r="CB432" i="3" s="1"/>
  <c r="BT432" i="3"/>
  <c r="BS432" i="3"/>
  <c r="BR432" i="3"/>
  <c r="BP432" i="3"/>
  <c r="BO432" i="3"/>
  <c r="BN432" i="3"/>
  <c r="BM432" i="3"/>
  <c r="BQ432" i="3" s="1"/>
  <c r="BL432" i="3"/>
  <c r="AY432" i="3"/>
  <c r="AX432" i="3"/>
  <c r="AW432" i="3"/>
  <c r="DT431" i="3"/>
  <c r="DR431" i="3"/>
  <c r="DQ431" i="3"/>
  <c r="DK431" i="3"/>
  <c r="DI431" i="3"/>
  <c r="DH431" i="3"/>
  <c r="CU431" i="3"/>
  <c r="CV431" i="3" s="1"/>
  <c r="CT431" i="3"/>
  <c r="CS431" i="3"/>
  <c r="CP431" i="3"/>
  <c r="CJ431" i="3"/>
  <c r="CM431" i="3" s="1"/>
  <c r="CF431" i="3"/>
  <c r="CE431" i="3"/>
  <c r="CD431" i="3"/>
  <c r="CC431" i="3"/>
  <c r="CB431" i="3"/>
  <c r="CG431" i="3" s="1"/>
  <c r="DS431" i="3" s="1"/>
  <c r="CA431" i="3"/>
  <c r="BT431" i="3"/>
  <c r="BR431" i="3"/>
  <c r="BP431" i="3"/>
  <c r="BO431" i="3"/>
  <c r="BN431" i="3"/>
  <c r="BM431" i="3"/>
  <c r="BL431" i="3"/>
  <c r="AY431" i="3"/>
  <c r="AX431" i="3"/>
  <c r="AW431" i="3"/>
  <c r="DT430" i="3"/>
  <c r="DR430" i="3"/>
  <c r="DQ430" i="3"/>
  <c r="DK430" i="3"/>
  <c r="DI430" i="3"/>
  <c r="DH430" i="3"/>
  <c r="CV430" i="3"/>
  <c r="CU430" i="3"/>
  <c r="CS430" i="3"/>
  <c r="CT430" i="3" s="1"/>
  <c r="CP430" i="3"/>
  <c r="CM430" i="3"/>
  <c r="CJ430" i="3"/>
  <c r="CH430" i="3"/>
  <c r="CF430" i="3"/>
  <c r="CE430" i="3"/>
  <c r="CD430" i="3"/>
  <c r="CC430" i="3"/>
  <c r="CB430" i="3"/>
  <c r="CG430" i="3" s="1"/>
  <c r="DS430" i="3" s="1"/>
  <c r="CA430" i="3"/>
  <c r="BT430" i="3"/>
  <c r="BP430" i="3"/>
  <c r="BO430" i="3"/>
  <c r="BN430" i="3"/>
  <c r="BM430" i="3"/>
  <c r="BL430" i="3"/>
  <c r="AY430" i="3"/>
  <c r="AX430" i="3"/>
  <c r="AW430" i="3"/>
  <c r="DT429" i="3"/>
  <c r="DR429" i="3"/>
  <c r="DQ429" i="3"/>
  <c r="DK429" i="3"/>
  <c r="DI429" i="3"/>
  <c r="DH429" i="3"/>
  <c r="CV429" i="3"/>
  <c r="CU429" i="3"/>
  <c r="CS429" i="3"/>
  <c r="CT429" i="3" s="1"/>
  <c r="CP429" i="3"/>
  <c r="CJ429" i="3"/>
  <c r="CM429" i="3" s="1"/>
  <c r="CF429" i="3"/>
  <c r="CE429" i="3"/>
  <c r="CD429" i="3"/>
  <c r="CC429" i="3"/>
  <c r="CB429" i="3"/>
  <c r="CG429" i="3" s="1"/>
  <c r="CH429" i="3" s="1"/>
  <c r="CA429" i="3"/>
  <c r="BT429" i="3"/>
  <c r="BR429" i="3"/>
  <c r="BQ429" i="3"/>
  <c r="BP429" i="3"/>
  <c r="BO429" i="3"/>
  <c r="BN429" i="3"/>
  <c r="BM429" i="3"/>
  <c r="BS429" i="3" s="1"/>
  <c r="BL429" i="3"/>
  <c r="AY429" i="3"/>
  <c r="AX429" i="3"/>
  <c r="AW429" i="3"/>
  <c r="DT428" i="3"/>
  <c r="DS428" i="3"/>
  <c r="DR428" i="3"/>
  <c r="DQ428" i="3"/>
  <c r="DK428" i="3"/>
  <c r="DI428" i="3"/>
  <c r="DH428" i="3"/>
  <c r="CU428" i="3"/>
  <c r="CV428" i="3" s="1"/>
  <c r="CS428" i="3"/>
  <c r="CT428" i="3" s="1"/>
  <c r="CP428" i="3"/>
  <c r="CJ428" i="3"/>
  <c r="CM428" i="3" s="1"/>
  <c r="CG428" i="3"/>
  <c r="CH428" i="3" s="1"/>
  <c r="CF428" i="3"/>
  <c r="CE428" i="3"/>
  <c r="CD428" i="3"/>
  <c r="CC428" i="3"/>
  <c r="CA428" i="3"/>
  <c r="CB428" i="3" s="1"/>
  <c r="BT428" i="3"/>
  <c r="BR428" i="3"/>
  <c r="BQ428" i="3"/>
  <c r="BP428" i="3"/>
  <c r="BO428" i="3"/>
  <c r="BN428" i="3"/>
  <c r="BM428" i="3"/>
  <c r="BS428" i="3" s="1"/>
  <c r="BL428" i="3"/>
  <c r="AY428" i="3"/>
  <c r="AX428" i="3"/>
  <c r="AW428" i="3"/>
  <c r="DT427" i="3"/>
  <c r="DS427" i="3"/>
  <c r="DR427" i="3"/>
  <c r="DQ427" i="3"/>
  <c r="DK427" i="3"/>
  <c r="DI427" i="3"/>
  <c r="DH427" i="3"/>
  <c r="CU427" i="3"/>
  <c r="CV427" i="3" s="1"/>
  <c r="CT427" i="3"/>
  <c r="CS427" i="3"/>
  <c r="CP427" i="3"/>
  <c r="CM427" i="3"/>
  <c r="CJ427" i="3"/>
  <c r="CH427" i="3"/>
  <c r="CF427" i="3"/>
  <c r="CE427" i="3"/>
  <c r="CD427" i="3"/>
  <c r="CC427" i="3"/>
  <c r="CB427" i="3"/>
  <c r="CG427" i="3" s="1"/>
  <c r="CA427" i="3"/>
  <c r="BT427" i="3"/>
  <c r="BS427" i="3"/>
  <c r="BR427" i="3"/>
  <c r="BQ427" i="3"/>
  <c r="BP427" i="3"/>
  <c r="BO427" i="3"/>
  <c r="BN427" i="3"/>
  <c r="BM427" i="3"/>
  <c r="BL427" i="3"/>
  <c r="AY427" i="3"/>
  <c r="AX427" i="3"/>
  <c r="AW427" i="3"/>
  <c r="DT426" i="3"/>
  <c r="DR426" i="3"/>
  <c r="DQ426" i="3"/>
  <c r="DK426" i="3"/>
  <c r="DI426" i="3"/>
  <c r="DH426" i="3"/>
  <c r="CV426" i="3"/>
  <c r="CU426" i="3"/>
  <c r="CS426" i="3"/>
  <c r="CT426" i="3" s="1"/>
  <c r="CP426" i="3"/>
  <c r="CM426" i="3"/>
  <c r="CJ426" i="3"/>
  <c r="CH426" i="3"/>
  <c r="CG426" i="3"/>
  <c r="CF426" i="3"/>
  <c r="CE426" i="3"/>
  <c r="CD426" i="3"/>
  <c r="CC426" i="3"/>
  <c r="CB426" i="3"/>
  <c r="CA426" i="3"/>
  <c r="BT426" i="3"/>
  <c r="BS426" i="3"/>
  <c r="BQ426" i="3"/>
  <c r="BP426" i="3"/>
  <c r="BO426" i="3"/>
  <c r="BN426" i="3"/>
  <c r="BM426" i="3"/>
  <c r="BR426" i="3" s="1"/>
  <c r="BL426" i="3"/>
  <c r="AY426" i="3"/>
  <c r="AX426" i="3"/>
  <c r="AW426" i="3"/>
  <c r="DT425" i="3"/>
  <c r="DR425" i="3"/>
  <c r="DQ425" i="3"/>
  <c r="DK425" i="3"/>
  <c r="DI425" i="3"/>
  <c r="DH425" i="3"/>
  <c r="CV425" i="3"/>
  <c r="CU425" i="3"/>
  <c r="CT425" i="3"/>
  <c r="CS425" i="3"/>
  <c r="CP425" i="3"/>
  <c r="CJ425" i="3"/>
  <c r="CM425" i="3" s="1"/>
  <c r="CF425" i="3"/>
  <c r="CE425" i="3"/>
  <c r="CD425" i="3"/>
  <c r="CC425" i="3"/>
  <c r="CB425" i="3"/>
  <c r="CG425" i="3" s="1"/>
  <c r="CA425" i="3"/>
  <c r="BT425" i="3"/>
  <c r="BS425" i="3"/>
  <c r="BR425" i="3"/>
  <c r="BP425" i="3"/>
  <c r="BO425" i="3"/>
  <c r="BN425" i="3"/>
  <c r="BM425" i="3"/>
  <c r="BQ425" i="3" s="1"/>
  <c r="BL425" i="3"/>
  <c r="AY425" i="3"/>
  <c r="AX425" i="3"/>
  <c r="AW425" i="3"/>
  <c r="DT424" i="3"/>
  <c r="DR424" i="3"/>
  <c r="DQ424" i="3"/>
  <c r="DK424" i="3"/>
  <c r="DI424" i="3"/>
  <c r="DH424" i="3"/>
  <c r="CU424" i="3"/>
  <c r="CV424" i="3" s="1"/>
  <c r="CS424" i="3"/>
  <c r="CT424" i="3" s="1"/>
  <c r="CP424" i="3"/>
  <c r="CJ424" i="3"/>
  <c r="CM424" i="3" s="1"/>
  <c r="CG424" i="3"/>
  <c r="CF424" i="3"/>
  <c r="CE424" i="3"/>
  <c r="CD424" i="3"/>
  <c r="CC424" i="3"/>
  <c r="CA424" i="3"/>
  <c r="CB424" i="3" s="1"/>
  <c r="BT424" i="3"/>
  <c r="BS424" i="3"/>
  <c r="BR424" i="3"/>
  <c r="BP424" i="3"/>
  <c r="BO424" i="3"/>
  <c r="BN424" i="3"/>
  <c r="BM424" i="3"/>
  <c r="BQ424" i="3" s="1"/>
  <c r="BL424" i="3"/>
  <c r="AY424" i="3"/>
  <c r="AX424" i="3"/>
  <c r="AW424" i="3"/>
  <c r="DT423" i="3"/>
  <c r="DR423" i="3"/>
  <c r="DQ423" i="3"/>
  <c r="DK423" i="3"/>
  <c r="DI423" i="3"/>
  <c r="DH423" i="3"/>
  <c r="CU423" i="3"/>
  <c r="CV423" i="3" s="1"/>
  <c r="CT423" i="3"/>
  <c r="CS423" i="3"/>
  <c r="CP423" i="3"/>
  <c r="CM423" i="3"/>
  <c r="CJ423" i="3"/>
  <c r="CF423" i="3"/>
  <c r="CE423" i="3"/>
  <c r="CD423" i="3"/>
  <c r="CC423" i="3"/>
  <c r="CA423" i="3"/>
  <c r="CB423" i="3" s="1"/>
  <c r="CG423" i="3" s="1"/>
  <c r="DS423" i="3" s="1"/>
  <c r="BT423" i="3"/>
  <c r="BR423" i="3"/>
  <c r="BP423" i="3"/>
  <c r="BO423" i="3"/>
  <c r="BN423" i="3"/>
  <c r="BM423" i="3"/>
  <c r="BL423" i="3"/>
  <c r="AY423" i="3"/>
  <c r="AX423" i="3"/>
  <c r="AW423" i="3"/>
  <c r="DT422" i="3"/>
  <c r="DR422" i="3"/>
  <c r="DQ422" i="3"/>
  <c r="DK422" i="3"/>
  <c r="DI422" i="3"/>
  <c r="DH422" i="3"/>
  <c r="CV422" i="3"/>
  <c r="CU422" i="3"/>
  <c r="CS422" i="3"/>
  <c r="CT422" i="3" s="1"/>
  <c r="CP422" i="3"/>
  <c r="CM422" i="3"/>
  <c r="CJ422" i="3"/>
  <c r="CF422" i="3"/>
  <c r="CE422" i="3"/>
  <c r="CD422" i="3"/>
  <c r="CC422" i="3"/>
  <c r="CB422" i="3"/>
  <c r="CG422" i="3" s="1"/>
  <c r="CA422" i="3"/>
  <c r="BT422" i="3"/>
  <c r="BP422" i="3"/>
  <c r="BO422" i="3"/>
  <c r="BN422" i="3"/>
  <c r="BM422" i="3"/>
  <c r="BL422" i="3"/>
  <c r="AY422" i="3"/>
  <c r="AX422" i="3"/>
  <c r="AW422" i="3"/>
  <c r="DT421" i="3"/>
  <c r="DR421" i="3"/>
  <c r="DQ421" i="3"/>
  <c r="DK421" i="3"/>
  <c r="DI421" i="3"/>
  <c r="DH421" i="3"/>
  <c r="CV421" i="3"/>
  <c r="CU421" i="3"/>
  <c r="CS421" i="3"/>
  <c r="CT421" i="3" s="1"/>
  <c r="CP421" i="3"/>
  <c r="CJ421" i="3"/>
  <c r="CM421" i="3" s="1"/>
  <c r="CF421" i="3"/>
  <c r="CE421" i="3"/>
  <c r="CD421" i="3"/>
  <c r="CC421" i="3"/>
  <c r="CB421" i="3"/>
  <c r="CG421" i="3" s="1"/>
  <c r="CH421" i="3" s="1"/>
  <c r="CA421" i="3"/>
  <c r="BT421" i="3"/>
  <c r="BR421" i="3"/>
  <c r="BQ421" i="3"/>
  <c r="BP421" i="3"/>
  <c r="BO421" i="3"/>
  <c r="BN421" i="3"/>
  <c r="BM421" i="3"/>
  <c r="BS421" i="3" s="1"/>
  <c r="BL421" i="3"/>
  <c r="AY421" i="3"/>
  <c r="AX421" i="3"/>
  <c r="AW421" i="3"/>
  <c r="DT420" i="3"/>
  <c r="DR420" i="3"/>
  <c r="DQ420" i="3"/>
  <c r="DK420" i="3"/>
  <c r="DI420" i="3"/>
  <c r="DH420" i="3"/>
  <c r="CU420" i="3"/>
  <c r="CV420" i="3" s="1"/>
  <c r="CS420" i="3"/>
  <c r="CT420" i="3" s="1"/>
  <c r="CP420" i="3"/>
  <c r="CJ420" i="3"/>
  <c r="CM420" i="3" s="1"/>
  <c r="CG420" i="3"/>
  <c r="CF420" i="3"/>
  <c r="CE420" i="3"/>
  <c r="CD420" i="3"/>
  <c r="CC420" i="3"/>
  <c r="CA420" i="3"/>
  <c r="CB420" i="3" s="1"/>
  <c r="BT420" i="3"/>
  <c r="BR420" i="3"/>
  <c r="BQ420" i="3"/>
  <c r="BP420" i="3"/>
  <c r="BO420" i="3"/>
  <c r="BN420" i="3"/>
  <c r="BM420" i="3"/>
  <c r="BS420" i="3" s="1"/>
  <c r="BL420" i="3"/>
  <c r="AY420" i="3"/>
  <c r="AX420" i="3"/>
  <c r="AW420" i="3"/>
  <c r="DT419" i="3"/>
  <c r="DS419" i="3"/>
  <c r="DR419" i="3"/>
  <c r="DQ419" i="3"/>
  <c r="DK419" i="3"/>
  <c r="DI419" i="3"/>
  <c r="DH419" i="3"/>
  <c r="CU419" i="3"/>
  <c r="CV419" i="3" s="1"/>
  <c r="CT419" i="3"/>
  <c r="CS419" i="3"/>
  <c r="CP419" i="3"/>
  <c r="CM419" i="3"/>
  <c r="CJ419" i="3"/>
  <c r="CH419" i="3"/>
  <c r="CF419" i="3"/>
  <c r="CE419" i="3"/>
  <c r="CD419" i="3"/>
  <c r="CC419" i="3"/>
  <c r="CB419" i="3"/>
  <c r="CG419" i="3" s="1"/>
  <c r="CA419" i="3"/>
  <c r="BT419" i="3"/>
  <c r="BS419" i="3"/>
  <c r="BR419" i="3"/>
  <c r="BQ419" i="3"/>
  <c r="BP419" i="3"/>
  <c r="BO419" i="3"/>
  <c r="BN419" i="3"/>
  <c r="BM419" i="3"/>
  <c r="BL419" i="3"/>
  <c r="AY419" i="3"/>
  <c r="AX419" i="3"/>
  <c r="AW419" i="3"/>
  <c r="DT418" i="3"/>
  <c r="DR418" i="3"/>
  <c r="DQ418" i="3"/>
  <c r="DK418" i="3"/>
  <c r="DI418" i="3"/>
  <c r="DH418" i="3"/>
  <c r="CV418" i="3"/>
  <c r="CU418" i="3"/>
  <c r="CS418" i="3"/>
  <c r="CT418" i="3" s="1"/>
  <c r="CP418" i="3"/>
  <c r="CM418" i="3"/>
  <c r="CJ418" i="3"/>
  <c r="CF418" i="3"/>
  <c r="CE418" i="3"/>
  <c r="CD418" i="3"/>
  <c r="CC418" i="3"/>
  <c r="CB418" i="3"/>
  <c r="CG418" i="3" s="1"/>
  <c r="CA418" i="3"/>
  <c r="BT418" i="3"/>
  <c r="BS418" i="3"/>
  <c r="BP418" i="3"/>
  <c r="BO418" i="3"/>
  <c r="BN418" i="3"/>
  <c r="BM418" i="3"/>
  <c r="BL418" i="3"/>
  <c r="AY418" i="3"/>
  <c r="AX418" i="3"/>
  <c r="AW418" i="3"/>
  <c r="DT417" i="3"/>
  <c r="DR417" i="3"/>
  <c r="DQ417" i="3"/>
  <c r="DK417" i="3"/>
  <c r="DI417" i="3"/>
  <c r="DH417" i="3"/>
  <c r="CV417" i="3"/>
  <c r="CU417" i="3"/>
  <c r="CT417" i="3"/>
  <c r="CS417" i="3"/>
  <c r="CP417" i="3"/>
  <c r="CJ417" i="3"/>
  <c r="CM417" i="3" s="1"/>
  <c r="CF417" i="3"/>
  <c r="CE417" i="3"/>
  <c r="CD417" i="3"/>
  <c r="CC417" i="3"/>
  <c r="CB417" i="3"/>
  <c r="CG417" i="3" s="1"/>
  <c r="CH417" i="3" s="1"/>
  <c r="CA417" i="3"/>
  <c r="BT417" i="3"/>
  <c r="BS417" i="3"/>
  <c r="BR417" i="3"/>
  <c r="BP417" i="3"/>
  <c r="BO417" i="3"/>
  <c r="BN417" i="3"/>
  <c r="BM417" i="3"/>
  <c r="BQ417" i="3" s="1"/>
  <c r="BL417" i="3"/>
  <c r="AY417" i="3"/>
  <c r="AX417" i="3"/>
  <c r="AW417" i="3"/>
  <c r="DT416" i="3"/>
  <c r="DR416" i="3"/>
  <c r="DQ416" i="3"/>
  <c r="DK416" i="3"/>
  <c r="DI416" i="3"/>
  <c r="DH416" i="3"/>
  <c r="CU416" i="3"/>
  <c r="CV416" i="3" s="1"/>
  <c r="CS416" i="3"/>
  <c r="CT416" i="3" s="1"/>
  <c r="CP416" i="3"/>
  <c r="CM416" i="3"/>
  <c r="CJ416" i="3"/>
  <c r="CH416" i="3"/>
  <c r="CF416" i="3"/>
  <c r="CE416" i="3"/>
  <c r="CD416" i="3"/>
  <c r="CC416" i="3"/>
  <c r="CA416" i="3"/>
  <c r="CB416" i="3" s="1"/>
  <c r="CG416" i="3" s="1"/>
  <c r="BT416" i="3"/>
  <c r="BP416" i="3"/>
  <c r="BO416" i="3"/>
  <c r="BN416" i="3"/>
  <c r="BM416" i="3"/>
  <c r="BL416" i="3"/>
  <c r="AY416" i="3"/>
  <c r="AX416" i="3"/>
  <c r="AW416" i="3"/>
  <c r="DT415" i="3"/>
  <c r="DR415" i="3"/>
  <c r="DQ415" i="3"/>
  <c r="DK415" i="3"/>
  <c r="DI415" i="3"/>
  <c r="DH415" i="3"/>
  <c r="CU415" i="3"/>
  <c r="CV415" i="3" s="1"/>
  <c r="CS415" i="3"/>
  <c r="CT415" i="3" s="1"/>
  <c r="CP415" i="3"/>
  <c r="CM415" i="3"/>
  <c r="CJ415" i="3"/>
  <c r="CH415" i="3"/>
  <c r="CF415" i="3"/>
  <c r="CE415" i="3"/>
  <c r="CD415" i="3"/>
  <c r="CC415" i="3"/>
  <c r="CB415" i="3"/>
  <c r="CG415" i="3" s="1"/>
  <c r="DS415" i="3" s="1"/>
  <c r="CA415" i="3"/>
  <c r="BT415" i="3"/>
  <c r="BR415" i="3"/>
  <c r="BQ415" i="3"/>
  <c r="BP415" i="3"/>
  <c r="BO415" i="3"/>
  <c r="BN415" i="3"/>
  <c r="BM415" i="3"/>
  <c r="BS415" i="3" s="1"/>
  <c r="BL415" i="3"/>
  <c r="AY415" i="3"/>
  <c r="AX415" i="3"/>
  <c r="AW415" i="3"/>
  <c r="DT414" i="3"/>
  <c r="DR414" i="3"/>
  <c r="DQ414" i="3"/>
  <c r="DK414" i="3"/>
  <c r="DI414" i="3"/>
  <c r="DH414" i="3"/>
  <c r="CU414" i="3"/>
  <c r="CV414" i="3" s="1"/>
  <c r="CS414" i="3"/>
  <c r="CT414" i="3" s="1"/>
  <c r="CP414" i="3"/>
  <c r="CM414" i="3"/>
  <c r="CJ414" i="3"/>
  <c r="CF414" i="3"/>
  <c r="CE414" i="3"/>
  <c r="CD414" i="3"/>
  <c r="CC414" i="3"/>
  <c r="CB414" i="3"/>
  <c r="CG414" i="3" s="1"/>
  <c r="CH414" i="3" s="1"/>
  <c r="CA414" i="3"/>
  <c r="BT414" i="3"/>
  <c r="BS414" i="3"/>
  <c r="BR414" i="3"/>
  <c r="BQ414" i="3"/>
  <c r="BP414" i="3"/>
  <c r="BO414" i="3"/>
  <c r="BN414" i="3"/>
  <c r="BM414" i="3"/>
  <c r="BL414" i="3"/>
  <c r="AY414" i="3"/>
  <c r="AX414" i="3"/>
  <c r="AW414" i="3"/>
  <c r="DT413" i="3"/>
  <c r="DR413" i="3"/>
  <c r="DQ413" i="3"/>
  <c r="DK413" i="3"/>
  <c r="DI413" i="3"/>
  <c r="DH413" i="3"/>
  <c r="CV413" i="3"/>
  <c r="CU413" i="3"/>
  <c r="CS413" i="3"/>
  <c r="CT413" i="3" s="1"/>
  <c r="CP413" i="3"/>
  <c r="CM413" i="3"/>
  <c r="CJ413" i="3"/>
  <c r="CF413" i="3"/>
  <c r="CE413" i="3"/>
  <c r="CD413" i="3"/>
  <c r="CC413" i="3"/>
  <c r="CB413" i="3"/>
  <c r="CG413" i="3" s="1"/>
  <c r="CA413" i="3"/>
  <c r="BT413" i="3"/>
  <c r="BS413" i="3"/>
  <c r="BR413" i="3"/>
  <c r="BP413" i="3"/>
  <c r="BO413" i="3"/>
  <c r="BN413" i="3"/>
  <c r="BM413" i="3"/>
  <c r="BQ413" i="3" s="1"/>
  <c r="BL413" i="3"/>
  <c r="AY413" i="3"/>
  <c r="AX413" i="3"/>
  <c r="AW413" i="3"/>
  <c r="DT412" i="3"/>
  <c r="DR412" i="3"/>
  <c r="DQ412" i="3"/>
  <c r="DK412" i="3"/>
  <c r="DI412" i="3"/>
  <c r="DH412" i="3"/>
  <c r="CU412" i="3"/>
  <c r="CV412" i="3" s="1"/>
  <c r="CS412" i="3"/>
  <c r="CT412" i="3" s="1"/>
  <c r="CP412" i="3"/>
  <c r="CJ412" i="3"/>
  <c r="CM412" i="3" s="1"/>
  <c r="CH412" i="3"/>
  <c r="CF412" i="3"/>
  <c r="CE412" i="3"/>
  <c r="CD412" i="3"/>
  <c r="CC412" i="3"/>
  <c r="CA412" i="3"/>
  <c r="CB412" i="3" s="1"/>
  <c r="CG412" i="3" s="1"/>
  <c r="DS412" i="3" s="1"/>
  <c r="BT412" i="3"/>
  <c r="BR412" i="3"/>
  <c r="BP412" i="3"/>
  <c r="BO412" i="3"/>
  <c r="BN412" i="3"/>
  <c r="BM412" i="3"/>
  <c r="BL412" i="3"/>
  <c r="AY412" i="3"/>
  <c r="AX412" i="3"/>
  <c r="AW412" i="3"/>
  <c r="DT411" i="3"/>
  <c r="DR411" i="3"/>
  <c r="DQ411" i="3"/>
  <c r="DK411" i="3"/>
  <c r="DI411" i="3"/>
  <c r="DH411" i="3"/>
  <c r="CU411" i="3"/>
  <c r="CV411" i="3" s="1"/>
  <c r="CS411" i="3"/>
  <c r="CT411" i="3" s="1"/>
  <c r="CP411" i="3"/>
  <c r="CM411" i="3"/>
  <c r="CJ411" i="3"/>
  <c r="CF411" i="3"/>
  <c r="CE411" i="3"/>
  <c r="CD411" i="3"/>
  <c r="CC411" i="3"/>
  <c r="CB411" i="3"/>
  <c r="CG411" i="3" s="1"/>
  <c r="DS411" i="3" s="1"/>
  <c r="CA411" i="3"/>
  <c r="BT411" i="3"/>
  <c r="BR411" i="3"/>
  <c r="BQ411" i="3"/>
  <c r="BP411" i="3"/>
  <c r="BO411" i="3"/>
  <c r="BN411" i="3"/>
  <c r="BM411" i="3"/>
  <c r="BS411" i="3" s="1"/>
  <c r="BL411" i="3"/>
  <c r="AY411" i="3"/>
  <c r="AX411" i="3"/>
  <c r="AW411" i="3"/>
  <c r="DT410" i="3"/>
  <c r="DR410" i="3"/>
  <c r="DQ410" i="3"/>
  <c r="DK410" i="3"/>
  <c r="DI410" i="3"/>
  <c r="DH410" i="3"/>
  <c r="CU410" i="3"/>
  <c r="CV410" i="3" s="1"/>
  <c r="CT410" i="3"/>
  <c r="CS410" i="3"/>
  <c r="CP410" i="3"/>
  <c r="CM410" i="3"/>
  <c r="CJ410" i="3"/>
  <c r="CF410" i="3"/>
  <c r="CE410" i="3"/>
  <c r="CD410" i="3"/>
  <c r="CC410" i="3"/>
  <c r="CB410" i="3"/>
  <c r="CG410" i="3" s="1"/>
  <c r="CH410" i="3" s="1"/>
  <c r="CA410" i="3"/>
  <c r="BT410" i="3"/>
  <c r="BS410" i="3"/>
  <c r="BR410" i="3"/>
  <c r="BQ410" i="3"/>
  <c r="BP410" i="3"/>
  <c r="BO410" i="3"/>
  <c r="BN410" i="3"/>
  <c r="BM410" i="3"/>
  <c r="BL410" i="3"/>
  <c r="AY410" i="3"/>
  <c r="AX410" i="3"/>
  <c r="AW410" i="3"/>
  <c r="DT409" i="3"/>
  <c r="DR409" i="3"/>
  <c r="DQ409" i="3"/>
  <c r="DK409" i="3"/>
  <c r="DI409" i="3"/>
  <c r="DH409" i="3"/>
  <c r="CV409" i="3"/>
  <c r="CU409" i="3"/>
  <c r="CS409" i="3"/>
  <c r="CT409" i="3" s="1"/>
  <c r="CP409" i="3"/>
  <c r="CM409" i="3"/>
  <c r="CJ409" i="3"/>
  <c r="CF409" i="3"/>
  <c r="CE409" i="3"/>
  <c r="CD409" i="3"/>
  <c r="CC409" i="3"/>
  <c r="CB409" i="3"/>
  <c r="CG409" i="3" s="1"/>
  <c r="CA409" i="3"/>
  <c r="BT409" i="3"/>
  <c r="BS409" i="3"/>
  <c r="BR409" i="3"/>
  <c r="BP409" i="3"/>
  <c r="BO409" i="3"/>
  <c r="BN409" i="3"/>
  <c r="BM409" i="3"/>
  <c r="BQ409" i="3" s="1"/>
  <c r="BL409" i="3"/>
  <c r="AY409" i="3"/>
  <c r="AX409" i="3"/>
  <c r="AW409" i="3"/>
  <c r="DT408" i="3"/>
  <c r="DR408" i="3"/>
  <c r="DQ408" i="3"/>
  <c r="DK408" i="3"/>
  <c r="DI408" i="3"/>
  <c r="DH408" i="3"/>
  <c r="CU408" i="3"/>
  <c r="CV408" i="3" s="1"/>
  <c r="CS408" i="3"/>
  <c r="CT408" i="3" s="1"/>
  <c r="CP408" i="3"/>
  <c r="CM408" i="3"/>
  <c r="CJ408" i="3"/>
  <c r="CH408" i="3"/>
  <c r="CF408" i="3"/>
  <c r="CE408" i="3"/>
  <c r="CD408" i="3"/>
  <c r="CC408" i="3"/>
  <c r="CA408" i="3"/>
  <c r="CB408" i="3" s="1"/>
  <c r="CG408" i="3" s="1"/>
  <c r="BT408" i="3"/>
  <c r="BP408" i="3"/>
  <c r="BO408" i="3"/>
  <c r="BN408" i="3"/>
  <c r="BM408" i="3"/>
  <c r="BL408" i="3"/>
  <c r="AY408" i="3"/>
  <c r="AX408" i="3"/>
  <c r="AW408" i="3"/>
  <c r="DT407" i="3"/>
  <c r="DR407" i="3"/>
  <c r="DQ407" i="3"/>
  <c r="DK407" i="3"/>
  <c r="DI407" i="3"/>
  <c r="DH407" i="3"/>
  <c r="CU407" i="3"/>
  <c r="CV407" i="3" s="1"/>
  <c r="CS407" i="3"/>
  <c r="CT407" i="3" s="1"/>
  <c r="CP407" i="3"/>
  <c r="CM407" i="3"/>
  <c r="CJ407" i="3"/>
  <c r="CH407" i="3"/>
  <c r="CF407" i="3"/>
  <c r="CE407" i="3"/>
  <c r="CD407" i="3"/>
  <c r="CC407" i="3"/>
  <c r="CB407" i="3"/>
  <c r="CG407" i="3" s="1"/>
  <c r="DS407" i="3" s="1"/>
  <c r="CA407" i="3"/>
  <c r="BT407" i="3"/>
  <c r="BR407" i="3"/>
  <c r="BP407" i="3"/>
  <c r="BO407" i="3"/>
  <c r="BN407" i="3"/>
  <c r="BM407" i="3"/>
  <c r="BS407" i="3" s="1"/>
  <c r="BL407" i="3"/>
  <c r="AY407" i="3"/>
  <c r="AX407" i="3"/>
  <c r="AW407" i="3"/>
  <c r="DT406" i="3"/>
  <c r="DR406" i="3"/>
  <c r="DQ406" i="3"/>
  <c r="DK406" i="3"/>
  <c r="DI406" i="3"/>
  <c r="DH406" i="3"/>
  <c r="CU406" i="3"/>
  <c r="CV406" i="3" s="1"/>
  <c r="CS406" i="3"/>
  <c r="CT406" i="3" s="1"/>
  <c r="CP406" i="3"/>
  <c r="CM406" i="3"/>
  <c r="CJ406" i="3"/>
  <c r="CF406" i="3"/>
  <c r="CE406" i="3"/>
  <c r="CD406" i="3"/>
  <c r="CC406" i="3"/>
  <c r="CB406" i="3"/>
  <c r="CG406" i="3" s="1"/>
  <c r="CH406" i="3" s="1"/>
  <c r="CA406" i="3"/>
  <c r="BT406" i="3"/>
  <c r="BS406" i="3"/>
  <c r="BR406" i="3"/>
  <c r="BQ406" i="3"/>
  <c r="BP406" i="3"/>
  <c r="BO406" i="3"/>
  <c r="BN406" i="3"/>
  <c r="BM406" i="3"/>
  <c r="BL406" i="3"/>
  <c r="AY406" i="3"/>
  <c r="AX406" i="3"/>
  <c r="AW406" i="3"/>
  <c r="DT405" i="3"/>
  <c r="DR405" i="3"/>
  <c r="DQ405" i="3"/>
  <c r="DK405" i="3"/>
  <c r="DI405" i="3"/>
  <c r="DH405" i="3"/>
  <c r="CU405" i="3"/>
  <c r="CV405" i="3" s="1"/>
  <c r="CS405" i="3"/>
  <c r="CT405" i="3" s="1"/>
  <c r="CP405" i="3"/>
  <c r="CM405" i="3"/>
  <c r="CJ405" i="3"/>
  <c r="CF405" i="3"/>
  <c r="CE405" i="3"/>
  <c r="CD405" i="3"/>
  <c r="CC405" i="3"/>
  <c r="CB405" i="3"/>
  <c r="CG405" i="3" s="1"/>
  <c r="CA405" i="3"/>
  <c r="BT405" i="3"/>
  <c r="BS405" i="3"/>
  <c r="BR405" i="3"/>
  <c r="BP405" i="3"/>
  <c r="BO405" i="3"/>
  <c r="BN405" i="3"/>
  <c r="BM405" i="3"/>
  <c r="BQ405" i="3" s="1"/>
  <c r="BL405" i="3"/>
  <c r="AY405" i="3"/>
  <c r="AX405" i="3"/>
  <c r="AW405" i="3"/>
  <c r="DT404" i="3"/>
  <c r="DR404" i="3"/>
  <c r="DQ404" i="3"/>
  <c r="DK404" i="3"/>
  <c r="DI404" i="3"/>
  <c r="DH404" i="3"/>
  <c r="CU404" i="3"/>
  <c r="CV404" i="3" s="1"/>
  <c r="CS404" i="3"/>
  <c r="CT404" i="3" s="1"/>
  <c r="CP404" i="3"/>
  <c r="CJ404" i="3"/>
  <c r="CM404" i="3" s="1"/>
  <c r="CF404" i="3"/>
  <c r="CE404" i="3"/>
  <c r="CD404" i="3"/>
  <c r="CC404" i="3"/>
  <c r="CB404" i="3"/>
  <c r="CG404" i="3" s="1"/>
  <c r="DS404" i="3" s="1"/>
  <c r="CA404" i="3"/>
  <c r="BT404" i="3"/>
  <c r="BR404" i="3"/>
  <c r="BP404" i="3"/>
  <c r="BO404" i="3"/>
  <c r="BN404" i="3"/>
  <c r="BM404" i="3"/>
  <c r="BL404" i="3"/>
  <c r="AY404" i="3"/>
  <c r="AX404" i="3"/>
  <c r="AW404" i="3"/>
  <c r="DT403" i="3"/>
  <c r="DR403" i="3"/>
  <c r="DQ403" i="3"/>
  <c r="DK403" i="3"/>
  <c r="DI403" i="3"/>
  <c r="DH403" i="3"/>
  <c r="CU403" i="3"/>
  <c r="CV403" i="3" s="1"/>
  <c r="CS403" i="3"/>
  <c r="CT403" i="3" s="1"/>
  <c r="CP403" i="3"/>
  <c r="CJ403" i="3"/>
  <c r="CM403" i="3" s="1"/>
  <c r="CF403" i="3"/>
  <c r="CE403" i="3"/>
  <c r="CD403" i="3"/>
  <c r="CC403" i="3"/>
  <c r="CA403" i="3"/>
  <c r="CB403" i="3" s="1"/>
  <c r="CG403" i="3" s="1"/>
  <c r="CH403" i="3" s="1"/>
  <c r="BT403" i="3"/>
  <c r="BP403" i="3"/>
  <c r="BO403" i="3"/>
  <c r="BN403" i="3"/>
  <c r="BM403" i="3"/>
  <c r="BL403" i="3"/>
  <c r="AY403" i="3"/>
  <c r="AX403" i="3"/>
  <c r="AW403" i="3"/>
  <c r="DT402" i="3"/>
  <c r="DR402" i="3"/>
  <c r="DQ402" i="3"/>
  <c r="DK402" i="3"/>
  <c r="DI402" i="3"/>
  <c r="DH402" i="3"/>
  <c r="CV402" i="3"/>
  <c r="CU402" i="3"/>
  <c r="CS402" i="3"/>
  <c r="CT402" i="3" s="1"/>
  <c r="CP402" i="3"/>
  <c r="CJ402" i="3"/>
  <c r="CM402" i="3" s="1"/>
  <c r="CH402" i="3"/>
  <c r="CG402" i="3"/>
  <c r="DS402" i="3" s="1"/>
  <c r="CF402" i="3"/>
  <c r="CE402" i="3"/>
  <c r="CD402" i="3"/>
  <c r="CC402" i="3"/>
  <c r="CA402" i="3"/>
  <c r="CB402" i="3" s="1"/>
  <c r="BT402" i="3"/>
  <c r="BS402" i="3"/>
  <c r="BP402" i="3"/>
  <c r="BO402" i="3"/>
  <c r="BN402" i="3"/>
  <c r="BM402" i="3"/>
  <c r="BQ402" i="3" s="1"/>
  <c r="BL402" i="3"/>
  <c r="AY402" i="3"/>
  <c r="AX402" i="3"/>
  <c r="AW402" i="3"/>
  <c r="DT401" i="3"/>
  <c r="DR401" i="3"/>
  <c r="DQ401" i="3"/>
  <c r="DK401" i="3"/>
  <c r="DI401" i="3"/>
  <c r="DH401" i="3"/>
  <c r="CU401" i="3"/>
  <c r="CV401" i="3" s="1"/>
  <c r="CT401" i="3"/>
  <c r="CS401" i="3"/>
  <c r="CP401" i="3"/>
  <c r="CM401" i="3"/>
  <c r="CJ401" i="3"/>
  <c r="CF401" i="3"/>
  <c r="CE401" i="3"/>
  <c r="CD401" i="3"/>
  <c r="CC401" i="3"/>
  <c r="CA401" i="3"/>
  <c r="CB401" i="3" s="1"/>
  <c r="CG401" i="3" s="1"/>
  <c r="BT401" i="3"/>
  <c r="BP401" i="3"/>
  <c r="BO401" i="3"/>
  <c r="BN401" i="3"/>
  <c r="BM401" i="3"/>
  <c r="BQ401" i="3" s="1"/>
  <c r="BL401" i="3"/>
  <c r="AY401" i="3"/>
  <c r="AX401" i="3"/>
  <c r="AW401" i="3"/>
  <c r="DT400" i="3"/>
  <c r="DR400" i="3"/>
  <c r="DQ400" i="3"/>
  <c r="DK400" i="3"/>
  <c r="DI400" i="3"/>
  <c r="DH400" i="3"/>
  <c r="CV400" i="3"/>
  <c r="CU400" i="3"/>
  <c r="CT400" i="3"/>
  <c r="CS400" i="3"/>
  <c r="CP400" i="3"/>
  <c r="CM400" i="3"/>
  <c r="CJ400" i="3"/>
  <c r="CF400" i="3"/>
  <c r="CE400" i="3"/>
  <c r="CD400" i="3"/>
  <c r="CC400" i="3"/>
  <c r="CB400" i="3"/>
  <c r="CG400" i="3" s="1"/>
  <c r="CA400" i="3"/>
  <c r="BT400" i="3"/>
  <c r="BS400" i="3"/>
  <c r="BR400" i="3"/>
  <c r="BQ400" i="3"/>
  <c r="BP400" i="3"/>
  <c r="BO400" i="3"/>
  <c r="BN400" i="3"/>
  <c r="BM400" i="3"/>
  <c r="BL400" i="3"/>
  <c r="AY400" i="3"/>
  <c r="AX400" i="3"/>
  <c r="AW400" i="3"/>
  <c r="DT399" i="3"/>
  <c r="DR399" i="3"/>
  <c r="DQ399" i="3"/>
  <c r="DK399" i="3"/>
  <c r="DI399" i="3"/>
  <c r="DH399" i="3"/>
  <c r="CV399" i="3"/>
  <c r="CU399" i="3"/>
  <c r="CS399" i="3"/>
  <c r="CT399" i="3" s="1"/>
  <c r="CP399" i="3"/>
  <c r="CJ399" i="3"/>
  <c r="CM399" i="3" s="1"/>
  <c r="CF399" i="3"/>
  <c r="CE399" i="3"/>
  <c r="CD399" i="3"/>
  <c r="CC399" i="3"/>
  <c r="CA399" i="3"/>
  <c r="CB399" i="3" s="1"/>
  <c r="CG399" i="3" s="1"/>
  <c r="BT399" i="3"/>
  <c r="BP399" i="3"/>
  <c r="BO399" i="3"/>
  <c r="BN399" i="3"/>
  <c r="BM399" i="3"/>
  <c r="BS399" i="3" s="1"/>
  <c r="BL399" i="3"/>
  <c r="AY399" i="3"/>
  <c r="AX399" i="3"/>
  <c r="AW399" i="3"/>
  <c r="DT398" i="3"/>
  <c r="DR398" i="3"/>
  <c r="DQ398" i="3"/>
  <c r="DK398" i="3"/>
  <c r="DI398" i="3"/>
  <c r="DH398" i="3"/>
  <c r="CU398" i="3"/>
  <c r="CV398" i="3" s="1"/>
  <c r="CS398" i="3"/>
  <c r="CT398" i="3" s="1"/>
  <c r="CP398" i="3"/>
  <c r="CJ398" i="3"/>
  <c r="CM398" i="3" s="1"/>
  <c r="CF398" i="3"/>
  <c r="CE398" i="3"/>
  <c r="CD398" i="3"/>
  <c r="CC398" i="3"/>
  <c r="CA398" i="3"/>
  <c r="CB398" i="3" s="1"/>
  <c r="CG398" i="3" s="1"/>
  <c r="BT398" i="3"/>
  <c r="BP398" i="3"/>
  <c r="BO398" i="3"/>
  <c r="BN398" i="3"/>
  <c r="BM398" i="3"/>
  <c r="BL398" i="3"/>
  <c r="AY398" i="3"/>
  <c r="AX398" i="3"/>
  <c r="AW398" i="3"/>
  <c r="DT397" i="3"/>
  <c r="DR397" i="3"/>
  <c r="DQ397" i="3"/>
  <c r="DK397" i="3"/>
  <c r="DI397" i="3"/>
  <c r="DH397" i="3"/>
  <c r="CU397" i="3"/>
  <c r="CV397" i="3" s="1"/>
  <c r="CT397" i="3"/>
  <c r="CS397" i="3"/>
  <c r="CP397" i="3"/>
  <c r="CM397" i="3"/>
  <c r="CJ397" i="3"/>
  <c r="CF397" i="3"/>
  <c r="CE397" i="3"/>
  <c r="CD397" i="3"/>
  <c r="CC397" i="3"/>
  <c r="CA397" i="3"/>
  <c r="CB397" i="3" s="1"/>
  <c r="CG397" i="3" s="1"/>
  <c r="BT397" i="3"/>
  <c r="BP397" i="3"/>
  <c r="BO397" i="3"/>
  <c r="BN397" i="3"/>
  <c r="BM397" i="3"/>
  <c r="BL397" i="3"/>
  <c r="AY397" i="3"/>
  <c r="AX397" i="3"/>
  <c r="AW397" i="3"/>
  <c r="DT396" i="3"/>
  <c r="DR396" i="3"/>
  <c r="DQ396" i="3"/>
  <c r="DK396" i="3"/>
  <c r="DI396" i="3"/>
  <c r="DH396" i="3"/>
  <c r="CV396" i="3"/>
  <c r="CU396" i="3"/>
  <c r="CS396" i="3"/>
  <c r="CT396" i="3" s="1"/>
  <c r="CP396" i="3"/>
  <c r="CM396" i="3"/>
  <c r="CJ396" i="3"/>
  <c r="CG396" i="3"/>
  <c r="CH396" i="3" s="1"/>
  <c r="CF396" i="3"/>
  <c r="CE396" i="3"/>
  <c r="CD396" i="3"/>
  <c r="CC396" i="3"/>
  <c r="CB396" i="3"/>
  <c r="CA396" i="3"/>
  <c r="BT396" i="3"/>
  <c r="BS396" i="3"/>
  <c r="BR396" i="3"/>
  <c r="BQ396" i="3"/>
  <c r="BP396" i="3"/>
  <c r="BO396" i="3"/>
  <c r="BN396" i="3"/>
  <c r="BM396" i="3"/>
  <c r="BL396" i="3"/>
  <c r="AY396" i="3"/>
  <c r="AX396" i="3"/>
  <c r="AW396" i="3"/>
  <c r="DT395" i="3"/>
  <c r="DR395" i="3"/>
  <c r="DQ395" i="3"/>
  <c r="DK395" i="3"/>
  <c r="DI395" i="3"/>
  <c r="DH395" i="3"/>
  <c r="CV395" i="3"/>
  <c r="CU395" i="3"/>
  <c r="CT395" i="3"/>
  <c r="CS395" i="3"/>
  <c r="CP395" i="3"/>
  <c r="CJ395" i="3"/>
  <c r="CM395" i="3" s="1"/>
  <c r="CG395" i="3"/>
  <c r="CH395" i="3" s="1"/>
  <c r="CF395" i="3"/>
  <c r="CE395" i="3"/>
  <c r="CD395" i="3"/>
  <c r="CC395" i="3"/>
  <c r="CA395" i="3"/>
  <c r="CB395" i="3" s="1"/>
  <c r="BT395" i="3"/>
  <c r="BS395" i="3"/>
  <c r="BR395" i="3"/>
  <c r="BP395" i="3"/>
  <c r="BO395" i="3"/>
  <c r="BN395" i="3"/>
  <c r="BM395" i="3"/>
  <c r="BQ395" i="3" s="1"/>
  <c r="BL395" i="3"/>
  <c r="AY395" i="3"/>
  <c r="AX395" i="3"/>
  <c r="AW395" i="3"/>
  <c r="DT394" i="3"/>
  <c r="DR394" i="3"/>
  <c r="DQ394" i="3"/>
  <c r="DK394" i="3"/>
  <c r="DI394" i="3"/>
  <c r="DH394" i="3"/>
  <c r="CV394" i="3"/>
  <c r="CU394" i="3"/>
  <c r="CT394" i="3"/>
  <c r="CS394" i="3"/>
  <c r="CP394" i="3"/>
  <c r="CJ394" i="3"/>
  <c r="CM394" i="3" s="1"/>
  <c r="CG394" i="3"/>
  <c r="CF394" i="3"/>
  <c r="CE394" i="3"/>
  <c r="CD394" i="3"/>
  <c r="CC394" i="3"/>
  <c r="CA394" i="3"/>
  <c r="CB394" i="3" s="1"/>
  <c r="BT394" i="3"/>
  <c r="BR394" i="3"/>
  <c r="BP394" i="3"/>
  <c r="BO394" i="3"/>
  <c r="BN394" i="3"/>
  <c r="BM394" i="3"/>
  <c r="BQ394" i="3" s="1"/>
  <c r="BL394" i="3"/>
  <c r="AY394" i="3"/>
  <c r="AX394" i="3"/>
  <c r="AW394" i="3"/>
  <c r="DT393" i="3"/>
  <c r="DR393" i="3"/>
  <c r="DQ393" i="3"/>
  <c r="DK393" i="3"/>
  <c r="DI393" i="3"/>
  <c r="DH393" i="3"/>
  <c r="CU393" i="3"/>
  <c r="CV393" i="3" s="1"/>
  <c r="CT393" i="3"/>
  <c r="CS393" i="3"/>
  <c r="CP393" i="3"/>
  <c r="CJ393" i="3"/>
  <c r="CM393" i="3" s="1"/>
  <c r="CF393" i="3"/>
  <c r="CE393" i="3"/>
  <c r="CD393" i="3"/>
  <c r="CC393" i="3"/>
  <c r="CB393" i="3"/>
  <c r="CG393" i="3" s="1"/>
  <c r="DS393" i="3" s="1"/>
  <c r="CA393" i="3"/>
  <c r="BT393" i="3"/>
  <c r="BQ393" i="3"/>
  <c r="BP393" i="3"/>
  <c r="BO393" i="3"/>
  <c r="BN393" i="3"/>
  <c r="BM393" i="3"/>
  <c r="BL393" i="3"/>
  <c r="AY393" i="3"/>
  <c r="AX393" i="3"/>
  <c r="AW393" i="3"/>
  <c r="DT392" i="3"/>
  <c r="DS392" i="3"/>
  <c r="DR392" i="3"/>
  <c r="DQ392" i="3"/>
  <c r="DK392" i="3"/>
  <c r="DI392" i="3"/>
  <c r="DH392" i="3"/>
  <c r="CV392" i="3"/>
  <c r="CU392" i="3"/>
  <c r="CT392" i="3"/>
  <c r="CS392" i="3"/>
  <c r="CP392" i="3"/>
  <c r="CM392" i="3"/>
  <c r="CJ392" i="3"/>
  <c r="CG392" i="3"/>
  <c r="CH392" i="3" s="1"/>
  <c r="CF392" i="3"/>
  <c r="CE392" i="3"/>
  <c r="CD392" i="3"/>
  <c r="CC392" i="3"/>
  <c r="CB392" i="3"/>
  <c r="CA392" i="3"/>
  <c r="BT392" i="3"/>
  <c r="BS392" i="3"/>
  <c r="BR392" i="3"/>
  <c r="BQ392" i="3"/>
  <c r="BP392" i="3"/>
  <c r="BO392" i="3"/>
  <c r="BN392" i="3"/>
  <c r="BM392" i="3"/>
  <c r="BL392" i="3"/>
  <c r="AY392" i="3"/>
  <c r="AX392" i="3"/>
  <c r="AW392" i="3"/>
  <c r="DT391" i="3"/>
  <c r="DS391" i="3"/>
  <c r="DR391" i="3"/>
  <c r="DQ391" i="3"/>
  <c r="DK391" i="3"/>
  <c r="DI391" i="3"/>
  <c r="DH391" i="3"/>
  <c r="CU391" i="3"/>
  <c r="CV391" i="3" s="1"/>
  <c r="CT391" i="3"/>
  <c r="CS391" i="3"/>
  <c r="CP391" i="3"/>
  <c r="CJ391" i="3"/>
  <c r="CM391" i="3" s="1"/>
  <c r="CG391" i="3"/>
  <c r="CH391" i="3" s="1"/>
  <c r="CF391" i="3"/>
  <c r="CE391" i="3"/>
  <c r="CD391" i="3"/>
  <c r="CC391" i="3"/>
  <c r="CA391" i="3"/>
  <c r="CB391" i="3" s="1"/>
  <c r="BT391" i="3"/>
  <c r="BR391" i="3"/>
  <c r="BQ391" i="3"/>
  <c r="BP391" i="3"/>
  <c r="BO391" i="3"/>
  <c r="BN391" i="3"/>
  <c r="BM391" i="3"/>
  <c r="BS391" i="3" s="1"/>
  <c r="BL391" i="3"/>
  <c r="AY391" i="3"/>
  <c r="AX391" i="3"/>
  <c r="AW391" i="3"/>
  <c r="DT390" i="3"/>
  <c r="DR390" i="3"/>
  <c r="DQ390" i="3"/>
  <c r="DK390" i="3"/>
  <c r="DI390" i="3"/>
  <c r="DH390" i="3"/>
  <c r="CV390" i="3"/>
  <c r="CU390" i="3"/>
  <c r="CS390" i="3"/>
  <c r="CT390" i="3" s="1"/>
  <c r="CP390" i="3"/>
  <c r="CJ390" i="3"/>
  <c r="CM390" i="3" s="1"/>
  <c r="CF390" i="3"/>
  <c r="CE390" i="3"/>
  <c r="CD390" i="3"/>
  <c r="CC390" i="3"/>
  <c r="CA390" i="3"/>
  <c r="CB390" i="3" s="1"/>
  <c r="CG390" i="3" s="1"/>
  <c r="BT390" i="3"/>
  <c r="BR390" i="3"/>
  <c r="BP390" i="3"/>
  <c r="BO390" i="3"/>
  <c r="BN390" i="3"/>
  <c r="BM390" i="3"/>
  <c r="BQ390" i="3" s="1"/>
  <c r="BL390" i="3"/>
  <c r="AY390" i="3"/>
  <c r="AX390" i="3"/>
  <c r="AW390" i="3"/>
  <c r="DT389" i="3"/>
  <c r="DS389" i="3"/>
  <c r="DR389" i="3"/>
  <c r="DQ389" i="3"/>
  <c r="DK389" i="3"/>
  <c r="DI389" i="3"/>
  <c r="DH389" i="3"/>
  <c r="CU389" i="3"/>
  <c r="CV389" i="3" s="1"/>
  <c r="CT389" i="3"/>
  <c r="CS389" i="3"/>
  <c r="CP389" i="3"/>
  <c r="CJ389" i="3"/>
  <c r="CM389" i="3" s="1"/>
  <c r="CH389" i="3"/>
  <c r="CF389" i="3"/>
  <c r="CE389" i="3"/>
  <c r="CD389" i="3"/>
  <c r="CC389" i="3"/>
  <c r="CB389" i="3"/>
  <c r="CG389" i="3" s="1"/>
  <c r="CA389" i="3"/>
  <c r="BT389" i="3"/>
  <c r="BQ389" i="3"/>
  <c r="BP389" i="3"/>
  <c r="BO389" i="3"/>
  <c r="BN389" i="3"/>
  <c r="BM389" i="3"/>
  <c r="BL389" i="3"/>
  <c r="AY389" i="3"/>
  <c r="AX389" i="3"/>
  <c r="AW389" i="3"/>
  <c r="DT388" i="3"/>
  <c r="DR388" i="3"/>
  <c r="DQ388" i="3"/>
  <c r="DK388" i="3"/>
  <c r="DI388" i="3"/>
  <c r="DH388" i="3"/>
  <c r="CV388" i="3"/>
  <c r="CU388" i="3"/>
  <c r="CT388" i="3"/>
  <c r="CS388" i="3"/>
  <c r="CP388" i="3"/>
  <c r="CM388" i="3"/>
  <c r="CJ388" i="3"/>
  <c r="CG388" i="3"/>
  <c r="CF388" i="3"/>
  <c r="CE388" i="3"/>
  <c r="CD388" i="3"/>
  <c r="CC388" i="3"/>
  <c r="CB388" i="3"/>
  <c r="CA388" i="3"/>
  <c r="BT388" i="3"/>
  <c r="BS388" i="3"/>
  <c r="BR388" i="3"/>
  <c r="BQ388" i="3"/>
  <c r="BP388" i="3"/>
  <c r="BO388" i="3"/>
  <c r="BN388" i="3"/>
  <c r="BM388" i="3"/>
  <c r="BL388" i="3"/>
  <c r="AY388" i="3"/>
  <c r="AX388" i="3"/>
  <c r="AW388" i="3"/>
  <c r="DT387" i="3"/>
  <c r="DR387" i="3"/>
  <c r="DQ387" i="3"/>
  <c r="DK387" i="3"/>
  <c r="DI387" i="3"/>
  <c r="DH387" i="3"/>
  <c r="CU387" i="3"/>
  <c r="CV387" i="3" s="1"/>
  <c r="CS387" i="3"/>
  <c r="CT387" i="3" s="1"/>
  <c r="CP387" i="3"/>
  <c r="CJ387" i="3"/>
  <c r="CM387" i="3" s="1"/>
  <c r="CG387" i="3"/>
  <c r="CF387" i="3"/>
  <c r="CE387" i="3"/>
  <c r="CD387" i="3"/>
  <c r="CC387" i="3"/>
  <c r="CA387" i="3"/>
  <c r="CB387" i="3" s="1"/>
  <c r="BT387" i="3"/>
  <c r="BR387" i="3"/>
  <c r="BP387" i="3"/>
  <c r="BO387" i="3"/>
  <c r="BN387" i="3"/>
  <c r="BM387" i="3"/>
  <c r="BQ387" i="3" s="1"/>
  <c r="BL387" i="3"/>
  <c r="AY387" i="3"/>
  <c r="AX387" i="3"/>
  <c r="AW387" i="3"/>
  <c r="DT386" i="3"/>
  <c r="DR386" i="3"/>
  <c r="DQ386" i="3"/>
  <c r="DK386" i="3"/>
  <c r="DI386" i="3"/>
  <c r="DH386" i="3"/>
  <c r="CV386" i="3"/>
  <c r="CU386" i="3"/>
  <c r="CS386" i="3"/>
  <c r="CT386" i="3" s="1"/>
  <c r="CP386" i="3"/>
  <c r="CJ386" i="3"/>
  <c r="CM386" i="3" s="1"/>
  <c r="CF386" i="3"/>
  <c r="CE386" i="3"/>
  <c r="CD386" i="3"/>
  <c r="CC386" i="3"/>
  <c r="CA386" i="3"/>
  <c r="CB386" i="3" s="1"/>
  <c r="CG386" i="3" s="1"/>
  <c r="BT386" i="3"/>
  <c r="BS386" i="3"/>
  <c r="BP386" i="3"/>
  <c r="BO386" i="3"/>
  <c r="BN386" i="3"/>
  <c r="BM386" i="3"/>
  <c r="BQ386" i="3" s="1"/>
  <c r="BL386" i="3"/>
  <c r="AY386" i="3"/>
  <c r="AX386" i="3"/>
  <c r="AW386" i="3"/>
  <c r="DT385" i="3"/>
  <c r="DS385" i="3"/>
  <c r="DR385" i="3"/>
  <c r="DQ385" i="3"/>
  <c r="DK385" i="3"/>
  <c r="DI385" i="3"/>
  <c r="DH385" i="3"/>
  <c r="CU385" i="3"/>
  <c r="CV385" i="3" s="1"/>
  <c r="CT385" i="3"/>
  <c r="CS385" i="3"/>
  <c r="CP385" i="3"/>
  <c r="CJ385" i="3"/>
  <c r="CM385" i="3" s="1"/>
  <c r="CF385" i="3"/>
  <c r="CE385" i="3"/>
  <c r="CD385" i="3"/>
  <c r="CC385" i="3"/>
  <c r="CB385" i="3"/>
  <c r="CG385" i="3" s="1"/>
  <c r="CH385" i="3" s="1"/>
  <c r="CA385" i="3"/>
  <c r="BT385" i="3"/>
  <c r="BP385" i="3"/>
  <c r="BO385" i="3"/>
  <c r="BN385" i="3"/>
  <c r="BM385" i="3"/>
  <c r="BL385" i="3"/>
  <c r="AY385" i="3"/>
  <c r="AX385" i="3"/>
  <c r="AW385" i="3"/>
  <c r="DT384" i="3"/>
  <c r="DR384" i="3"/>
  <c r="DQ384" i="3"/>
  <c r="DK384" i="3"/>
  <c r="DI384" i="3"/>
  <c r="DH384" i="3"/>
  <c r="CV384" i="3"/>
  <c r="CU384" i="3"/>
  <c r="CS384" i="3"/>
  <c r="CT384" i="3" s="1"/>
  <c r="CP384" i="3"/>
  <c r="CM384" i="3"/>
  <c r="CJ384" i="3"/>
  <c r="CF384" i="3"/>
  <c r="CE384" i="3"/>
  <c r="CD384" i="3"/>
  <c r="CC384" i="3"/>
  <c r="CB384" i="3"/>
  <c r="CG384" i="3" s="1"/>
  <c r="CA384" i="3"/>
  <c r="BT384" i="3"/>
  <c r="BS384" i="3"/>
  <c r="BR384" i="3"/>
  <c r="BQ384" i="3"/>
  <c r="BP384" i="3"/>
  <c r="BO384" i="3"/>
  <c r="BN384" i="3"/>
  <c r="BM384" i="3"/>
  <c r="BL384" i="3"/>
  <c r="AY384" i="3"/>
  <c r="AX384" i="3"/>
  <c r="AW384" i="3"/>
  <c r="DT383" i="3"/>
  <c r="DR383" i="3"/>
  <c r="DQ383" i="3"/>
  <c r="DK383" i="3"/>
  <c r="DI383" i="3"/>
  <c r="DH383" i="3"/>
  <c r="CV383" i="3"/>
  <c r="CU383" i="3"/>
  <c r="CS383" i="3"/>
  <c r="CT383" i="3" s="1"/>
  <c r="CP383" i="3"/>
  <c r="CJ383" i="3"/>
  <c r="CM383" i="3" s="1"/>
  <c r="CF383" i="3"/>
  <c r="CE383" i="3"/>
  <c r="CD383" i="3"/>
  <c r="CC383" i="3"/>
  <c r="CA383" i="3"/>
  <c r="CB383" i="3" s="1"/>
  <c r="CG383" i="3" s="1"/>
  <c r="BT383" i="3"/>
  <c r="BP383" i="3"/>
  <c r="BO383" i="3"/>
  <c r="BN383" i="3"/>
  <c r="BM383" i="3"/>
  <c r="BL383" i="3"/>
  <c r="AY383" i="3"/>
  <c r="AX383" i="3"/>
  <c r="AW383" i="3"/>
  <c r="DT382" i="3"/>
  <c r="DR382" i="3"/>
  <c r="DQ382" i="3"/>
  <c r="DK382" i="3"/>
  <c r="DI382" i="3"/>
  <c r="DH382" i="3"/>
  <c r="CV382" i="3"/>
  <c r="CU382" i="3"/>
  <c r="CS382" i="3"/>
  <c r="CT382" i="3" s="1"/>
  <c r="CP382" i="3"/>
  <c r="CJ382" i="3"/>
  <c r="CM382" i="3" s="1"/>
  <c r="CH382" i="3"/>
  <c r="CG382" i="3"/>
  <c r="DS382" i="3" s="1"/>
  <c r="CF382" i="3"/>
  <c r="CE382" i="3"/>
  <c r="CD382" i="3"/>
  <c r="CC382" i="3"/>
  <c r="CA382" i="3"/>
  <c r="CB382" i="3" s="1"/>
  <c r="BT382" i="3"/>
  <c r="BS382" i="3"/>
  <c r="BP382" i="3"/>
  <c r="BO382" i="3"/>
  <c r="BN382" i="3"/>
  <c r="BM382" i="3"/>
  <c r="BQ382" i="3" s="1"/>
  <c r="BL382" i="3"/>
  <c r="AY382" i="3"/>
  <c r="AX382" i="3"/>
  <c r="AW382" i="3"/>
  <c r="DT381" i="3"/>
  <c r="DR381" i="3"/>
  <c r="DQ381" i="3"/>
  <c r="DK381" i="3"/>
  <c r="DI381" i="3"/>
  <c r="DH381" i="3"/>
  <c r="CV381" i="3"/>
  <c r="CU381" i="3"/>
  <c r="CT381" i="3"/>
  <c r="CS381" i="3"/>
  <c r="CP381" i="3"/>
  <c r="CM381" i="3"/>
  <c r="CJ381" i="3"/>
  <c r="CH381" i="3"/>
  <c r="CF381" i="3"/>
  <c r="CE381" i="3"/>
  <c r="CD381" i="3"/>
  <c r="CC381" i="3"/>
  <c r="CB381" i="3"/>
  <c r="CG381" i="3" s="1"/>
  <c r="DS381" i="3" s="1"/>
  <c r="CA381" i="3"/>
  <c r="BT381" i="3"/>
  <c r="BQ381" i="3"/>
  <c r="BP381" i="3"/>
  <c r="BO381" i="3"/>
  <c r="BN381" i="3"/>
  <c r="BM381" i="3"/>
  <c r="BL381" i="3"/>
  <c r="AY381" i="3"/>
  <c r="AX381" i="3"/>
  <c r="AW381" i="3"/>
  <c r="DT380" i="3"/>
  <c r="DR380" i="3"/>
  <c r="DQ380" i="3"/>
  <c r="DK380" i="3"/>
  <c r="DI380" i="3"/>
  <c r="DH380" i="3"/>
  <c r="CV380" i="3"/>
  <c r="CU380" i="3"/>
  <c r="CS380" i="3"/>
  <c r="CT380" i="3" s="1"/>
  <c r="CP380" i="3"/>
  <c r="CM380" i="3"/>
  <c r="CJ380" i="3"/>
  <c r="CG380" i="3"/>
  <c r="CH380" i="3" s="1"/>
  <c r="CF380" i="3"/>
  <c r="CE380" i="3"/>
  <c r="CD380" i="3"/>
  <c r="CC380" i="3"/>
  <c r="CB380" i="3"/>
  <c r="CA380" i="3"/>
  <c r="BT380" i="3"/>
  <c r="BS380" i="3"/>
  <c r="BQ380" i="3"/>
  <c r="BP380" i="3"/>
  <c r="BO380" i="3"/>
  <c r="BN380" i="3"/>
  <c r="BM380" i="3"/>
  <c r="BR380" i="3" s="1"/>
  <c r="BL380" i="3"/>
  <c r="AY380" i="3"/>
  <c r="AX380" i="3"/>
  <c r="AW380" i="3"/>
  <c r="DT379" i="3"/>
  <c r="DR379" i="3"/>
  <c r="DQ379" i="3"/>
  <c r="DK379" i="3"/>
  <c r="DI379" i="3"/>
  <c r="DH379" i="3"/>
  <c r="CV379" i="3"/>
  <c r="CU379" i="3"/>
  <c r="CS379" i="3"/>
  <c r="CT379" i="3" s="1"/>
  <c r="CP379" i="3"/>
  <c r="CJ379" i="3"/>
  <c r="CM379" i="3" s="1"/>
  <c r="CF379" i="3"/>
  <c r="CE379" i="3"/>
  <c r="CD379" i="3"/>
  <c r="CC379" i="3"/>
  <c r="CA379" i="3"/>
  <c r="CB379" i="3" s="1"/>
  <c r="CG379" i="3" s="1"/>
  <c r="BT379" i="3"/>
  <c r="BS379" i="3"/>
  <c r="BP379" i="3"/>
  <c r="BO379" i="3"/>
  <c r="BN379" i="3"/>
  <c r="BM379" i="3"/>
  <c r="BR379" i="3" s="1"/>
  <c r="BL379" i="3"/>
  <c r="AY379" i="3"/>
  <c r="AX379" i="3"/>
  <c r="AW379" i="3"/>
  <c r="DT378" i="3"/>
  <c r="DR378" i="3"/>
  <c r="DQ378" i="3"/>
  <c r="DK378" i="3"/>
  <c r="DI378" i="3"/>
  <c r="DH378" i="3"/>
  <c r="CU378" i="3"/>
  <c r="CV378" i="3" s="1"/>
  <c r="CT378" i="3"/>
  <c r="CS378" i="3"/>
  <c r="CP378" i="3"/>
  <c r="CJ378" i="3"/>
  <c r="CM378" i="3" s="1"/>
  <c r="CG378" i="3"/>
  <c r="DS378" i="3" s="1"/>
  <c r="CF378" i="3"/>
  <c r="CE378" i="3"/>
  <c r="CD378" i="3"/>
  <c r="CC378" i="3"/>
  <c r="CA378" i="3"/>
  <c r="CB378" i="3" s="1"/>
  <c r="BT378" i="3"/>
  <c r="BR378" i="3"/>
  <c r="BP378" i="3"/>
  <c r="BO378" i="3"/>
  <c r="BN378" i="3"/>
  <c r="BM378" i="3"/>
  <c r="BQ378" i="3" s="1"/>
  <c r="BL378" i="3"/>
  <c r="AY378" i="3"/>
  <c r="AX378" i="3"/>
  <c r="AW378" i="3"/>
  <c r="DT377" i="3"/>
  <c r="DR377" i="3"/>
  <c r="DQ377" i="3"/>
  <c r="DK377" i="3"/>
  <c r="DI377" i="3"/>
  <c r="DH377" i="3"/>
  <c r="CV377" i="3"/>
  <c r="CU377" i="3"/>
  <c r="CT377" i="3"/>
  <c r="CS377" i="3"/>
  <c r="CP377" i="3"/>
  <c r="CJ377" i="3"/>
  <c r="CM377" i="3" s="1"/>
  <c r="CF377" i="3"/>
  <c r="CE377" i="3"/>
  <c r="CD377" i="3"/>
  <c r="CC377" i="3"/>
  <c r="CB377" i="3"/>
  <c r="CG377" i="3" s="1"/>
  <c r="CH377" i="3" s="1"/>
  <c r="CA377" i="3"/>
  <c r="BT377" i="3"/>
  <c r="BP377" i="3"/>
  <c r="BO377" i="3"/>
  <c r="BN377" i="3"/>
  <c r="BM377" i="3"/>
  <c r="BL377" i="3"/>
  <c r="AY377" i="3"/>
  <c r="AX377" i="3"/>
  <c r="AW377" i="3"/>
  <c r="DT376" i="3"/>
  <c r="DR376" i="3"/>
  <c r="DQ376" i="3"/>
  <c r="DK376" i="3"/>
  <c r="DI376" i="3"/>
  <c r="DH376" i="3"/>
  <c r="CV376" i="3"/>
  <c r="CU376" i="3"/>
  <c r="CS376" i="3"/>
  <c r="CT376" i="3" s="1"/>
  <c r="CP376" i="3"/>
  <c r="CM376" i="3"/>
  <c r="CJ376" i="3"/>
  <c r="CF376" i="3"/>
  <c r="CE376" i="3"/>
  <c r="CD376" i="3"/>
  <c r="CC376" i="3"/>
  <c r="CB376" i="3"/>
  <c r="CG376" i="3" s="1"/>
  <c r="CA376" i="3"/>
  <c r="BT376" i="3"/>
  <c r="BS376" i="3"/>
  <c r="BQ376" i="3"/>
  <c r="BP376" i="3"/>
  <c r="BO376" i="3"/>
  <c r="BN376" i="3"/>
  <c r="BM376" i="3"/>
  <c r="BR376" i="3" s="1"/>
  <c r="BL376" i="3"/>
  <c r="AY376" i="3"/>
  <c r="AX376" i="3"/>
  <c r="AW376" i="3"/>
  <c r="DT375" i="3"/>
  <c r="DR375" i="3"/>
  <c r="DQ375" i="3"/>
  <c r="DK375" i="3"/>
  <c r="DI375" i="3"/>
  <c r="DH375" i="3"/>
  <c r="CU375" i="3"/>
  <c r="CV375" i="3" s="1"/>
  <c r="CS375" i="3"/>
  <c r="CT375" i="3" s="1"/>
  <c r="CP375" i="3"/>
  <c r="CJ375" i="3"/>
  <c r="CM375" i="3" s="1"/>
  <c r="CF375" i="3"/>
  <c r="CE375" i="3"/>
  <c r="CD375" i="3"/>
  <c r="CC375" i="3"/>
  <c r="CA375" i="3"/>
  <c r="CB375" i="3" s="1"/>
  <c r="CG375" i="3" s="1"/>
  <c r="BT375" i="3"/>
  <c r="BS375" i="3"/>
  <c r="BQ375" i="3"/>
  <c r="BP375" i="3"/>
  <c r="BO375" i="3"/>
  <c r="BN375" i="3"/>
  <c r="BM375" i="3"/>
  <c r="BR375" i="3" s="1"/>
  <c r="BL375" i="3"/>
  <c r="AY375" i="3"/>
  <c r="AX375" i="3"/>
  <c r="AW375" i="3"/>
  <c r="DT374" i="3"/>
  <c r="DR374" i="3"/>
  <c r="DQ374" i="3"/>
  <c r="DK374" i="3"/>
  <c r="DI374" i="3"/>
  <c r="DH374" i="3"/>
  <c r="CU374" i="3"/>
  <c r="CV374" i="3" s="1"/>
  <c r="CT374" i="3"/>
  <c r="CS374" i="3"/>
  <c r="CP374" i="3"/>
  <c r="CJ374" i="3"/>
  <c r="CM374" i="3" s="1"/>
  <c r="CH374" i="3"/>
  <c r="CG374" i="3"/>
  <c r="DS374" i="3" s="1"/>
  <c r="CF374" i="3"/>
  <c r="CE374" i="3"/>
  <c r="CD374" i="3"/>
  <c r="CC374" i="3"/>
  <c r="CA374" i="3"/>
  <c r="CB374" i="3" s="1"/>
  <c r="BT374" i="3"/>
  <c r="BS374" i="3"/>
  <c r="BP374" i="3"/>
  <c r="BO374" i="3"/>
  <c r="BN374" i="3"/>
  <c r="BM374" i="3"/>
  <c r="BQ374" i="3" s="1"/>
  <c r="BL374" i="3"/>
  <c r="AY374" i="3"/>
  <c r="AX374" i="3"/>
  <c r="AW374" i="3"/>
  <c r="DT373" i="3"/>
  <c r="DR373" i="3"/>
  <c r="DQ373" i="3"/>
  <c r="DK373" i="3"/>
  <c r="DI373" i="3"/>
  <c r="DH373" i="3"/>
  <c r="CV373" i="3"/>
  <c r="CU373" i="3"/>
  <c r="CT373" i="3"/>
  <c r="CS373" i="3"/>
  <c r="CP373" i="3"/>
  <c r="CJ373" i="3"/>
  <c r="CM373" i="3" s="1"/>
  <c r="CH373" i="3"/>
  <c r="CF373" i="3"/>
  <c r="CE373" i="3"/>
  <c r="CD373" i="3"/>
  <c r="CC373" i="3"/>
  <c r="CB373" i="3"/>
  <c r="CG373" i="3" s="1"/>
  <c r="DS373" i="3" s="1"/>
  <c r="CA373" i="3"/>
  <c r="BT373" i="3"/>
  <c r="BQ373" i="3"/>
  <c r="BP373" i="3"/>
  <c r="BO373" i="3"/>
  <c r="BN373" i="3"/>
  <c r="BM373" i="3"/>
  <c r="BL373" i="3"/>
  <c r="AY373" i="3"/>
  <c r="AX373" i="3"/>
  <c r="AW373" i="3"/>
  <c r="DT372" i="3"/>
  <c r="DR372" i="3"/>
  <c r="DQ372" i="3"/>
  <c r="DK372" i="3"/>
  <c r="DI372" i="3"/>
  <c r="DH372" i="3"/>
  <c r="CV372" i="3"/>
  <c r="CU372" i="3"/>
  <c r="CS372" i="3"/>
  <c r="CT372" i="3" s="1"/>
  <c r="CP372" i="3"/>
  <c r="CM372" i="3"/>
  <c r="CJ372" i="3"/>
  <c r="CG372" i="3"/>
  <c r="CH372" i="3" s="1"/>
  <c r="CF372" i="3"/>
  <c r="CE372" i="3"/>
  <c r="CD372" i="3"/>
  <c r="CC372" i="3"/>
  <c r="CB372" i="3"/>
  <c r="CA372" i="3"/>
  <c r="BT372" i="3"/>
  <c r="BS372" i="3"/>
  <c r="BQ372" i="3"/>
  <c r="BP372" i="3"/>
  <c r="BO372" i="3"/>
  <c r="BN372" i="3"/>
  <c r="BM372" i="3"/>
  <c r="BR372" i="3" s="1"/>
  <c r="BL372" i="3"/>
  <c r="AY372" i="3"/>
  <c r="AX372" i="3"/>
  <c r="AW372" i="3"/>
  <c r="DT371" i="3"/>
  <c r="DR371" i="3"/>
  <c r="DQ371" i="3"/>
  <c r="DK371" i="3"/>
  <c r="DI371" i="3"/>
  <c r="DH371" i="3"/>
  <c r="CV371" i="3"/>
  <c r="CU371" i="3"/>
  <c r="CS371" i="3"/>
  <c r="CT371" i="3" s="1"/>
  <c r="CP371" i="3"/>
  <c r="CJ371" i="3"/>
  <c r="CM371" i="3" s="1"/>
  <c r="CF371" i="3"/>
  <c r="CE371" i="3"/>
  <c r="CD371" i="3"/>
  <c r="CC371" i="3"/>
  <c r="CA371" i="3"/>
  <c r="CB371" i="3" s="1"/>
  <c r="CG371" i="3" s="1"/>
  <c r="BT371" i="3"/>
  <c r="BS371" i="3"/>
  <c r="BP371" i="3"/>
  <c r="BO371" i="3"/>
  <c r="BN371" i="3"/>
  <c r="BM371" i="3"/>
  <c r="BR371" i="3" s="1"/>
  <c r="BL371" i="3"/>
  <c r="AY371" i="3"/>
  <c r="AX371" i="3"/>
  <c r="AW371" i="3"/>
  <c r="DT370" i="3"/>
  <c r="DR370" i="3"/>
  <c r="DQ370" i="3"/>
  <c r="DK370" i="3"/>
  <c r="DI370" i="3"/>
  <c r="DH370" i="3"/>
  <c r="CU370" i="3"/>
  <c r="CV370" i="3" s="1"/>
  <c r="CT370" i="3"/>
  <c r="CS370" i="3"/>
  <c r="CP370" i="3"/>
  <c r="CJ370" i="3"/>
  <c r="CM370" i="3" s="1"/>
  <c r="CG370" i="3"/>
  <c r="DS370" i="3" s="1"/>
  <c r="CF370" i="3"/>
  <c r="CE370" i="3"/>
  <c r="CD370" i="3"/>
  <c r="CC370" i="3"/>
  <c r="CA370" i="3"/>
  <c r="CB370" i="3" s="1"/>
  <c r="BT370" i="3"/>
  <c r="BR370" i="3"/>
  <c r="BP370" i="3"/>
  <c r="BO370" i="3"/>
  <c r="BN370" i="3"/>
  <c r="BM370" i="3"/>
  <c r="BQ370" i="3" s="1"/>
  <c r="BL370" i="3"/>
  <c r="AY370" i="3"/>
  <c r="AX370" i="3"/>
  <c r="AW370" i="3"/>
  <c r="DT369" i="3"/>
  <c r="DR369" i="3"/>
  <c r="DQ369" i="3"/>
  <c r="DK369" i="3"/>
  <c r="DI369" i="3"/>
  <c r="DH369" i="3"/>
  <c r="CV369" i="3"/>
  <c r="CU369" i="3"/>
  <c r="CT369" i="3"/>
  <c r="CS369" i="3"/>
  <c r="CP369" i="3"/>
  <c r="CJ369" i="3"/>
  <c r="CM369" i="3" s="1"/>
  <c r="CF369" i="3"/>
  <c r="CE369" i="3"/>
  <c r="CD369" i="3"/>
  <c r="CC369" i="3"/>
  <c r="CB369" i="3"/>
  <c r="CG369" i="3" s="1"/>
  <c r="CH369" i="3" s="1"/>
  <c r="CA369" i="3"/>
  <c r="BT369" i="3"/>
  <c r="BP369" i="3"/>
  <c r="BO369" i="3"/>
  <c r="BN369" i="3"/>
  <c r="BM369" i="3"/>
  <c r="BL369" i="3"/>
  <c r="AY369" i="3"/>
  <c r="AX369" i="3"/>
  <c r="AW369" i="3"/>
  <c r="DT368" i="3"/>
  <c r="DR368" i="3"/>
  <c r="DQ368" i="3"/>
  <c r="DK368" i="3"/>
  <c r="DI368" i="3"/>
  <c r="DH368" i="3"/>
  <c r="CV368" i="3"/>
  <c r="CU368" i="3"/>
  <c r="CS368" i="3"/>
  <c r="CT368" i="3" s="1"/>
  <c r="CP368" i="3"/>
  <c r="CM368" i="3"/>
  <c r="CJ368" i="3"/>
  <c r="CF368" i="3"/>
  <c r="CE368" i="3"/>
  <c r="CD368" i="3"/>
  <c r="CC368" i="3"/>
  <c r="CB368" i="3"/>
  <c r="CG368" i="3" s="1"/>
  <c r="CA368" i="3"/>
  <c r="BT368" i="3"/>
  <c r="BS368" i="3"/>
  <c r="BQ368" i="3"/>
  <c r="BP368" i="3"/>
  <c r="BO368" i="3"/>
  <c r="BN368" i="3"/>
  <c r="BM368" i="3"/>
  <c r="BR368" i="3" s="1"/>
  <c r="BL368" i="3"/>
  <c r="AY368" i="3"/>
  <c r="AX368" i="3"/>
  <c r="AW368" i="3"/>
  <c r="DT367" i="3"/>
  <c r="DR367" i="3"/>
  <c r="DQ367" i="3"/>
  <c r="DK367" i="3"/>
  <c r="DI367" i="3"/>
  <c r="DH367" i="3"/>
  <c r="CU367" i="3"/>
  <c r="CV367" i="3" s="1"/>
  <c r="CS367" i="3"/>
  <c r="CT367" i="3" s="1"/>
  <c r="CP367" i="3"/>
  <c r="CJ367" i="3"/>
  <c r="CM367" i="3" s="1"/>
  <c r="CF367" i="3"/>
  <c r="CE367" i="3"/>
  <c r="CD367" i="3"/>
  <c r="CC367" i="3"/>
  <c r="CA367" i="3"/>
  <c r="CB367" i="3" s="1"/>
  <c r="CG367" i="3" s="1"/>
  <c r="BT367" i="3"/>
  <c r="BS367" i="3"/>
  <c r="BQ367" i="3"/>
  <c r="BP367" i="3"/>
  <c r="BO367" i="3"/>
  <c r="BN367" i="3"/>
  <c r="BM367" i="3"/>
  <c r="BR367" i="3" s="1"/>
  <c r="BL367" i="3"/>
  <c r="AY367" i="3"/>
  <c r="AX367" i="3"/>
  <c r="AW367" i="3"/>
  <c r="DT366" i="3"/>
  <c r="DR366" i="3"/>
  <c r="DQ366" i="3"/>
  <c r="DK366" i="3"/>
  <c r="DI366" i="3"/>
  <c r="DH366" i="3"/>
  <c r="CU366" i="3"/>
  <c r="CV366" i="3" s="1"/>
  <c r="CT366" i="3"/>
  <c r="CS366" i="3"/>
  <c r="CP366" i="3"/>
  <c r="CJ366" i="3"/>
  <c r="CM366" i="3" s="1"/>
  <c r="CH366" i="3"/>
  <c r="CG366" i="3"/>
  <c r="DS366" i="3" s="1"/>
  <c r="CF366" i="3"/>
  <c r="CE366" i="3"/>
  <c r="CD366" i="3"/>
  <c r="CC366" i="3"/>
  <c r="CA366" i="3"/>
  <c r="CB366" i="3" s="1"/>
  <c r="BT366" i="3"/>
  <c r="BS366" i="3"/>
  <c r="BP366" i="3"/>
  <c r="BO366" i="3"/>
  <c r="BN366" i="3"/>
  <c r="BM366" i="3"/>
  <c r="BQ366" i="3" s="1"/>
  <c r="BL366" i="3"/>
  <c r="AY366" i="3"/>
  <c r="AX366" i="3"/>
  <c r="AW366" i="3"/>
  <c r="DT365" i="3"/>
  <c r="DR365" i="3"/>
  <c r="DQ365" i="3"/>
  <c r="DK365" i="3"/>
  <c r="DI365" i="3"/>
  <c r="DH365" i="3"/>
  <c r="CV365" i="3"/>
  <c r="CU365" i="3"/>
  <c r="CT365" i="3"/>
  <c r="CS365" i="3"/>
  <c r="CP365" i="3"/>
  <c r="CJ365" i="3"/>
  <c r="CM365" i="3" s="1"/>
  <c r="CH365" i="3"/>
  <c r="CF365" i="3"/>
  <c r="CE365" i="3"/>
  <c r="CD365" i="3"/>
  <c r="CC365" i="3"/>
  <c r="CB365" i="3"/>
  <c r="CG365" i="3" s="1"/>
  <c r="DS365" i="3" s="1"/>
  <c r="CA365" i="3"/>
  <c r="BT365" i="3"/>
  <c r="BQ365" i="3"/>
  <c r="BP365" i="3"/>
  <c r="BO365" i="3"/>
  <c r="BN365" i="3"/>
  <c r="BM365" i="3"/>
  <c r="BL365" i="3"/>
  <c r="AY365" i="3"/>
  <c r="AX365" i="3"/>
  <c r="AW365" i="3"/>
  <c r="DT364" i="3"/>
  <c r="DR364" i="3"/>
  <c r="DQ364" i="3"/>
  <c r="DK364" i="3"/>
  <c r="DI364" i="3"/>
  <c r="DH364" i="3"/>
  <c r="CV364" i="3"/>
  <c r="CU364" i="3"/>
  <c r="CS364" i="3"/>
  <c r="CT364" i="3" s="1"/>
  <c r="CP364" i="3"/>
  <c r="CM364" i="3"/>
  <c r="CJ364" i="3"/>
  <c r="CG364" i="3"/>
  <c r="CH364" i="3" s="1"/>
  <c r="CF364" i="3"/>
  <c r="CE364" i="3"/>
  <c r="CD364" i="3"/>
  <c r="CC364" i="3"/>
  <c r="CB364" i="3"/>
  <c r="CA364" i="3"/>
  <c r="BT364" i="3"/>
  <c r="BS364" i="3"/>
  <c r="BQ364" i="3"/>
  <c r="BP364" i="3"/>
  <c r="BO364" i="3"/>
  <c r="BN364" i="3"/>
  <c r="BM364" i="3"/>
  <c r="BR364" i="3" s="1"/>
  <c r="BL364" i="3"/>
  <c r="AY364" i="3"/>
  <c r="AX364" i="3"/>
  <c r="AW364" i="3"/>
  <c r="DT363" i="3"/>
  <c r="DR363" i="3"/>
  <c r="DQ363" i="3"/>
  <c r="DK363" i="3"/>
  <c r="DI363" i="3"/>
  <c r="DH363" i="3"/>
  <c r="CV363" i="3"/>
  <c r="CU363" i="3"/>
  <c r="CS363" i="3"/>
  <c r="CT363" i="3" s="1"/>
  <c r="CP363" i="3"/>
  <c r="CJ363" i="3"/>
  <c r="CM363" i="3" s="1"/>
  <c r="CF363" i="3"/>
  <c r="CE363" i="3"/>
  <c r="CD363" i="3"/>
  <c r="CC363" i="3"/>
  <c r="CA363" i="3"/>
  <c r="CB363" i="3" s="1"/>
  <c r="CG363" i="3" s="1"/>
  <c r="BT363" i="3"/>
  <c r="BS363" i="3"/>
  <c r="BP363" i="3"/>
  <c r="BO363" i="3"/>
  <c r="BN363" i="3"/>
  <c r="BM363" i="3"/>
  <c r="BR363" i="3" s="1"/>
  <c r="BL363" i="3"/>
  <c r="AY363" i="3"/>
  <c r="AX363" i="3"/>
  <c r="AW363" i="3"/>
  <c r="DT362" i="3"/>
  <c r="DR362" i="3"/>
  <c r="DQ362" i="3"/>
  <c r="DK362" i="3"/>
  <c r="DI362" i="3"/>
  <c r="DH362" i="3"/>
  <c r="CU362" i="3"/>
  <c r="CV362" i="3" s="1"/>
  <c r="CT362" i="3"/>
  <c r="CS362" i="3"/>
  <c r="CP362" i="3"/>
  <c r="CJ362" i="3"/>
  <c r="CM362" i="3" s="1"/>
  <c r="CG362" i="3"/>
  <c r="DS362" i="3" s="1"/>
  <c r="CF362" i="3"/>
  <c r="CE362" i="3"/>
  <c r="CD362" i="3"/>
  <c r="CC362" i="3"/>
  <c r="CA362" i="3"/>
  <c r="CB362" i="3" s="1"/>
  <c r="BT362" i="3"/>
  <c r="BR362" i="3"/>
  <c r="BP362" i="3"/>
  <c r="BO362" i="3"/>
  <c r="BN362" i="3"/>
  <c r="BM362" i="3"/>
  <c r="BQ362" i="3" s="1"/>
  <c r="BL362" i="3"/>
  <c r="AY362" i="3"/>
  <c r="AX362" i="3"/>
  <c r="AW362" i="3"/>
  <c r="DT361" i="3"/>
  <c r="DR361" i="3"/>
  <c r="DQ361" i="3"/>
  <c r="DK361" i="3"/>
  <c r="DI361" i="3"/>
  <c r="DH361" i="3"/>
  <c r="CV361" i="3"/>
  <c r="CU361" i="3"/>
  <c r="CT361" i="3"/>
  <c r="CS361" i="3"/>
  <c r="CP361" i="3"/>
  <c r="CJ361" i="3"/>
  <c r="CM361" i="3" s="1"/>
  <c r="CF361" i="3"/>
  <c r="CE361" i="3"/>
  <c r="CD361" i="3"/>
  <c r="CC361" i="3"/>
  <c r="CB361" i="3"/>
  <c r="CG361" i="3" s="1"/>
  <c r="CH361" i="3" s="1"/>
  <c r="CA361" i="3"/>
  <c r="BT361" i="3"/>
  <c r="BP361" i="3"/>
  <c r="BO361" i="3"/>
  <c r="BN361" i="3"/>
  <c r="BM361" i="3"/>
  <c r="BL361" i="3"/>
  <c r="AY361" i="3"/>
  <c r="AX361" i="3"/>
  <c r="AW361" i="3"/>
  <c r="DT360" i="3"/>
  <c r="DR360" i="3"/>
  <c r="DQ360" i="3"/>
  <c r="DK360" i="3"/>
  <c r="DI360" i="3"/>
  <c r="DH360" i="3"/>
  <c r="CV360" i="3"/>
  <c r="CU360" i="3"/>
  <c r="CS360" i="3"/>
  <c r="CT360" i="3" s="1"/>
  <c r="CP360" i="3"/>
  <c r="CM360" i="3"/>
  <c r="CJ360" i="3"/>
  <c r="CF360" i="3"/>
  <c r="CE360" i="3"/>
  <c r="CD360" i="3"/>
  <c r="CC360" i="3"/>
  <c r="CB360" i="3"/>
  <c r="CG360" i="3" s="1"/>
  <c r="CA360" i="3"/>
  <c r="BT360" i="3"/>
  <c r="BS360" i="3"/>
  <c r="BQ360" i="3"/>
  <c r="BP360" i="3"/>
  <c r="BO360" i="3"/>
  <c r="BN360" i="3"/>
  <c r="BM360" i="3"/>
  <c r="BR360" i="3" s="1"/>
  <c r="BL360" i="3"/>
  <c r="AY360" i="3"/>
  <c r="AX360" i="3"/>
  <c r="AW360" i="3"/>
  <c r="DT359" i="3"/>
  <c r="DR359" i="3"/>
  <c r="DQ359" i="3"/>
  <c r="DK359" i="3"/>
  <c r="DI359" i="3"/>
  <c r="DH359" i="3"/>
  <c r="CU359" i="3"/>
  <c r="CV359" i="3" s="1"/>
  <c r="CS359" i="3"/>
  <c r="CT359" i="3" s="1"/>
  <c r="CP359" i="3"/>
  <c r="CJ359" i="3"/>
  <c r="CM359" i="3" s="1"/>
  <c r="CF359" i="3"/>
  <c r="CE359" i="3"/>
  <c r="CD359" i="3"/>
  <c r="CC359" i="3"/>
  <c r="CA359" i="3"/>
  <c r="CB359" i="3" s="1"/>
  <c r="CG359" i="3" s="1"/>
  <c r="BT359" i="3"/>
  <c r="BS359" i="3"/>
  <c r="BQ359" i="3"/>
  <c r="BP359" i="3"/>
  <c r="BO359" i="3"/>
  <c r="BN359" i="3"/>
  <c r="BM359" i="3"/>
  <c r="BR359" i="3" s="1"/>
  <c r="BL359" i="3"/>
  <c r="AY359" i="3"/>
  <c r="AX359" i="3"/>
  <c r="AW359" i="3"/>
  <c r="DT358" i="3"/>
  <c r="DR358" i="3"/>
  <c r="DQ358" i="3"/>
  <c r="DK358" i="3"/>
  <c r="DI358" i="3"/>
  <c r="DH358" i="3"/>
  <c r="CU358" i="3"/>
  <c r="CV358" i="3" s="1"/>
  <c r="CT358" i="3"/>
  <c r="CS358" i="3"/>
  <c r="CP358" i="3"/>
  <c r="CJ358" i="3"/>
  <c r="CM358" i="3" s="1"/>
  <c r="CH358" i="3"/>
  <c r="CG358" i="3"/>
  <c r="DS358" i="3" s="1"/>
  <c r="CF358" i="3"/>
  <c r="CE358" i="3"/>
  <c r="CD358" i="3"/>
  <c r="CC358" i="3"/>
  <c r="CA358" i="3"/>
  <c r="CB358" i="3" s="1"/>
  <c r="BT358" i="3"/>
  <c r="BS358" i="3"/>
  <c r="BP358" i="3"/>
  <c r="BO358" i="3"/>
  <c r="BN358" i="3"/>
  <c r="BM358" i="3"/>
  <c r="BQ358" i="3" s="1"/>
  <c r="BL358" i="3"/>
  <c r="AY358" i="3"/>
  <c r="AX358" i="3"/>
  <c r="AW358" i="3"/>
  <c r="DT357" i="3"/>
  <c r="DR357" i="3"/>
  <c r="DQ357" i="3"/>
  <c r="DK357" i="3"/>
  <c r="DI357" i="3"/>
  <c r="DH357" i="3"/>
  <c r="CV357" i="3"/>
  <c r="CU357" i="3"/>
  <c r="CT357" i="3"/>
  <c r="CS357" i="3"/>
  <c r="CP357" i="3"/>
  <c r="CJ357" i="3"/>
  <c r="CM357" i="3" s="1"/>
  <c r="CH357" i="3"/>
  <c r="CF357" i="3"/>
  <c r="CE357" i="3"/>
  <c r="CD357" i="3"/>
  <c r="CC357" i="3"/>
  <c r="CB357" i="3"/>
  <c r="CG357" i="3" s="1"/>
  <c r="DS357" i="3" s="1"/>
  <c r="CA357" i="3"/>
  <c r="BT357" i="3"/>
  <c r="BQ357" i="3"/>
  <c r="BP357" i="3"/>
  <c r="BO357" i="3"/>
  <c r="BN357" i="3"/>
  <c r="BM357" i="3"/>
  <c r="BL357" i="3"/>
  <c r="AY357" i="3"/>
  <c r="AX357" i="3"/>
  <c r="AW357" i="3"/>
  <c r="DT356" i="3"/>
  <c r="DR356" i="3"/>
  <c r="DQ356" i="3"/>
  <c r="DK356" i="3"/>
  <c r="DI356" i="3"/>
  <c r="DH356" i="3"/>
  <c r="CV356" i="3"/>
  <c r="CU356" i="3"/>
  <c r="CS356" i="3"/>
  <c r="CT356" i="3" s="1"/>
  <c r="CP356" i="3"/>
  <c r="CM356" i="3"/>
  <c r="CJ356" i="3"/>
  <c r="CG356" i="3"/>
  <c r="CH356" i="3" s="1"/>
  <c r="CF356" i="3"/>
  <c r="CE356" i="3"/>
  <c r="CD356" i="3"/>
  <c r="CC356" i="3"/>
  <c r="CB356" i="3"/>
  <c r="CA356" i="3"/>
  <c r="BT356" i="3"/>
  <c r="BS356" i="3"/>
  <c r="BQ356" i="3"/>
  <c r="BP356" i="3"/>
  <c r="BO356" i="3"/>
  <c r="BN356" i="3"/>
  <c r="BM356" i="3"/>
  <c r="BR356" i="3" s="1"/>
  <c r="BL356" i="3"/>
  <c r="AY356" i="3"/>
  <c r="AX356" i="3"/>
  <c r="AW356" i="3"/>
  <c r="DT355" i="3"/>
  <c r="DR355" i="3"/>
  <c r="DQ355" i="3"/>
  <c r="DK355" i="3"/>
  <c r="DI355" i="3"/>
  <c r="DH355" i="3"/>
  <c r="CV355" i="3"/>
  <c r="CU355" i="3"/>
  <c r="CS355" i="3"/>
  <c r="CT355" i="3" s="1"/>
  <c r="CP355" i="3"/>
  <c r="CJ355" i="3"/>
  <c r="CM355" i="3" s="1"/>
  <c r="CF355" i="3"/>
  <c r="CE355" i="3"/>
  <c r="CD355" i="3"/>
  <c r="CC355" i="3"/>
  <c r="CA355" i="3"/>
  <c r="CB355" i="3" s="1"/>
  <c r="CG355" i="3" s="1"/>
  <c r="BT355" i="3"/>
  <c r="BS355" i="3"/>
  <c r="BP355" i="3"/>
  <c r="BO355" i="3"/>
  <c r="BN355" i="3"/>
  <c r="BM355" i="3"/>
  <c r="BR355" i="3" s="1"/>
  <c r="BL355" i="3"/>
  <c r="AY355" i="3"/>
  <c r="AX355" i="3"/>
  <c r="AW355" i="3"/>
  <c r="DT354" i="3"/>
  <c r="DR354" i="3"/>
  <c r="DQ354" i="3"/>
  <c r="DK354" i="3"/>
  <c r="DI354" i="3"/>
  <c r="DH354" i="3"/>
  <c r="CU354" i="3"/>
  <c r="CV354" i="3" s="1"/>
  <c r="CT354" i="3"/>
  <c r="CS354" i="3"/>
  <c r="CP354" i="3"/>
  <c r="CJ354" i="3"/>
  <c r="CM354" i="3" s="1"/>
  <c r="CG354" i="3"/>
  <c r="DS354" i="3" s="1"/>
  <c r="CF354" i="3"/>
  <c r="CE354" i="3"/>
  <c r="CD354" i="3"/>
  <c r="CC354" i="3"/>
  <c r="CA354" i="3"/>
  <c r="CB354" i="3" s="1"/>
  <c r="BT354" i="3"/>
  <c r="BR354" i="3"/>
  <c r="BP354" i="3"/>
  <c r="BO354" i="3"/>
  <c r="BN354" i="3"/>
  <c r="BM354" i="3"/>
  <c r="BQ354" i="3" s="1"/>
  <c r="BL354" i="3"/>
  <c r="AY354" i="3"/>
  <c r="AX354" i="3"/>
  <c r="AW354" i="3"/>
  <c r="DT353" i="3"/>
  <c r="DR353" i="3"/>
  <c r="DQ353" i="3"/>
  <c r="DK353" i="3"/>
  <c r="DI353" i="3"/>
  <c r="DH353" i="3"/>
  <c r="CV353" i="3"/>
  <c r="CU353" i="3"/>
  <c r="CT353" i="3"/>
  <c r="CS353" i="3"/>
  <c r="CP353" i="3"/>
  <c r="CJ353" i="3"/>
  <c r="CM353" i="3" s="1"/>
  <c r="CF353" i="3"/>
  <c r="CE353" i="3"/>
  <c r="CD353" i="3"/>
  <c r="CC353" i="3"/>
  <c r="CB353" i="3"/>
  <c r="CG353" i="3" s="1"/>
  <c r="CH353" i="3" s="1"/>
  <c r="CA353" i="3"/>
  <c r="BT353" i="3"/>
  <c r="BP353" i="3"/>
  <c r="BO353" i="3"/>
  <c r="BN353" i="3"/>
  <c r="BM353" i="3"/>
  <c r="BL353" i="3"/>
  <c r="AY353" i="3"/>
  <c r="AX353" i="3"/>
  <c r="AW353" i="3"/>
  <c r="DT352" i="3"/>
  <c r="DR352" i="3"/>
  <c r="DQ352" i="3"/>
  <c r="DK352" i="3"/>
  <c r="DI352" i="3"/>
  <c r="DH352" i="3"/>
  <c r="CV352" i="3"/>
  <c r="CU352" i="3"/>
  <c r="CS352" i="3"/>
  <c r="CT352" i="3" s="1"/>
  <c r="CP352" i="3"/>
  <c r="CM352" i="3"/>
  <c r="CJ352" i="3"/>
  <c r="CF352" i="3"/>
  <c r="CE352" i="3"/>
  <c r="CD352" i="3"/>
  <c r="CC352" i="3"/>
  <c r="CB352" i="3"/>
  <c r="CG352" i="3" s="1"/>
  <c r="CA352" i="3"/>
  <c r="BT352" i="3"/>
  <c r="BP352" i="3"/>
  <c r="BO352" i="3"/>
  <c r="BN352" i="3"/>
  <c r="BM352" i="3"/>
  <c r="BL352" i="3"/>
  <c r="AY352" i="3"/>
  <c r="AX352" i="3"/>
  <c r="AW352" i="3"/>
  <c r="DT351" i="3"/>
  <c r="DR351" i="3"/>
  <c r="DQ351" i="3"/>
  <c r="DK351" i="3"/>
  <c r="DI351" i="3"/>
  <c r="DH351" i="3"/>
  <c r="CU351" i="3"/>
  <c r="CV351" i="3" s="1"/>
  <c r="CS351" i="3"/>
  <c r="CT351" i="3" s="1"/>
  <c r="CP351" i="3"/>
  <c r="CJ351" i="3"/>
  <c r="CM351" i="3" s="1"/>
  <c r="CF351" i="3"/>
  <c r="CE351" i="3"/>
  <c r="CD351" i="3"/>
  <c r="CC351" i="3"/>
  <c r="CA351" i="3"/>
  <c r="CB351" i="3" s="1"/>
  <c r="CG351" i="3" s="1"/>
  <c r="BT351" i="3"/>
  <c r="BS351" i="3"/>
  <c r="BQ351" i="3"/>
  <c r="BP351" i="3"/>
  <c r="BO351" i="3"/>
  <c r="BN351" i="3"/>
  <c r="BM351" i="3"/>
  <c r="BR351" i="3" s="1"/>
  <c r="BL351" i="3"/>
  <c r="AY351" i="3"/>
  <c r="AX351" i="3"/>
  <c r="AW351" i="3"/>
  <c r="DT350" i="3"/>
  <c r="DR350" i="3"/>
  <c r="DQ350" i="3"/>
  <c r="DK350" i="3"/>
  <c r="DI350" i="3"/>
  <c r="DH350" i="3"/>
  <c r="CV350" i="3"/>
  <c r="CU350" i="3"/>
  <c r="CT350" i="3"/>
  <c r="CS350" i="3"/>
  <c r="CP350" i="3"/>
  <c r="CJ350" i="3"/>
  <c r="CM350" i="3" s="1"/>
  <c r="CF350" i="3"/>
  <c r="CE350" i="3"/>
  <c r="CD350" i="3"/>
  <c r="CC350" i="3"/>
  <c r="CA350" i="3"/>
  <c r="CB350" i="3" s="1"/>
  <c r="CG350" i="3" s="1"/>
  <c r="BT350" i="3"/>
  <c r="BS350" i="3"/>
  <c r="BQ350" i="3"/>
  <c r="BP350" i="3"/>
  <c r="BO350" i="3"/>
  <c r="BN350" i="3"/>
  <c r="BM350" i="3"/>
  <c r="BR350" i="3" s="1"/>
  <c r="BL350" i="3"/>
  <c r="AY350" i="3"/>
  <c r="AX350" i="3"/>
  <c r="AW350" i="3"/>
  <c r="DT349" i="3"/>
  <c r="DR349" i="3"/>
  <c r="DQ349" i="3"/>
  <c r="DK349" i="3"/>
  <c r="DI349" i="3"/>
  <c r="DH349" i="3"/>
  <c r="CV349" i="3"/>
  <c r="CU349" i="3"/>
  <c r="CT349" i="3"/>
  <c r="CS349" i="3"/>
  <c r="CP349" i="3"/>
  <c r="CM349" i="3"/>
  <c r="CJ349" i="3"/>
  <c r="CF349" i="3"/>
  <c r="CE349" i="3"/>
  <c r="CD349" i="3"/>
  <c r="CC349" i="3"/>
  <c r="CB349" i="3"/>
  <c r="CG349" i="3" s="1"/>
  <c r="CA349" i="3"/>
  <c r="BT349" i="3"/>
  <c r="BQ349" i="3"/>
  <c r="BP349" i="3"/>
  <c r="BO349" i="3"/>
  <c r="BN349" i="3"/>
  <c r="BM349" i="3"/>
  <c r="BS349" i="3" s="1"/>
  <c r="BL349" i="3"/>
  <c r="AY349" i="3"/>
  <c r="AX349" i="3"/>
  <c r="AW349" i="3"/>
  <c r="DT348" i="3"/>
  <c r="DR348" i="3"/>
  <c r="DQ348" i="3"/>
  <c r="DK348" i="3"/>
  <c r="DI348" i="3"/>
  <c r="DH348" i="3"/>
  <c r="CV348" i="3"/>
  <c r="CU348" i="3"/>
  <c r="CS348" i="3"/>
  <c r="CT348" i="3" s="1"/>
  <c r="CP348" i="3"/>
  <c r="CJ348" i="3"/>
  <c r="CM348" i="3" s="1"/>
  <c r="CF348" i="3"/>
  <c r="CE348" i="3"/>
  <c r="CD348" i="3"/>
  <c r="CC348" i="3"/>
  <c r="CA348" i="3"/>
  <c r="CB348" i="3" s="1"/>
  <c r="CG348" i="3" s="1"/>
  <c r="BT348" i="3"/>
  <c r="BS348" i="3"/>
  <c r="BP348" i="3"/>
  <c r="BO348" i="3"/>
  <c r="BN348" i="3"/>
  <c r="BM348" i="3"/>
  <c r="BR348" i="3" s="1"/>
  <c r="BL348" i="3"/>
  <c r="AY348" i="3"/>
  <c r="AX348" i="3"/>
  <c r="AW348" i="3"/>
  <c r="DT347" i="3"/>
  <c r="DR347" i="3"/>
  <c r="DQ347" i="3"/>
  <c r="DK347" i="3"/>
  <c r="DI347" i="3"/>
  <c r="DH347" i="3"/>
  <c r="CU347" i="3"/>
  <c r="CV347" i="3" s="1"/>
  <c r="CT347" i="3"/>
  <c r="CS347" i="3"/>
  <c r="CP347" i="3"/>
  <c r="CJ347" i="3"/>
  <c r="CM347" i="3" s="1"/>
  <c r="CF347" i="3"/>
  <c r="CE347" i="3"/>
  <c r="CD347" i="3"/>
  <c r="CC347" i="3"/>
  <c r="CA347" i="3"/>
  <c r="CB347" i="3" s="1"/>
  <c r="CG347" i="3" s="1"/>
  <c r="BT347" i="3"/>
  <c r="BR347" i="3"/>
  <c r="BP347" i="3"/>
  <c r="BO347" i="3"/>
  <c r="BN347" i="3"/>
  <c r="BM347" i="3"/>
  <c r="BQ347" i="3" s="1"/>
  <c r="BL347" i="3"/>
  <c r="AY347" i="3"/>
  <c r="AX347" i="3"/>
  <c r="AW347" i="3"/>
  <c r="DT346" i="3"/>
  <c r="DR346" i="3"/>
  <c r="DQ346" i="3"/>
  <c r="DK346" i="3"/>
  <c r="DI346" i="3"/>
  <c r="DH346" i="3"/>
  <c r="CV346" i="3"/>
  <c r="CU346" i="3"/>
  <c r="CT346" i="3"/>
  <c r="CS346" i="3"/>
  <c r="CP346" i="3"/>
  <c r="CJ346" i="3"/>
  <c r="CM346" i="3" s="1"/>
  <c r="CF346" i="3"/>
  <c r="CE346" i="3"/>
  <c r="CD346" i="3"/>
  <c r="CC346" i="3"/>
  <c r="CA346" i="3"/>
  <c r="CB346" i="3" s="1"/>
  <c r="CG346" i="3" s="1"/>
  <c r="DS346" i="3" s="1"/>
  <c r="BT346" i="3"/>
  <c r="BS346" i="3"/>
  <c r="BQ346" i="3"/>
  <c r="BP346" i="3"/>
  <c r="BO346" i="3"/>
  <c r="BN346" i="3"/>
  <c r="BM346" i="3"/>
  <c r="BR346" i="3" s="1"/>
  <c r="BL346" i="3"/>
  <c r="AY346" i="3"/>
  <c r="AX346" i="3"/>
  <c r="AW346" i="3"/>
  <c r="DT345" i="3"/>
  <c r="DR345" i="3"/>
  <c r="DQ345" i="3"/>
  <c r="DK345" i="3"/>
  <c r="DI345" i="3"/>
  <c r="DH345" i="3"/>
  <c r="CV345" i="3"/>
  <c r="CU345" i="3"/>
  <c r="CT345" i="3"/>
  <c r="CS345" i="3"/>
  <c r="CP345" i="3"/>
  <c r="CM345" i="3"/>
  <c r="CJ345" i="3"/>
  <c r="CF345" i="3"/>
  <c r="CE345" i="3"/>
  <c r="CD345" i="3"/>
  <c r="CC345" i="3"/>
  <c r="CB345" i="3"/>
  <c r="CG345" i="3" s="1"/>
  <c r="CA345" i="3"/>
  <c r="BT345" i="3"/>
  <c r="BQ345" i="3"/>
  <c r="BP345" i="3"/>
  <c r="BO345" i="3"/>
  <c r="BN345" i="3"/>
  <c r="BM345" i="3"/>
  <c r="BS345" i="3" s="1"/>
  <c r="BL345" i="3"/>
  <c r="AY345" i="3"/>
  <c r="AX345" i="3"/>
  <c r="AW345" i="3"/>
  <c r="DT344" i="3"/>
  <c r="DR344" i="3"/>
  <c r="DQ344" i="3"/>
  <c r="DK344" i="3"/>
  <c r="DI344" i="3"/>
  <c r="DH344" i="3"/>
  <c r="CV344" i="3"/>
  <c r="CU344" i="3"/>
  <c r="CS344" i="3"/>
  <c r="CT344" i="3" s="1"/>
  <c r="CP344" i="3"/>
  <c r="CJ344" i="3"/>
  <c r="CM344" i="3" s="1"/>
  <c r="CF344" i="3"/>
  <c r="CE344" i="3"/>
  <c r="CD344" i="3"/>
  <c r="CC344" i="3"/>
  <c r="CA344" i="3"/>
  <c r="CB344" i="3" s="1"/>
  <c r="CG344" i="3" s="1"/>
  <c r="BT344" i="3"/>
  <c r="BS344" i="3"/>
  <c r="BP344" i="3"/>
  <c r="BO344" i="3"/>
  <c r="BN344" i="3"/>
  <c r="BM344" i="3"/>
  <c r="BR344" i="3" s="1"/>
  <c r="BL344" i="3"/>
  <c r="AY344" i="3"/>
  <c r="AX344" i="3"/>
  <c r="AW344" i="3"/>
  <c r="DT343" i="3"/>
  <c r="DR343" i="3"/>
  <c r="DQ343" i="3"/>
  <c r="DK343" i="3"/>
  <c r="DI343" i="3"/>
  <c r="DH343" i="3"/>
  <c r="CU343" i="3"/>
  <c r="CV343" i="3" s="1"/>
  <c r="CT343" i="3"/>
  <c r="CS343" i="3"/>
  <c r="CP343" i="3"/>
  <c r="CJ343" i="3"/>
  <c r="CM343" i="3" s="1"/>
  <c r="CF343" i="3"/>
  <c r="CE343" i="3"/>
  <c r="CD343" i="3"/>
  <c r="CC343" i="3"/>
  <c r="CA343" i="3"/>
  <c r="CB343" i="3" s="1"/>
  <c r="CG343" i="3" s="1"/>
  <c r="BT343" i="3"/>
  <c r="BR343" i="3"/>
  <c r="BP343" i="3"/>
  <c r="BO343" i="3"/>
  <c r="BN343" i="3"/>
  <c r="BM343" i="3"/>
  <c r="BQ343" i="3" s="1"/>
  <c r="BL343" i="3"/>
  <c r="AY343" i="3"/>
  <c r="AX343" i="3"/>
  <c r="AW343" i="3"/>
  <c r="DT342" i="3"/>
  <c r="DR342" i="3"/>
  <c r="DQ342" i="3"/>
  <c r="DK342" i="3"/>
  <c r="DI342" i="3"/>
  <c r="DH342" i="3"/>
  <c r="CV342" i="3"/>
  <c r="CU342" i="3"/>
  <c r="CT342" i="3"/>
  <c r="CS342" i="3"/>
  <c r="CP342" i="3"/>
  <c r="CJ342" i="3"/>
  <c r="CM342" i="3" s="1"/>
  <c r="CH342" i="3"/>
  <c r="CF342" i="3"/>
  <c r="CE342" i="3"/>
  <c r="CD342" i="3"/>
  <c r="CC342" i="3"/>
  <c r="CA342" i="3"/>
  <c r="CB342" i="3" s="1"/>
  <c r="CG342" i="3" s="1"/>
  <c r="DS342" i="3" s="1"/>
  <c r="BT342" i="3"/>
  <c r="BS342" i="3"/>
  <c r="BQ342" i="3"/>
  <c r="BP342" i="3"/>
  <c r="BO342" i="3"/>
  <c r="BN342" i="3"/>
  <c r="BM342" i="3"/>
  <c r="BR342" i="3" s="1"/>
  <c r="BL342" i="3"/>
  <c r="AY342" i="3"/>
  <c r="AX342" i="3"/>
  <c r="AW342" i="3"/>
  <c r="DT341" i="3"/>
  <c r="DR341" i="3"/>
  <c r="DQ341" i="3"/>
  <c r="DK341" i="3"/>
  <c r="DI341" i="3"/>
  <c r="DH341" i="3"/>
  <c r="CV341" i="3"/>
  <c r="CU341" i="3"/>
  <c r="CT341" i="3"/>
  <c r="CS341" i="3"/>
  <c r="CP341" i="3"/>
  <c r="CM341" i="3"/>
  <c r="CJ341" i="3"/>
  <c r="CF341" i="3"/>
  <c r="CE341" i="3"/>
  <c r="CD341" i="3"/>
  <c r="CC341" i="3"/>
  <c r="CB341" i="3"/>
  <c r="CG341" i="3" s="1"/>
  <c r="CA341" i="3"/>
  <c r="BT341" i="3"/>
  <c r="BQ341" i="3"/>
  <c r="BP341" i="3"/>
  <c r="BO341" i="3"/>
  <c r="BN341" i="3"/>
  <c r="BM341" i="3"/>
  <c r="BS341" i="3" s="1"/>
  <c r="BL341" i="3"/>
  <c r="AY341" i="3"/>
  <c r="AX341" i="3"/>
  <c r="AW341" i="3"/>
  <c r="DT340" i="3"/>
  <c r="DR340" i="3"/>
  <c r="DQ340" i="3"/>
  <c r="DK340" i="3"/>
  <c r="DI340" i="3"/>
  <c r="DH340" i="3"/>
  <c r="CV340" i="3"/>
  <c r="CU340" i="3"/>
  <c r="CS340" i="3"/>
  <c r="CT340" i="3" s="1"/>
  <c r="CP340" i="3"/>
  <c r="CJ340" i="3"/>
  <c r="CM340" i="3" s="1"/>
  <c r="CF340" i="3"/>
  <c r="CE340" i="3"/>
  <c r="CD340" i="3"/>
  <c r="CC340" i="3"/>
  <c r="CA340" i="3"/>
  <c r="CB340" i="3" s="1"/>
  <c r="CG340" i="3" s="1"/>
  <c r="BT340" i="3"/>
  <c r="BS340" i="3"/>
  <c r="BP340" i="3"/>
  <c r="BO340" i="3"/>
  <c r="BN340" i="3"/>
  <c r="BM340" i="3"/>
  <c r="BR340" i="3" s="1"/>
  <c r="BL340" i="3"/>
  <c r="AY340" i="3"/>
  <c r="AX340" i="3"/>
  <c r="AW340" i="3"/>
  <c r="DT339" i="3"/>
  <c r="DR339" i="3"/>
  <c r="DQ339" i="3"/>
  <c r="DK339" i="3"/>
  <c r="DI339" i="3"/>
  <c r="DH339" i="3"/>
  <c r="CU339" i="3"/>
  <c r="CV339" i="3" s="1"/>
  <c r="CT339" i="3"/>
  <c r="CS339" i="3"/>
  <c r="CP339" i="3"/>
  <c r="CJ339" i="3"/>
  <c r="CM339" i="3" s="1"/>
  <c r="CF339" i="3"/>
  <c r="CE339" i="3"/>
  <c r="CD339" i="3"/>
  <c r="CC339" i="3"/>
  <c r="CA339" i="3"/>
  <c r="CB339" i="3" s="1"/>
  <c r="CG339" i="3" s="1"/>
  <c r="BT339" i="3"/>
  <c r="BR339" i="3"/>
  <c r="BP339" i="3"/>
  <c r="BO339" i="3"/>
  <c r="BN339" i="3"/>
  <c r="BM339" i="3"/>
  <c r="BQ339" i="3" s="1"/>
  <c r="BL339" i="3"/>
  <c r="AY339" i="3"/>
  <c r="AX339" i="3"/>
  <c r="AW339" i="3"/>
  <c r="DT338" i="3"/>
  <c r="DR338" i="3"/>
  <c r="DQ338" i="3"/>
  <c r="DK338" i="3"/>
  <c r="DI338" i="3"/>
  <c r="DH338" i="3"/>
  <c r="CV338" i="3"/>
  <c r="CU338" i="3"/>
  <c r="CT338" i="3"/>
  <c r="CS338" i="3"/>
  <c r="CP338" i="3"/>
  <c r="CJ338" i="3"/>
  <c r="CM338" i="3" s="1"/>
  <c r="CH338" i="3"/>
  <c r="CF338" i="3"/>
  <c r="CE338" i="3"/>
  <c r="CD338" i="3"/>
  <c r="CC338" i="3"/>
  <c r="CA338" i="3"/>
  <c r="CB338" i="3" s="1"/>
  <c r="CG338" i="3" s="1"/>
  <c r="DS338" i="3" s="1"/>
  <c r="BT338" i="3"/>
  <c r="BS338" i="3"/>
  <c r="BQ338" i="3"/>
  <c r="BP338" i="3"/>
  <c r="BO338" i="3"/>
  <c r="BN338" i="3"/>
  <c r="BM338" i="3"/>
  <c r="BR338" i="3" s="1"/>
  <c r="BL338" i="3"/>
  <c r="AY338" i="3"/>
  <c r="AX338" i="3"/>
  <c r="AW338" i="3"/>
  <c r="DT337" i="3"/>
  <c r="DR337" i="3"/>
  <c r="DQ337" i="3"/>
  <c r="DK337" i="3"/>
  <c r="DI337" i="3"/>
  <c r="DH337" i="3"/>
  <c r="CV337" i="3"/>
  <c r="CU337" i="3"/>
  <c r="CT337" i="3"/>
  <c r="CS337" i="3"/>
  <c r="CP337" i="3"/>
  <c r="CM337" i="3"/>
  <c r="CJ337" i="3"/>
  <c r="CF337" i="3"/>
  <c r="CE337" i="3"/>
  <c r="CD337" i="3"/>
  <c r="CC337" i="3"/>
  <c r="CB337" i="3"/>
  <c r="CG337" i="3" s="1"/>
  <c r="CA337" i="3"/>
  <c r="BT337" i="3"/>
  <c r="BQ337" i="3"/>
  <c r="BP337" i="3"/>
  <c r="BO337" i="3"/>
  <c r="BN337" i="3"/>
  <c r="BM337" i="3"/>
  <c r="BS337" i="3" s="1"/>
  <c r="BL337" i="3"/>
  <c r="AY337" i="3"/>
  <c r="AX337" i="3"/>
  <c r="AW337" i="3"/>
  <c r="DT336" i="3"/>
  <c r="DR336" i="3"/>
  <c r="DQ336" i="3"/>
  <c r="DK336" i="3"/>
  <c r="DI336" i="3"/>
  <c r="DH336" i="3"/>
  <c r="CV336" i="3"/>
  <c r="CU336" i="3"/>
  <c r="CS336" i="3"/>
  <c r="CT336" i="3" s="1"/>
  <c r="CP336" i="3"/>
  <c r="CJ336" i="3"/>
  <c r="CM336" i="3" s="1"/>
  <c r="CF336" i="3"/>
  <c r="CE336" i="3"/>
  <c r="CD336" i="3"/>
  <c r="CC336" i="3"/>
  <c r="CA336" i="3"/>
  <c r="CB336" i="3" s="1"/>
  <c r="CG336" i="3" s="1"/>
  <c r="BT336" i="3"/>
  <c r="BS336" i="3"/>
  <c r="BP336" i="3"/>
  <c r="BO336" i="3"/>
  <c r="BN336" i="3"/>
  <c r="BM336" i="3"/>
  <c r="BR336" i="3" s="1"/>
  <c r="BL336" i="3"/>
  <c r="AY336" i="3"/>
  <c r="AX336" i="3"/>
  <c r="AW336" i="3"/>
  <c r="DT335" i="3"/>
  <c r="DR335" i="3"/>
  <c r="DQ335" i="3"/>
  <c r="DK335" i="3"/>
  <c r="DI335" i="3"/>
  <c r="DH335" i="3"/>
  <c r="CU335" i="3"/>
  <c r="CV335" i="3" s="1"/>
  <c r="CT335" i="3"/>
  <c r="CS335" i="3"/>
  <c r="CP335" i="3"/>
  <c r="CJ335" i="3"/>
  <c r="CM335" i="3" s="1"/>
  <c r="CF335" i="3"/>
  <c r="CE335" i="3"/>
  <c r="CD335" i="3"/>
  <c r="CC335" i="3"/>
  <c r="CA335" i="3"/>
  <c r="CB335" i="3" s="1"/>
  <c r="CG335" i="3" s="1"/>
  <c r="BT335" i="3"/>
  <c r="BR335" i="3"/>
  <c r="BP335" i="3"/>
  <c r="BO335" i="3"/>
  <c r="BN335" i="3"/>
  <c r="BM335" i="3"/>
  <c r="BQ335" i="3" s="1"/>
  <c r="BL335" i="3"/>
  <c r="AY335" i="3"/>
  <c r="AX335" i="3"/>
  <c r="AW335" i="3"/>
  <c r="DT334" i="3"/>
  <c r="DR334" i="3"/>
  <c r="DQ334" i="3"/>
  <c r="DK334" i="3"/>
  <c r="DI334" i="3"/>
  <c r="DH334" i="3"/>
  <c r="CV334" i="3"/>
  <c r="CU334" i="3"/>
  <c r="CT334" i="3"/>
  <c r="CS334" i="3"/>
  <c r="CP334" i="3"/>
  <c r="CJ334" i="3"/>
  <c r="CM334" i="3" s="1"/>
  <c r="CF334" i="3"/>
  <c r="CE334" i="3"/>
  <c r="CD334" i="3"/>
  <c r="CC334" i="3"/>
  <c r="CA334" i="3"/>
  <c r="CB334" i="3" s="1"/>
  <c r="CG334" i="3" s="1"/>
  <c r="BT334" i="3"/>
  <c r="BS334" i="3"/>
  <c r="BQ334" i="3"/>
  <c r="BP334" i="3"/>
  <c r="BO334" i="3"/>
  <c r="BN334" i="3"/>
  <c r="BM334" i="3"/>
  <c r="BR334" i="3" s="1"/>
  <c r="BL334" i="3"/>
  <c r="AY334" i="3"/>
  <c r="AX334" i="3"/>
  <c r="AW334" i="3"/>
  <c r="DT333" i="3"/>
  <c r="DR333" i="3"/>
  <c r="DQ333" i="3"/>
  <c r="DK333" i="3"/>
  <c r="DI333" i="3"/>
  <c r="DH333" i="3"/>
  <c r="CV333" i="3"/>
  <c r="CU333" i="3"/>
  <c r="CT333" i="3"/>
  <c r="CS333" i="3"/>
  <c r="CP333" i="3"/>
  <c r="CM333" i="3"/>
  <c r="CJ333" i="3"/>
  <c r="CF333" i="3"/>
  <c r="CE333" i="3"/>
  <c r="CD333" i="3"/>
  <c r="CC333" i="3"/>
  <c r="CB333" i="3"/>
  <c r="CG333" i="3" s="1"/>
  <c r="CA333" i="3"/>
  <c r="BT333" i="3"/>
  <c r="BQ333" i="3"/>
  <c r="BP333" i="3"/>
  <c r="BO333" i="3"/>
  <c r="BN333" i="3"/>
  <c r="BM333" i="3"/>
  <c r="BS333" i="3" s="1"/>
  <c r="BL333" i="3"/>
  <c r="AY333" i="3"/>
  <c r="AX333" i="3"/>
  <c r="AW333" i="3"/>
  <c r="DT332" i="3"/>
  <c r="DR332" i="3"/>
  <c r="DQ332" i="3"/>
  <c r="DK332" i="3"/>
  <c r="DI332" i="3"/>
  <c r="DH332" i="3"/>
  <c r="CV332" i="3"/>
  <c r="CU332" i="3"/>
  <c r="CS332" i="3"/>
  <c r="CT332" i="3" s="1"/>
  <c r="CP332" i="3"/>
  <c r="CJ332" i="3"/>
  <c r="CM332" i="3" s="1"/>
  <c r="CF332" i="3"/>
  <c r="CE332" i="3"/>
  <c r="CD332" i="3"/>
  <c r="CC332" i="3"/>
  <c r="CA332" i="3"/>
  <c r="CB332" i="3" s="1"/>
  <c r="CG332" i="3" s="1"/>
  <c r="BT332" i="3"/>
  <c r="BS332" i="3"/>
  <c r="BP332" i="3"/>
  <c r="BO332" i="3"/>
  <c r="BN332" i="3"/>
  <c r="BM332" i="3"/>
  <c r="BR332" i="3" s="1"/>
  <c r="BL332" i="3"/>
  <c r="AY332" i="3"/>
  <c r="AX332" i="3"/>
  <c r="AW332" i="3"/>
  <c r="DT331" i="3"/>
  <c r="DR331" i="3"/>
  <c r="DQ331" i="3"/>
  <c r="DK331" i="3"/>
  <c r="DI331" i="3"/>
  <c r="DH331" i="3"/>
  <c r="CU331" i="3"/>
  <c r="CV331" i="3" s="1"/>
  <c r="CT331" i="3"/>
  <c r="CS331" i="3"/>
  <c r="CP331" i="3"/>
  <c r="CJ331" i="3"/>
  <c r="CM331" i="3" s="1"/>
  <c r="CF331" i="3"/>
  <c r="CE331" i="3"/>
  <c r="CD331" i="3"/>
  <c r="CC331" i="3"/>
  <c r="CA331" i="3"/>
  <c r="CB331" i="3" s="1"/>
  <c r="CG331" i="3" s="1"/>
  <c r="BT331" i="3"/>
  <c r="BR331" i="3"/>
  <c r="BP331" i="3"/>
  <c r="BO331" i="3"/>
  <c r="BN331" i="3"/>
  <c r="BM331" i="3"/>
  <c r="BQ331" i="3" s="1"/>
  <c r="BL331" i="3"/>
  <c r="AY331" i="3"/>
  <c r="AX331" i="3"/>
  <c r="AW331" i="3"/>
  <c r="DT330" i="3"/>
  <c r="DR330" i="3"/>
  <c r="DQ330" i="3"/>
  <c r="DK330" i="3"/>
  <c r="DI330" i="3"/>
  <c r="DH330" i="3"/>
  <c r="CV330" i="3"/>
  <c r="CU330" i="3"/>
  <c r="CT330" i="3"/>
  <c r="CS330" i="3"/>
  <c r="CP330" i="3"/>
  <c r="CM330" i="3"/>
  <c r="CJ330" i="3"/>
  <c r="CH330" i="3"/>
  <c r="CG330" i="3"/>
  <c r="DS330" i="3" s="1"/>
  <c r="CF330" i="3"/>
  <c r="CE330" i="3"/>
  <c r="CD330" i="3"/>
  <c r="CC330" i="3"/>
  <c r="CB330" i="3"/>
  <c r="CA330" i="3"/>
  <c r="BT330" i="3"/>
  <c r="BS330" i="3"/>
  <c r="BR330" i="3"/>
  <c r="BQ330" i="3"/>
  <c r="BP330" i="3"/>
  <c r="BO330" i="3"/>
  <c r="BN330" i="3"/>
  <c r="BM330" i="3"/>
  <c r="BL330" i="3"/>
  <c r="AY330" i="3"/>
  <c r="AX330" i="3"/>
  <c r="AW330" i="3"/>
  <c r="DT329" i="3"/>
  <c r="DR329" i="3"/>
  <c r="DQ329" i="3"/>
  <c r="DK329" i="3"/>
  <c r="DI329" i="3"/>
  <c r="DH329" i="3"/>
  <c r="CV329" i="3"/>
  <c r="CU329" i="3"/>
  <c r="CT329" i="3"/>
  <c r="CS329" i="3"/>
  <c r="CP329" i="3"/>
  <c r="CM329" i="3"/>
  <c r="CJ329" i="3"/>
  <c r="CF329" i="3"/>
  <c r="CE329" i="3"/>
  <c r="CD329" i="3"/>
  <c r="CC329" i="3"/>
  <c r="CB329" i="3"/>
  <c r="CG329" i="3" s="1"/>
  <c r="CA329" i="3"/>
  <c r="BT329" i="3"/>
  <c r="BQ329" i="3"/>
  <c r="BP329" i="3"/>
  <c r="BO329" i="3"/>
  <c r="BN329" i="3"/>
  <c r="BM329" i="3"/>
  <c r="BS329" i="3" s="1"/>
  <c r="BL329" i="3"/>
  <c r="AY329" i="3"/>
  <c r="AX329" i="3"/>
  <c r="AW329" i="3"/>
  <c r="DT328" i="3"/>
  <c r="DR328" i="3"/>
  <c r="DQ328" i="3"/>
  <c r="DK328" i="3"/>
  <c r="DI328" i="3"/>
  <c r="DH328" i="3"/>
  <c r="CV328" i="3"/>
  <c r="CU328" i="3"/>
  <c r="CS328" i="3"/>
  <c r="CT328" i="3" s="1"/>
  <c r="CP328" i="3"/>
  <c r="CJ328" i="3"/>
  <c r="CM328" i="3" s="1"/>
  <c r="CF328" i="3"/>
  <c r="CE328" i="3"/>
  <c r="CD328" i="3"/>
  <c r="CC328" i="3"/>
  <c r="CA328" i="3"/>
  <c r="CB328" i="3" s="1"/>
  <c r="CG328" i="3" s="1"/>
  <c r="BT328" i="3"/>
  <c r="BS328" i="3"/>
  <c r="BP328" i="3"/>
  <c r="BO328" i="3"/>
  <c r="BN328" i="3"/>
  <c r="BM328" i="3"/>
  <c r="BR328" i="3" s="1"/>
  <c r="BL328" i="3"/>
  <c r="AY328" i="3"/>
  <c r="AX328" i="3"/>
  <c r="AW328" i="3"/>
  <c r="DT327" i="3"/>
  <c r="DR327" i="3"/>
  <c r="DQ327" i="3"/>
  <c r="DK327" i="3"/>
  <c r="DI327" i="3"/>
  <c r="DH327" i="3"/>
  <c r="CU327" i="3"/>
  <c r="CV327" i="3" s="1"/>
  <c r="CT327" i="3"/>
  <c r="CS327" i="3"/>
  <c r="CP327" i="3"/>
  <c r="CJ327" i="3"/>
  <c r="CM327" i="3" s="1"/>
  <c r="CF327" i="3"/>
  <c r="CE327" i="3"/>
  <c r="CD327" i="3"/>
  <c r="CC327" i="3"/>
  <c r="CA327" i="3"/>
  <c r="CB327" i="3" s="1"/>
  <c r="CG327" i="3" s="1"/>
  <c r="BT327" i="3"/>
  <c r="BR327" i="3"/>
  <c r="BP327" i="3"/>
  <c r="BO327" i="3"/>
  <c r="BN327" i="3"/>
  <c r="BM327" i="3"/>
  <c r="BL327" i="3"/>
  <c r="AY327" i="3"/>
  <c r="AX327" i="3"/>
  <c r="AW327" i="3"/>
  <c r="DT326" i="3"/>
  <c r="DR326" i="3"/>
  <c r="DQ326" i="3"/>
  <c r="DK326" i="3"/>
  <c r="DI326" i="3"/>
  <c r="DH326" i="3"/>
  <c r="CV326" i="3"/>
  <c r="CU326" i="3"/>
  <c r="CT326" i="3"/>
  <c r="CS326" i="3"/>
  <c r="CP326" i="3"/>
  <c r="CM326" i="3"/>
  <c r="CJ326" i="3"/>
  <c r="CH326" i="3"/>
  <c r="CG326" i="3"/>
  <c r="DS326" i="3" s="1"/>
  <c r="CF326" i="3"/>
  <c r="CE326" i="3"/>
  <c r="CD326" i="3"/>
  <c r="CC326" i="3"/>
  <c r="CB326" i="3"/>
  <c r="CA326" i="3"/>
  <c r="BT326" i="3"/>
  <c r="BS326" i="3"/>
  <c r="BR326" i="3"/>
  <c r="BQ326" i="3"/>
  <c r="BP326" i="3"/>
  <c r="BO326" i="3"/>
  <c r="BN326" i="3"/>
  <c r="BM326" i="3"/>
  <c r="BL326" i="3"/>
  <c r="AY326" i="3"/>
  <c r="AX326" i="3"/>
  <c r="AW326" i="3"/>
  <c r="DT325" i="3"/>
  <c r="DR325" i="3"/>
  <c r="DQ325" i="3"/>
  <c r="DK325" i="3"/>
  <c r="DI325" i="3"/>
  <c r="DH325" i="3"/>
  <c r="CV325" i="3"/>
  <c r="CU325" i="3"/>
  <c r="CT325" i="3"/>
  <c r="CS325" i="3"/>
  <c r="CP325" i="3"/>
  <c r="CJ325" i="3"/>
  <c r="CM325" i="3" s="1"/>
  <c r="CF325" i="3"/>
  <c r="CE325" i="3"/>
  <c r="CD325" i="3"/>
  <c r="CC325" i="3"/>
  <c r="CA325" i="3"/>
  <c r="CB325" i="3" s="1"/>
  <c r="CG325" i="3" s="1"/>
  <c r="BT325" i="3"/>
  <c r="BP325" i="3"/>
  <c r="BO325" i="3"/>
  <c r="BN325" i="3"/>
  <c r="BM325" i="3"/>
  <c r="BQ325" i="3" s="1"/>
  <c r="BL325" i="3"/>
  <c r="AY325" i="3"/>
  <c r="AX325" i="3"/>
  <c r="AW325" i="3"/>
  <c r="DT324" i="3"/>
  <c r="DR324" i="3"/>
  <c r="DQ324" i="3"/>
  <c r="DK324" i="3"/>
  <c r="DI324" i="3"/>
  <c r="DH324" i="3"/>
  <c r="CV324" i="3"/>
  <c r="CU324" i="3"/>
  <c r="CS324" i="3"/>
  <c r="CT324" i="3" s="1"/>
  <c r="CP324" i="3"/>
  <c r="CJ324" i="3"/>
  <c r="CM324" i="3" s="1"/>
  <c r="CF324" i="3"/>
  <c r="CE324" i="3"/>
  <c r="CD324" i="3"/>
  <c r="CC324" i="3"/>
  <c r="CA324" i="3"/>
  <c r="CB324" i="3" s="1"/>
  <c r="CG324" i="3" s="1"/>
  <c r="BT324" i="3"/>
  <c r="BS324" i="3"/>
  <c r="BP324" i="3"/>
  <c r="BO324" i="3"/>
  <c r="BN324" i="3"/>
  <c r="BM324" i="3"/>
  <c r="BR324" i="3" s="1"/>
  <c r="BL324" i="3"/>
  <c r="AY324" i="3"/>
  <c r="AX324" i="3"/>
  <c r="AW324" i="3"/>
  <c r="DT323" i="3"/>
  <c r="DR323" i="3"/>
  <c r="DQ323" i="3"/>
  <c r="DK323" i="3"/>
  <c r="DI323" i="3"/>
  <c r="DH323" i="3"/>
  <c r="CU323" i="3"/>
  <c r="CV323" i="3" s="1"/>
  <c r="CT323" i="3"/>
  <c r="CS323" i="3"/>
  <c r="CP323" i="3"/>
  <c r="CJ323" i="3"/>
  <c r="CM323" i="3" s="1"/>
  <c r="CF323" i="3"/>
  <c r="CE323" i="3"/>
  <c r="CD323" i="3"/>
  <c r="CC323" i="3"/>
  <c r="CA323" i="3"/>
  <c r="CB323" i="3" s="1"/>
  <c r="CG323" i="3" s="1"/>
  <c r="CH323" i="3" s="1"/>
  <c r="BT323" i="3"/>
  <c r="BP323" i="3"/>
  <c r="BO323" i="3"/>
  <c r="BN323" i="3"/>
  <c r="BM323" i="3"/>
  <c r="BL323" i="3"/>
  <c r="AY323" i="3"/>
  <c r="AX323" i="3"/>
  <c r="AW323" i="3"/>
  <c r="DT322" i="3"/>
  <c r="DR322" i="3"/>
  <c r="DQ322" i="3"/>
  <c r="DK322" i="3"/>
  <c r="DI322" i="3"/>
  <c r="DH322" i="3"/>
  <c r="CV322" i="3"/>
  <c r="CU322" i="3"/>
  <c r="CT322" i="3"/>
  <c r="CS322" i="3"/>
  <c r="CP322" i="3"/>
  <c r="CM322" i="3"/>
  <c r="CJ322" i="3"/>
  <c r="CG322" i="3"/>
  <c r="DS322" i="3" s="1"/>
  <c r="CF322" i="3"/>
  <c r="CE322" i="3"/>
  <c r="CD322" i="3"/>
  <c r="CC322" i="3"/>
  <c r="CB322" i="3"/>
  <c r="CA322" i="3"/>
  <c r="BT322" i="3"/>
  <c r="BS322" i="3"/>
  <c r="BR322" i="3"/>
  <c r="BQ322" i="3"/>
  <c r="BP322" i="3"/>
  <c r="BO322" i="3"/>
  <c r="BN322" i="3"/>
  <c r="BM322" i="3"/>
  <c r="BL322" i="3"/>
  <c r="AY322" i="3"/>
  <c r="AX322" i="3"/>
  <c r="AW322" i="3"/>
  <c r="DT321" i="3"/>
  <c r="DR321" i="3"/>
  <c r="DQ321" i="3"/>
  <c r="DK321" i="3"/>
  <c r="DI321" i="3"/>
  <c r="DH321" i="3"/>
  <c r="CV321" i="3"/>
  <c r="CU321" i="3"/>
  <c r="CT321" i="3"/>
  <c r="CS321" i="3"/>
  <c r="CP321" i="3"/>
  <c r="CJ321" i="3"/>
  <c r="CM321" i="3" s="1"/>
  <c r="CF321" i="3"/>
  <c r="CE321" i="3"/>
  <c r="CD321" i="3"/>
  <c r="CC321" i="3"/>
  <c r="CB321" i="3"/>
  <c r="CG321" i="3" s="1"/>
  <c r="CA321" i="3"/>
  <c r="BT321" i="3"/>
  <c r="BP321" i="3"/>
  <c r="BO321" i="3"/>
  <c r="BN321" i="3"/>
  <c r="BM321" i="3"/>
  <c r="BR321" i="3" s="1"/>
  <c r="BL321" i="3"/>
  <c r="AY321" i="3"/>
  <c r="AX321" i="3"/>
  <c r="AW321" i="3"/>
  <c r="DT320" i="3"/>
  <c r="DR320" i="3"/>
  <c r="DQ320" i="3"/>
  <c r="DK320" i="3"/>
  <c r="DI320" i="3"/>
  <c r="DH320" i="3"/>
  <c r="CV320" i="3"/>
  <c r="CU320" i="3"/>
  <c r="CS320" i="3"/>
  <c r="CT320" i="3" s="1"/>
  <c r="CP320" i="3"/>
  <c r="CJ320" i="3"/>
  <c r="CM320" i="3" s="1"/>
  <c r="CF320" i="3"/>
  <c r="CE320" i="3"/>
  <c r="CD320" i="3"/>
  <c r="CC320" i="3"/>
  <c r="CA320" i="3"/>
  <c r="CB320" i="3" s="1"/>
  <c r="CG320" i="3" s="1"/>
  <c r="BT320" i="3"/>
  <c r="BS320" i="3"/>
  <c r="BP320" i="3"/>
  <c r="BO320" i="3"/>
  <c r="BN320" i="3"/>
  <c r="BM320" i="3"/>
  <c r="BL320" i="3"/>
  <c r="AY320" i="3"/>
  <c r="AX320" i="3"/>
  <c r="AW320" i="3"/>
  <c r="DT319" i="3"/>
  <c r="DR319" i="3"/>
  <c r="DQ319" i="3"/>
  <c r="DK319" i="3"/>
  <c r="DI319" i="3"/>
  <c r="DH319" i="3"/>
  <c r="CU319" i="3"/>
  <c r="CV319" i="3" s="1"/>
  <c r="CT319" i="3"/>
  <c r="CS319" i="3"/>
  <c r="CP319" i="3"/>
  <c r="CJ319" i="3"/>
  <c r="CM319" i="3" s="1"/>
  <c r="CF319" i="3"/>
  <c r="CE319" i="3"/>
  <c r="CD319" i="3"/>
  <c r="CC319" i="3"/>
  <c r="CA319" i="3"/>
  <c r="CB319" i="3" s="1"/>
  <c r="CG319" i="3" s="1"/>
  <c r="CH319" i="3" s="1"/>
  <c r="BT319" i="3"/>
  <c r="BP319" i="3"/>
  <c r="BO319" i="3"/>
  <c r="BN319" i="3"/>
  <c r="BM319" i="3"/>
  <c r="BL319" i="3"/>
  <c r="AY319" i="3"/>
  <c r="AX319" i="3"/>
  <c r="AW319" i="3"/>
  <c r="DT318" i="3"/>
  <c r="DS318" i="3"/>
  <c r="DR318" i="3"/>
  <c r="DQ318" i="3"/>
  <c r="DK318" i="3"/>
  <c r="DI318" i="3"/>
  <c r="DH318" i="3"/>
  <c r="CV318" i="3"/>
  <c r="CU318" i="3"/>
  <c r="CT318" i="3"/>
  <c r="CS318" i="3"/>
  <c r="CP318" i="3"/>
  <c r="CM318" i="3"/>
  <c r="CJ318" i="3"/>
  <c r="CG318" i="3"/>
  <c r="CH318" i="3" s="1"/>
  <c r="CF318" i="3"/>
  <c r="CE318" i="3"/>
  <c r="CD318" i="3"/>
  <c r="CC318" i="3"/>
  <c r="CB318" i="3"/>
  <c r="CA318" i="3"/>
  <c r="BT318" i="3"/>
  <c r="BS318" i="3"/>
  <c r="BR318" i="3"/>
  <c r="BQ318" i="3"/>
  <c r="BP318" i="3"/>
  <c r="BO318" i="3"/>
  <c r="BN318" i="3"/>
  <c r="BM318" i="3"/>
  <c r="BL318" i="3"/>
  <c r="AY318" i="3"/>
  <c r="AX318" i="3"/>
  <c r="AW318" i="3"/>
  <c r="DT317" i="3"/>
  <c r="DR317" i="3"/>
  <c r="DQ317" i="3"/>
  <c r="DK317" i="3"/>
  <c r="DI317" i="3"/>
  <c r="DH317" i="3"/>
  <c r="CV317" i="3"/>
  <c r="CU317" i="3"/>
  <c r="CT317" i="3"/>
  <c r="CS317" i="3"/>
  <c r="CP317" i="3"/>
  <c r="CJ317" i="3"/>
  <c r="CM317" i="3" s="1"/>
  <c r="CF317" i="3"/>
  <c r="CE317" i="3"/>
  <c r="CD317" i="3"/>
  <c r="CC317" i="3"/>
  <c r="CA317" i="3"/>
  <c r="CB317" i="3" s="1"/>
  <c r="CG317" i="3" s="1"/>
  <c r="CH317" i="3" s="1"/>
  <c r="BT317" i="3"/>
  <c r="BS317" i="3"/>
  <c r="BQ317" i="3"/>
  <c r="BP317" i="3"/>
  <c r="BO317" i="3"/>
  <c r="BN317" i="3"/>
  <c r="BM317" i="3"/>
  <c r="BR317" i="3" s="1"/>
  <c r="BL317" i="3"/>
  <c r="AY317" i="3"/>
  <c r="AX317" i="3"/>
  <c r="AW317" i="3"/>
  <c r="DT316" i="3"/>
  <c r="DR316" i="3"/>
  <c r="DQ316" i="3"/>
  <c r="DK316" i="3"/>
  <c r="DI316" i="3"/>
  <c r="DH316" i="3"/>
  <c r="CV316" i="3"/>
  <c r="CU316" i="3"/>
  <c r="CS316" i="3"/>
  <c r="CT316" i="3" s="1"/>
  <c r="CP316" i="3"/>
  <c r="CJ316" i="3"/>
  <c r="CM316" i="3" s="1"/>
  <c r="CF316" i="3"/>
  <c r="CE316" i="3"/>
  <c r="CD316" i="3"/>
  <c r="CC316" i="3"/>
  <c r="CA316" i="3"/>
  <c r="CB316" i="3" s="1"/>
  <c r="CG316" i="3" s="1"/>
  <c r="BT316" i="3"/>
  <c r="BS316" i="3"/>
  <c r="BP316" i="3"/>
  <c r="BO316" i="3"/>
  <c r="BN316" i="3"/>
  <c r="BM316" i="3"/>
  <c r="BL316" i="3"/>
  <c r="AY316" i="3"/>
  <c r="AX316" i="3"/>
  <c r="AW316" i="3"/>
  <c r="DT315" i="3"/>
  <c r="DS315" i="3"/>
  <c r="DR315" i="3"/>
  <c r="DQ315" i="3"/>
  <c r="DK315" i="3"/>
  <c r="DI315" i="3"/>
  <c r="DH315" i="3"/>
  <c r="CU315" i="3"/>
  <c r="CV315" i="3" s="1"/>
  <c r="CT315" i="3"/>
  <c r="CS315" i="3"/>
  <c r="CP315" i="3"/>
  <c r="CJ315" i="3"/>
  <c r="CM315" i="3" s="1"/>
  <c r="CF315" i="3"/>
  <c r="CE315" i="3"/>
  <c r="CD315" i="3"/>
  <c r="CC315" i="3"/>
  <c r="CA315" i="3"/>
  <c r="CB315" i="3" s="1"/>
  <c r="CG315" i="3" s="1"/>
  <c r="CH315" i="3" s="1"/>
  <c r="BT315" i="3"/>
  <c r="BP315" i="3"/>
  <c r="BO315" i="3"/>
  <c r="BN315" i="3"/>
  <c r="BM315" i="3"/>
  <c r="BS315" i="3" s="1"/>
  <c r="BL315" i="3"/>
  <c r="AY315" i="3"/>
  <c r="AX315" i="3"/>
  <c r="AW315" i="3"/>
  <c r="DT314" i="3"/>
  <c r="DS314" i="3"/>
  <c r="DR314" i="3"/>
  <c r="DQ314" i="3"/>
  <c r="DK314" i="3"/>
  <c r="DI314" i="3"/>
  <c r="DH314" i="3"/>
  <c r="CV314" i="3"/>
  <c r="CU314" i="3"/>
  <c r="CT314" i="3"/>
  <c r="CS314" i="3"/>
  <c r="CP314" i="3"/>
  <c r="CM314" i="3"/>
  <c r="CJ314" i="3"/>
  <c r="CH314" i="3"/>
  <c r="CG314" i="3"/>
  <c r="CF314" i="3"/>
  <c r="CE314" i="3"/>
  <c r="CD314" i="3"/>
  <c r="CC314" i="3"/>
  <c r="CB314" i="3"/>
  <c r="CA314" i="3"/>
  <c r="BT314" i="3"/>
  <c r="BS314" i="3"/>
  <c r="BR314" i="3"/>
  <c r="BQ314" i="3"/>
  <c r="BP314" i="3"/>
  <c r="BO314" i="3"/>
  <c r="BN314" i="3"/>
  <c r="BM314" i="3"/>
  <c r="BL314" i="3"/>
  <c r="AY314" i="3"/>
  <c r="AX314" i="3"/>
  <c r="AW314" i="3"/>
  <c r="DT313" i="3"/>
  <c r="DR313" i="3"/>
  <c r="DQ313" i="3"/>
  <c r="DK313" i="3"/>
  <c r="DI313" i="3"/>
  <c r="DH313" i="3"/>
  <c r="CV313" i="3"/>
  <c r="CU313" i="3"/>
  <c r="CT313" i="3"/>
  <c r="CS313" i="3"/>
  <c r="CP313" i="3"/>
  <c r="CM313" i="3"/>
  <c r="CJ313" i="3"/>
  <c r="CF313" i="3"/>
  <c r="CE313" i="3"/>
  <c r="CD313" i="3"/>
  <c r="CC313" i="3"/>
  <c r="CA313" i="3"/>
  <c r="CB313" i="3" s="1"/>
  <c r="CG313" i="3" s="1"/>
  <c r="BT313" i="3"/>
  <c r="BS313" i="3"/>
  <c r="BQ313" i="3"/>
  <c r="BP313" i="3"/>
  <c r="BO313" i="3"/>
  <c r="BN313" i="3"/>
  <c r="BM313" i="3"/>
  <c r="BR313" i="3" s="1"/>
  <c r="BL313" i="3"/>
  <c r="AY313" i="3"/>
  <c r="AX313" i="3"/>
  <c r="AW313" i="3"/>
  <c r="DT312" i="3"/>
  <c r="DR312" i="3"/>
  <c r="DQ312" i="3"/>
  <c r="DK312" i="3"/>
  <c r="DI312" i="3"/>
  <c r="DH312" i="3"/>
  <c r="CV312" i="3"/>
  <c r="CU312" i="3"/>
  <c r="CS312" i="3"/>
  <c r="CT312" i="3" s="1"/>
  <c r="CP312" i="3"/>
  <c r="CJ312" i="3"/>
  <c r="CM312" i="3" s="1"/>
  <c r="CF312" i="3"/>
  <c r="CE312" i="3"/>
  <c r="CD312" i="3"/>
  <c r="CC312" i="3"/>
  <c r="CB312" i="3"/>
  <c r="CG312" i="3" s="1"/>
  <c r="CA312" i="3"/>
  <c r="BT312" i="3"/>
  <c r="BP312" i="3"/>
  <c r="BO312" i="3"/>
  <c r="BN312" i="3"/>
  <c r="BM312" i="3"/>
  <c r="BL312" i="3"/>
  <c r="AY312" i="3"/>
  <c r="AX312" i="3"/>
  <c r="AW312" i="3"/>
  <c r="DT311" i="3"/>
  <c r="DR311" i="3"/>
  <c r="DQ311" i="3"/>
  <c r="DK311" i="3"/>
  <c r="DI311" i="3"/>
  <c r="DH311" i="3"/>
  <c r="CU311" i="3"/>
  <c r="CV311" i="3" s="1"/>
  <c r="CS311" i="3"/>
  <c r="CT311" i="3" s="1"/>
  <c r="CP311" i="3"/>
  <c r="CJ311" i="3"/>
  <c r="CM311" i="3" s="1"/>
  <c r="CH311" i="3"/>
  <c r="CF311" i="3"/>
  <c r="CE311" i="3"/>
  <c r="CD311" i="3"/>
  <c r="CC311" i="3"/>
  <c r="CA311" i="3"/>
  <c r="CB311" i="3" s="1"/>
  <c r="CG311" i="3" s="1"/>
  <c r="DS311" i="3" s="1"/>
  <c r="BT311" i="3"/>
  <c r="BR311" i="3"/>
  <c r="BQ311" i="3"/>
  <c r="BP311" i="3"/>
  <c r="BO311" i="3"/>
  <c r="BN311" i="3"/>
  <c r="BM311" i="3"/>
  <c r="BS311" i="3" s="1"/>
  <c r="BL311" i="3"/>
  <c r="AY311" i="3"/>
  <c r="AX311" i="3"/>
  <c r="AW311" i="3"/>
  <c r="DT310" i="3"/>
  <c r="DR310" i="3"/>
  <c r="DQ310" i="3"/>
  <c r="DK310" i="3"/>
  <c r="DI310" i="3"/>
  <c r="DH310" i="3"/>
  <c r="CV310" i="3"/>
  <c r="CU310" i="3"/>
  <c r="CS310" i="3"/>
  <c r="CT310" i="3" s="1"/>
  <c r="CP310" i="3"/>
  <c r="CM310" i="3"/>
  <c r="CJ310" i="3"/>
  <c r="CH310" i="3"/>
  <c r="CG310" i="3"/>
  <c r="DS310" i="3" s="1"/>
  <c r="CF310" i="3"/>
  <c r="CE310" i="3"/>
  <c r="CD310" i="3"/>
  <c r="CC310" i="3"/>
  <c r="CB310" i="3"/>
  <c r="CA310" i="3"/>
  <c r="BT310" i="3"/>
  <c r="BS310" i="3"/>
  <c r="BR310" i="3"/>
  <c r="BQ310" i="3"/>
  <c r="BP310" i="3"/>
  <c r="BO310" i="3"/>
  <c r="BN310" i="3"/>
  <c r="BM310" i="3"/>
  <c r="BL310" i="3"/>
  <c r="AY310" i="3"/>
  <c r="AX310" i="3"/>
  <c r="AW310" i="3"/>
  <c r="DT309" i="3"/>
  <c r="DR309" i="3"/>
  <c r="DQ309" i="3"/>
  <c r="DK309" i="3"/>
  <c r="DI309" i="3"/>
  <c r="DH309" i="3"/>
  <c r="CU309" i="3"/>
  <c r="CV309" i="3" s="1"/>
  <c r="CS309" i="3"/>
  <c r="CT309" i="3" s="1"/>
  <c r="CP309" i="3"/>
  <c r="CM309" i="3"/>
  <c r="CJ309" i="3"/>
  <c r="CF309" i="3"/>
  <c r="CE309" i="3"/>
  <c r="CD309" i="3"/>
  <c r="CC309" i="3"/>
  <c r="CB309" i="3"/>
  <c r="CG309" i="3" s="1"/>
  <c r="CA309" i="3"/>
  <c r="BT309" i="3"/>
  <c r="BP309" i="3"/>
  <c r="BO309" i="3"/>
  <c r="BN309" i="3"/>
  <c r="BM309" i="3"/>
  <c r="BS309" i="3" s="1"/>
  <c r="BL309" i="3"/>
  <c r="AY309" i="3"/>
  <c r="AX309" i="3"/>
  <c r="AW309" i="3"/>
  <c r="DT308" i="3"/>
  <c r="DR308" i="3"/>
  <c r="DQ308" i="3"/>
  <c r="DK308" i="3"/>
  <c r="DI308" i="3"/>
  <c r="DH308" i="3"/>
  <c r="CU308" i="3"/>
  <c r="CV308" i="3" s="1"/>
  <c r="CS308" i="3"/>
  <c r="CT308" i="3" s="1"/>
  <c r="CP308" i="3"/>
  <c r="CJ308" i="3"/>
  <c r="CM308" i="3" s="1"/>
  <c r="CF308" i="3"/>
  <c r="CE308" i="3"/>
  <c r="CD308" i="3"/>
  <c r="CC308" i="3"/>
  <c r="CA308" i="3"/>
  <c r="CB308" i="3" s="1"/>
  <c r="CG308" i="3" s="1"/>
  <c r="BT308" i="3"/>
  <c r="BS308" i="3"/>
  <c r="BR308" i="3"/>
  <c r="BQ308" i="3"/>
  <c r="BP308" i="3"/>
  <c r="BO308" i="3"/>
  <c r="BN308" i="3"/>
  <c r="BM308" i="3"/>
  <c r="BL308" i="3"/>
  <c r="AY308" i="3"/>
  <c r="AX308" i="3"/>
  <c r="AW308" i="3"/>
  <c r="DT307" i="3"/>
  <c r="DR307" i="3"/>
  <c r="DQ307" i="3"/>
  <c r="DK307" i="3"/>
  <c r="DI307" i="3"/>
  <c r="DH307" i="3"/>
  <c r="CU307" i="3"/>
  <c r="CV307" i="3" s="1"/>
  <c r="CT307" i="3"/>
  <c r="CS307" i="3"/>
  <c r="CP307" i="3"/>
  <c r="CM307" i="3"/>
  <c r="CJ307" i="3"/>
  <c r="CG307" i="3"/>
  <c r="DS307" i="3" s="1"/>
  <c r="CF307" i="3"/>
  <c r="CE307" i="3"/>
  <c r="CD307" i="3"/>
  <c r="CC307" i="3"/>
  <c r="CB307" i="3"/>
  <c r="CA307" i="3"/>
  <c r="BT307" i="3"/>
  <c r="BS307" i="3"/>
  <c r="BR307" i="3"/>
  <c r="BQ307" i="3"/>
  <c r="BP307" i="3"/>
  <c r="BO307" i="3"/>
  <c r="BN307" i="3"/>
  <c r="BM307" i="3"/>
  <c r="BL307" i="3"/>
  <c r="AY307" i="3"/>
  <c r="AX307" i="3"/>
  <c r="AW307" i="3"/>
  <c r="DT306" i="3"/>
  <c r="DR306" i="3"/>
  <c r="DQ306" i="3"/>
  <c r="DK306" i="3"/>
  <c r="DI306" i="3"/>
  <c r="DH306" i="3"/>
  <c r="CV306" i="3"/>
  <c r="CU306" i="3"/>
  <c r="CS306" i="3"/>
  <c r="CT306" i="3" s="1"/>
  <c r="CP306" i="3"/>
  <c r="CJ306" i="3"/>
  <c r="CM306" i="3" s="1"/>
  <c r="CH306" i="3"/>
  <c r="CF306" i="3"/>
  <c r="CE306" i="3"/>
  <c r="CD306" i="3"/>
  <c r="CC306" i="3"/>
  <c r="CA306" i="3"/>
  <c r="CB306" i="3" s="1"/>
  <c r="CG306" i="3" s="1"/>
  <c r="DS306" i="3" s="1"/>
  <c r="BT306" i="3"/>
  <c r="BP306" i="3"/>
  <c r="BO306" i="3"/>
  <c r="BN306" i="3"/>
  <c r="BM306" i="3"/>
  <c r="BS306" i="3" s="1"/>
  <c r="BL306" i="3"/>
  <c r="AY306" i="3"/>
  <c r="AX306" i="3"/>
  <c r="AW306" i="3"/>
  <c r="DT305" i="3"/>
  <c r="DR305" i="3"/>
  <c r="DQ305" i="3"/>
  <c r="DK305" i="3"/>
  <c r="DI305" i="3"/>
  <c r="DH305" i="3"/>
  <c r="CU305" i="3"/>
  <c r="CV305" i="3" s="1"/>
  <c r="CS305" i="3"/>
  <c r="CT305" i="3" s="1"/>
  <c r="CP305" i="3"/>
  <c r="CM305" i="3"/>
  <c r="CJ305" i="3"/>
  <c r="CF305" i="3"/>
  <c r="CE305" i="3"/>
  <c r="CD305" i="3"/>
  <c r="CC305" i="3"/>
  <c r="CB305" i="3"/>
  <c r="CG305" i="3" s="1"/>
  <c r="CA305" i="3"/>
  <c r="BT305" i="3"/>
  <c r="BP305" i="3"/>
  <c r="BO305" i="3"/>
  <c r="BN305" i="3"/>
  <c r="BM305" i="3"/>
  <c r="BS305" i="3" s="1"/>
  <c r="BL305" i="3"/>
  <c r="AY305" i="3"/>
  <c r="AX305" i="3"/>
  <c r="AW305" i="3"/>
  <c r="DT304" i="3"/>
  <c r="DR304" i="3"/>
  <c r="DQ304" i="3"/>
  <c r="DK304" i="3"/>
  <c r="DI304" i="3"/>
  <c r="DH304" i="3"/>
  <c r="CU304" i="3"/>
  <c r="CV304" i="3" s="1"/>
  <c r="CS304" i="3"/>
  <c r="CT304" i="3" s="1"/>
  <c r="CP304" i="3"/>
  <c r="CJ304" i="3"/>
  <c r="CM304" i="3" s="1"/>
  <c r="CF304" i="3"/>
  <c r="CE304" i="3"/>
  <c r="CD304" i="3"/>
  <c r="CC304" i="3"/>
  <c r="CA304" i="3"/>
  <c r="CB304" i="3" s="1"/>
  <c r="CG304" i="3" s="1"/>
  <c r="BT304" i="3"/>
  <c r="BS304" i="3"/>
  <c r="BR304" i="3"/>
  <c r="BQ304" i="3"/>
  <c r="BP304" i="3"/>
  <c r="BO304" i="3"/>
  <c r="BN304" i="3"/>
  <c r="BM304" i="3"/>
  <c r="BL304" i="3"/>
  <c r="AY304" i="3"/>
  <c r="AX304" i="3"/>
  <c r="AW304" i="3"/>
  <c r="DT303" i="3"/>
  <c r="DR303" i="3"/>
  <c r="DQ303" i="3"/>
  <c r="DK303" i="3"/>
  <c r="DI303" i="3"/>
  <c r="DH303" i="3"/>
  <c r="CU303" i="3"/>
  <c r="CV303" i="3" s="1"/>
  <c r="CT303" i="3"/>
  <c r="CS303" i="3"/>
  <c r="CP303" i="3"/>
  <c r="CM303" i="3"/>
  <c r="CJ303" i="3"/>
  <c r="CG303" i="3"/>
  <c r="DS303" i="3" s="1"/>
  <c r="CF303" i="3"/>
  <c r="CE303" i="3"/>
  <c r="CD303" i="3"/>
  <c r="CC303" i="3"/>
  <c r="CB303" i="3"/>
  <c r="CA303" i="3"/>
  <c r="BT303" i="3"/>
  <c r="BS303" i="3"/>
  <c r="BR303" i="3"/>
  <c r="BQ303" i="3"/>
  <c r="BP303" i="3"/>
  <c r="BO303" i="3"/>
  <c r="BN303" i="3"/>
  <c r="BM303" i="3"/>
  <c r="BL303" i="3"/>
  <c r="AY303" i="3"/>
  <c r="AX303" i="3"/>
  <c r="AW303" i="3"/>
  <c r="DT302" i="3"/>
  <c r="DR302" i="3"/>
  <c r="DQ302" i="3"/>
  <c r="DK302" i="3"/>
  <c r="DI302" i="3"/>
  <c r="DH302" i="3"/>
  <c r="CV302" i="3"/>
  <c r="CU302" i="3"/>
  <c r="CS302" i="3"/>
  <c r="CT302" i="3" s="1"/>
  <c r="CP302" i="3"/>
  <c r="CJ302" i="3"/>
  <c r="CM302" i="3" s="1"/>
  <c r="CF302" i="3"/>
  <c r="CE302" i="3"/>
  <c r="CD302" i="3"/>
  <c r="CC302" i="3"/>
  <c r="CA302" i="3"/>
  <c r="CB302" i="3" s="1"/>
  <c r="CG302" i="3" s="1"/>
  <c r="DS302" i="3" s="1"/>
  <c r="BT302" i="3"/>
  <c r="BP302" i="3"/>
  <c r="BO302" i="3"/>
  <c r="BN302" i="3"/>
  <c r="BM302" i="3"/>
  <c r="BS302" i="3" s="1"/>
  <c r="BL302" i="3"/>
  <c r="AY302" i="3"/>
  <c r="AX302" i="3"/>
  <c r="AW302" i="3"/>
  <c r="DT301" i="3"/>
  <c r="DR301" i="3"/>
  <c r="DQ301" i="3"/>
  <c r="DK301" i="3"/>
  <c r="DI301" i="3"/>
  <c r="DH301" i="3"/>
  <c r="CU301" i="3"/>
  <c r="CV301" i="3" s="1"/>
  <c r="CS301" i="3"/>
  <c r="CT301" i="3" s="1"/>
  <c r="CP301" i="3"/>
  <c r="CM301" i="3"/>
  <c r="CJ301" i="3"/>
  <c r="CF301" i="3"/>
  <c r="CE301" i="3"/>
  <c r="CD301" i="3"/>
  <c r="CC301" i="3"/>
  <c r="CB301" i="3"/>
  <c r="CG301" i="3" s="1"/>
  <c r="CA301" i="3"/>
  <c r="BT301" i="3"/>
  <c r="BP301" i="3"/>
  <c r="BO301" i="3"/>
  <c r="BN301" i="3"/>
  <c r="BM301" i="3"/>
  <c r="BS301" i="3" s="1"/>
  <c r="BL301" i="3"/>
  <c r="AY301" i="3"/>
  <c r="AX301" i="3"/>
  <c r="AW301" i="3"/>
  <c r="DT300" i="3"/>
  <c r="DR300" i="3"/>
  <c r="DQ300" i="3"/>
  <c r="DK300" i="3"/>
  <c r="DI300" i="3"/>
  <c r="DH300" i="3"/>
  <c r="CU300" i="3"/>
  <c r="CV300" i="3" s="1"/>
  <c r="CS300" i="3"/>
  <c r="CT300" i="3" s="1"/>
  <c r="CP300" i="3"/>
  <c r="CJ300" i="3"/>
  <c r="CM300" i="3" s="1"/>
  <c r="CF300" i="3"/>
  <c r="CE300" i="3"/>
  <c r="CD300" i="3"/>
  <c r="CC300" i="3"/>
  <c r="CA300" i="3"/>
  <c r="CB300" i="3" s="1"/>
  <c r="CG300" i="3" s="1"/>
  <c r="BT300" i="3"/>
  <c r="BS300" i="3"/>
  <c r="BR300" i="3"/>
  <c r="BQ300" i="3"/>
  <c r="BP300" i="3"/>
  <c r="BO300" i="3"/>
  <c r="BN300" i="3"/>
  <c r="BM300" i="3"/>
  <c r="BL300" i="3"/>
  <c r="AY300" i="3"/>
  <c r="AX300" i="3"/>
  <c r="AW300" i="3"/>
  <c r="DT299" i="3"/>
  <c r="DR299" i="3"/>
  <c r="DQ299" i="3"/>
  <c r="DK299" i="3"/>
  <c r="DI299" i="3"/>
  <c r="DH299" i="3"/>
  <c r="CU299" i="3"/>
  <c r="CV299" i="3" s="1"/>
  <c r="CT299" i="3"/>
  <c r="CS299" i="3"/>
  <c r="CP299" i="3"/>
  <c r="CM299" i="3"/>
  <c r="CJ299" i="3"/>
  <c r="CG299" i="3"/>
  <c r="DS299" i="3" s="1"/>
  <c r="CF299" i="3"/>
  <c r="CE299" i="3"/>
  <c r="CD299" i="3"/>
  <c r="CC299" i="3"/>
  <c r="CB299" i="3"/>
  <c r="CA299" i="3"/>
  <c r="BT299" i="3"/>
  <c r="BS299" i="3"/>
  <c r="BR299" i="3"/>
  <c r="BQ299" i="3"/>
  <c r="BP299" i="3"/>
  <c r="BO299" i="3"/>
  <c r="BN299" i="3"/>
  <c r="BM299" i="3"/>
  <c r="BL299" i="3"/>
  <c r="AY299" i="3"/>
  <c r="AX299" i="3"/>
  <c r="AW299" i="3"/>
  <c r="DT298" i="3"/>
  <c r="DR298" i="3"/>
  <c r="DQ298" i="3"/>
  <c r="DK298" i="3"/>
  <c r="DI298" i="3"/>
  <c r="DH298" i="3"/>
  <c r="CV298" i="3"/>
  <c r="CU298" i="3"/>
  <c r="CS298" i="3"/>
  <c r="CT298" i="3" s="1"/>
  <c r="CP298" i="3"/>
  <c r="CJ298" i="3"/>
  <c r="CM298" i="3" s="1"/>
  <c r="CH298" i="3"/>
  <c r="CF298" i="3"/>
  <c r="CE298" i="3"/>
  <c r="CD298" i="3"/>
  <c r="CC298" i="3"/>
  <c r="CA298" i="3"/>
  <c r="CB298" i="3" s="1"/>
  <c r="CG298" i="3" s="1"/>
  <c r="DS298" i="3" s="1"/>
  <c r="BT298" i="3"/>
  <c r="BP298" i="3"/>
  <c r="BO298" i="3"/>
  <c r="BN298" i="3"/>
  <c r="BM298" i="3"/>
  <c r="BS298" i="3" s="1"/>
  <c r="BL298" i="3"/>
  <c r="AY298" i="3"/>
  <c r="AX298" i="3"/>
  <c r="AW298" i="3"/>
  <c r="DT297" i="3"/>
  <c r="DR297" i="3"/>
  <c r="DQ297" i="3"/>
  <c r="DK297" i="3"/>
  <c r="DI297" i="3"/>
  <c r="DH297" i="3"/>
  <c r="CU297" i="3"/>
  <c r="CV297" i="3" s="1"/>
  <c r="CS297" i="3"/>
  <c r="CT297" i="3" s="1"/>
  <c r="CP297" i="3"/>
  <c r="CM297" i="3"/>
  <c r="CJ297" i="3"/>
  <c r="CF297" i="3"/>
  <c r="CE297" i="3"/>
  <c r="CD297" i="3"/>
  <c r="CC297" i="3"/>
  <c r="CB297" i="3"/>
  <c r="CG297" i="3" s="1"/>
  <c r="CA297" i="3"/>
  <c r="BT297" i="3"/>
  <c r="BP297" i="3"/>
  <c r="BO297" i="3"/>
  <c r="BN297" i="3"/>
  <c r="BM297" i="3"/>
  <c r="BS297" i="3" s="1"/>
  <c r="BL297" i="3"/>
  <c r="AY297" i="3"/>
  <c r="AX297" i="3"/>
  <c r="AW297" i="3"/>
  <c r="DT296" i="3"/>
  <c r="DR296" i="3"/>
  <c r="DS296" i="3" s="1"/>
  <c r="DQ296" i="3"/>
  <c r="DK296" i="3"/>
  <c r="DI296" i="3"/>
  <c r="DH296" i="3"/>
  <c r="CU296" i="3"/>
  <c r="CV296" i="3" s="1"/>
  <c r="CS296" i="3"/>
  <c r="CT296" i="3" s="1"/>
  <c r="CP296" i="3"/>
  <c r="CM296" i="3"/>
  <c r="CJ296" i="3"/>
  <c r="CH296" i="3"/>
  <c r="CG296" i="3"/>
  <c r="CF296" i="3"/>
  <c r="CE296" i="3"/>
  <c r="CD296" i="3"/>
  <c r="CC296" i="3"/>
  <c r="CB296" i="3"/>
  <c r="CA296" i="3"/>
  <c r="BT296" i="3"/>
  <c r="BS296" i="3"/>
  <c r="BR296" i="3"/>
  <c r="BQ296" i="3"/>
  <c r="BP296" i="3"/>
  <c r="BO296" i="3"/>
  <c r="BN296" i="3"/>
  <c r="BM296" i="3"/>
  <c r="BL296" i="3"/>
  <c r="AY296" i="3"/>
  <c r="AX296" i="3"/>
  <c r="AW296" i="3"/>
  <c r="DT295" i="3"/>
  <c r="DR295" i="3"/>
  <c r="DQ295" i="3"/>
  <c r="DK295" i="3"/>
  <c r="DI295" i="3"/>
  <c r="DH295" i="3"/>
  <c r="CU295" i="3"/>
  <c r="CV295" i="3" s="1"/>
  <c r="CT295" i="3"/>
  <c r="CS295" i="3"/>
  <c r="CP295" i="3"/>
  <c r="CM295" i="3"/>
  <c r="CJ295" i="3"/>
  <c r="CG295" i="3"/>
  <c r="DS295" i="3" s="1"/>
  <c r="CF295" i="3"/>
  <c r="CE295" i="3"/>
  <c r="CD295" i="3"/>
  <c r="CC295" i="3"/>
  <c r="CB295" i="3"/>
  <c r="CA295" i="3"/>
  <c r="BT295" i="3"/>
  <c r="BS295" i="3"/>
  <c r="BR295" i="3"/>
  <c r="BQ295" i="3"/>
  <c r="BP295" i="3"/>
  <c r="BO295" i="3"/>
  <c r="BN295" i="3"/>
  <c r="BM295" i="3"/>
  <c r="BL295" i="3"/>
  <c r="AY295" i="3"/>
  <c r="AX295" i="3"/>
  <c r="AW295" i="3"/>
  <c r="DT294" i="3"/>
  <c r="DR294" i="3"/>
  <c r="DQ294" i="3"/>
  <c r="DK294" i="3"/>
  <c r="DI294" i="3"/>
  <c r="DH294" i="3"/>
  <c r="CV294" i="3"/>
  <c r="CU294" i="3"/>
  <c r="CS294" i="3"/>
  <c r="CT294" i="3" s="1"/>
  <c r="CP294" i="3"/>
  <c r="CJ294" i="3"/>
  <c r="CM294" i="3" s="1"/>
  <c r="CF294" i="3"/>
  <c r="CE294" i="3"/>
  <c r="CD294" i="3"/>
  <c r="CC294" i="3"/>
  <c r="CA294" i="3"/>
  <c r="CB294" i="3" s="1"/>
  <c r="CG294" i="3" s="1"/>
  <c r="DS294" i="3" s="1"/>
  <c r="BT294" i="3"/>
  <c r="BS294" i="3"/>
  <c r="BP294" i="3"/>
  <c r="BO294" i="3"/>
  <c r="BN294" i="3"/>
  <c r="BM294" i="3"/>
  <c r="BR294" i="3" s="1"/>
  <c r="BL294" i="3"/>
  <c r="AY294" i="3"/>
  <c r="AX294" i="3"/>
  <c r="AW294" i="3"/>
  <c r="DT293" i="3"/>
  <c r="DR293" i="3"/>
  <c r="DQ293" i="3"/>
  <c r="DK293" i="3"/>
  <c r="DI293" i="3"/>
  <c r="DH293" i="3"/>
  <c r="CU293" i="3"/>
  <c r="CV293" i="3" s="1"/>
  <c r="CS293" i="3"/>
  <c r="CT293" i="3" s="1"/>
  <c r="CP293" i="3"/>
  <c r="CM293" i="3"/>
  <c r="CJ293" i="3"/>
  <c r="CF293" i="3"/>
  <c r="CE293" i="3"/>
  <c r="CD293" i="3"/>
  <c r="CC293" i="3"/>
  <c r="CB293" i="3"/>
  <c r="CG293" i="3" s="1"/>
  <c r="CA293" i="3"/>
  <c r="BT293" i="3"/>
  <c r="BP293" i="3"/>
  <c r="BO293" i="3"/>
  <c r="BN293" i="3"/>
  <c r="BM293" i="3"/>
  <c r="BS293" i="3" s="1"/>
  <c r="BL293" i="3"/>
  <c r="AY293" i="3"/>
  <c r="AX293" i="3"/>
  <c r="AW293" i="3"/>
  <c r="DT292" i="3"/>
  <c r="DR292" i="3"/>
  <c r="DQ292" i="3"/>
  <c r="DK292" i="3"/>
  <c r="DI292" i="3"/>
  <c r="DH292" i="3"/>
  <c r="CU292" i="3"/>
  <c r="CV292" i="3" s="1"/>
  <c r="CS292" i="3"/>
  <c r="CT292" i="3" s="1"/>
  <c r="CP292" i="3"/>
  <c r="CJ292" i="3"/>
  <c r="CM292" i="3" s="1"/>
  <c r="CF292" i="3"/>
  <c r="CE292" i="3"/>
  <c r="CD292" i="3"/>
  <c r="CC292" i="3"/>
  <c r="CA292" i="3"/>
  <c r="CB292" i="3" s="1"/>
  <c r="CG292" i="3" s="1"/>
  <c r="BT292" i="3"/>
  <c r="BS292" i="3"/>
  <c r="BR292" i="3"/>
  <c r="BQ292" i="3"/>
  <c r="BP292" i="3"/>
  <c r="BO292" i="3"/>
  <c r="BN292" i="3"/>
  <c r="BM292" i="3"/>
  <c r="BL292" i="3"/>
  <c r="AY292" i="3"/>
  <c r="AX292" i="3"/>
  <c r="AW292" i="3"/>
  <c r="DT291" i="3"/>
  <c r="DS291" i="3"/>
  <c r="DR291" i="3"/>
  <c r="DQ291" i="3"/>
  <c r="DK291" i="3"/>
  <c r="DI291" i="3"/>
  <c r="DH291" i="3"/>
  <c r="CU291" i="3"/>
  <c r="CV291" i="3" s="1"/>
  <c r="CT291" i="3"/>
  <c r="CS291" i="3"/>
  <c r="CP291" i="3"/>
  <c r="CM291" i="3"/>
  <c r="CJ291" i="3"/>
  <c r="CG291" i="3"/>
  <c r="CH291" i="3" s="1"/>
  <c r="CF291" i="3"/>
  <c r="CE291" i="3"/>
  <c r="CD291" i="3"/>
  <c r="CC291" i="3"/>
  <c r="CB291" i="3"/>
  <c r="CA291" i="3"/>
  <c r="BT291" i="3"/>
  <c r="BS291" i="3"/>
  <c r="BR291" i="3"/>
  <c r="BQ291" i="3"/>
  <c r="BP291" i="3"/>
  <c r="BO291" i="3"/>
  <c r="BN291" i="3"/>
  <c r="BM291" i="3"/>
  <c r="BL291" i="3"/>
  <c r="AY291" i="3"/>
  <c r="AX291" i="3"/>
  <c r="AW291" i="3"/>
  <c r="DT290" i="3"/>
  <c r="DR290" i="3"/>
  <c r="DQ290" i="3"/>
  <c r="DK290" i="3"/>
  <c r="DI290" i="3"/>
  <c r="DH290" i="3"/>
  <c r="CV290" i="3"/>
  <c r="CU290" i="3"/>
  <c r="CS290" i="3"/>
  <c r="CT290" i="3" s="1"/>
  <c r="CP290" i="3"/>
  <c r="CJ290" i="3"/>
  <c r="CM290" i="3" s="1"/>
  <c r="CF290" i="3"/>
  <c r="CE290" i="3"/>
  <c r="CD290" i="3"/>
  <c r="CC290" i="3"/>
  <c r="CA290" i="3"/>
  <c r="CB290" i="3" s="1"/>
  <c r="CG290" i="3" s="1"/>
  <c r="DS290" i="3" s="1"/>
  <c r="BT290" i="3"/>
  <c r="BS290" i="3"/>
  <c r="BP290" i="3"/>
  <c r="BO290" i="3"/>
  <c r="BN290" i="3"/>
  <c r="BM290" i="3"/>
  <c r="BR290" i="3" s="1"/>
  <c r="BL290" i="3"/>
  <c r="AY290" i="3"/>
  <c r="AX290" i="3"/>
  <c r="AW290" i="3"/>
  <c r="DT289" i="3"/>
  <c r="DR289" i="3"/>
  <c r="DQ289" i="3"/>
  <c r="DK289" i="3"/>
  <c r="DI289" i="3"/>
  <c r="DH289" i="3"/>
  <c r="CU289" i="3"/>
  <c r="CV289" i="3" s="1"/>
  <c r="CS289" i="3"/>
  <c r="CT289" i="3" s="1"/>
  <c r="CP289" i="3"/>
  <c r="CM289" i="3"/>
  <c r="CJ289" i="3"/>
  <c r="CF289" i="3"/>
  <c r="CE289" i="3"/>
  <c r="CD289" i="3"/>
  <c r="CC289" i="3"/>
  <c r="CB289" i="3"/>
  <c r="CG289" i="3" s="1"/>
  <c r="CA289" i="3"/>
  <c r="BT289" i="3"/>
  <c r="BP289" i="3"/>
  <c r="BO289" i="3"/>
  <c r="BN289" i="3"/>
  <c r="BM289" i="3"/>
  <c r="BS289" i="3" s="1"/>
  <c r="BL289" i="3"/>
  <c r="AY289" i="3"/>
  <c r="AX289" i="3"/>
  <c r="AW289" i="3"/>
  <c r="DT288" i="3"/>
  <c r="DR288" i="3"/>
  <c r="DQ288" i="3"/>
  <c r="DK288" i="3"/>
  <c r="DI288" i="3"/>
  <c r="DH288" i="3"/>
  <c r="CU288" i="3"/>
  <c r="CV288" i="3" s="1"/>
  <c r="CS288" i="3"/>
  <c r="CT288" i="3" s="1"/>
  <c r="CP288" i="3"/>
  <c r="CJ288" i="3"/>
  <c r="CM288" i="3" s="1"/>
  <c r="CF288" i="3"/>
  <c r="CE288" i="3"/>
  <c r="CD288" i="3"/>
  <c r="CC288" i="3"/>
  <c r="CA288" i="3"/>
  <c r="CB288" i="3" s="1"/>
  <c r="CG288" i="3" s="1"/>
  <c r="BT288" i="3"/>
  <c r="BS288" i="3"/>
  <c r="BR288" i="3"/>
  <c r="BQ288" i="3"/>
  <c r="BP288" i="3"/>
  <c r="BO288" i="3"/>
  <c r="BN288" i="3"/>
  <c r="BM288" i="3"/>
  <c r="BL288" i="3"/>
  <c r="AY288" i="3"/>
  <c r="AX288" i="3"/>
  <c r="AW288" i="3"/>
  <c r="DT287" i="3"/>
  <c r="DS287" i="3"/>
  <c r="DR287" i="3"/>
  <c r="DQ287" i="3"/>
  <c r="DK287" i="3"/>
  <c r="DI287" i="3"/>
  <c r="DH287" i="3"/>
  <c r="CU287" i="3"/>
  <c r="CV287" i="3" s="1"/>
  <c r="CT287" i="3"/>
  <c r="CS287" i="3"/>
  <c r="CP287" i="3"/>
  <c r="CM287" i="3"/>
  <c r="CJ287" i="3"/>
  <c r="CG287" i="3"/>
  <c r="CH287" i="3" s="1"/>
  <c r="CF287" i="3"/>
  <c r="CE287" i="3"/>
  <c r="CD287" i="3"/>
  <c r="CC287" i="3"/>
  <c r="CB287" i="3"/>
  <c r="CA287" i="3"/>
  <c r="BT287" i="3"/>
  <c r="BS287" i="3"/>
  <c r="BR287" i="3"/>
  <c r="BQ287" i="3"/>
  <c r="BP287" i="3"/>
  <c r="BO287" i="3"/>
  <c r="BN287" i="3"/>
  <c r="BM287" i="3"/>
  <c r="BL287" i="3"/>
  <c r="AY287" i="3"/>
  <c r="AX287" i="3"/>
  <c r="AW287" i="3"/>
  <c r="DT286" i="3"/>
  <c r="DR286" i="3"/>
  <c r="DQ286" i="3"/>
  <c r="DK286" i="3"/>
  <c r="DI286" i="3"/>
  <c r="DH286" i="3"/>
  <c r="CV286" i="3"/>
  <c r="CU286" i="3"/>
  <c r="CS286" i="3"/>
  <c r="CT286" i="3" s="1"/>
  <c r="CP286" i="3"/>
  <c r="CJ286" i="3"/>
  <c r="CM286" i="3" s="1"/>
  <c r="CF286" i="3"/>
  <c r="CE286" i="3"/>
  <c r="CD286" i="3"/>
  <c r="CC286" i="3"/>
  <c r="CA286" i="3"/>
  <c r="CB286" i="3" s="1"/>
  <c r="CG286" i="3" s="1"/>
  <c r="DS286" i="3" s="1"/>
  <c r="BT286" i="3"/>
  <c r="BS286" i="3"/>
  <c r="BP286" i="3"/>
  <c r="BO286" i="3"/>
  <c r="BN286" i="3"/>
  <c r="BM286" i="3"/>
  <c r="BR286" i="3" s="1"/>
  <c r="BL286" i="3"/>
  <c r="AY286" i="3"/>
  <c r="AX286" i="3"/>
  <c r="AW286" i="3"/>
  <c r="DT285" i="3"/>
  <c r="DR285" i="3"/>
  <c r="DQ285" i="3"/>
  <c r="DK285" i="3"/>
  <c r="DI285" i="3"/>
  <c r="DH285" i="3"/>
  <c r="CU285" i="3"/>
  <c r="CV285" i="3" s="1"/>
  <c r="CS285" i="3"/>
  <c r="CT285" i="3" s="1"/>
  <c r="CP285" i="3"/>
  <c r="CM285" i="3"/>
  <c r="CJ285" i="3"/>
  <c r="CF285" i="3"/>
  <c r="CE285" i="3"/>
  <c r="CD285" i="3"/>
  <c r="CC285" i="3"/>
  <c r="CB285" i="3"/>
  <c r="CG285" i="3" s="1"/>
  <c r="CA285" i="3"/>
  <c r="BT285" i="3"/>
  <c r="BP285" i="3"/>
  <c r="BO285" i="3"/>
  <c r="BN285" i="3"/>
  <c r="BM285" i="3"/>
  <c r="BS285" i="3" s="1"/>
  <c r="BL285" i="3"/>
  <c r="AY285" i="3"/>
  <c r="AX285" i="3"/>
  <c r="AW285" i="3"/>
  <c r="DT284" i="3"/>
  <c r="DR284" i="3"/>
  <c r="DQ284" i="3"/>
  <c r="DK284" i="3"/>
  <c r="DI284" i="3"/>
  <c r="DH284" i="3"/>
  <c r="CU284" i="3"/>
  <c r="CV284" i="3" s="1"/>
  <c r="CS284" i="3"/>
  <c r="CT284" i="3" s="1"/>
  <c r="CP284" i="3"/>
  <c r="CJ284" i="3"/>
  <c r="CM284" i="3" s="1"/>
  <c r="CF284" i="3"/>
  <c r="CE284" i="3"/>
  <c r="CD284" i="3"/>
  <c r="CC284" i="3"/>
  <c r="CA284" i="3"/>
  <c r="CB284" i="3" s="1"/>
  <c r="CG284" i="3" s="1"/>
  <c r="BT284" i="3"/>
  <c r="BS284" i="3"/>
  <c r="BR284" i="3"/>
  <c r="BQ284" i="3"/>
  <c r="BP284" i="3"/>
  <c r="BO284" i="3"/>
  <c r="BN284" i="3"/>
  <c r="BM284" i="3"/>
  <c r="BL284" i="3"/>
  <c r="AY284" i="3"/>
  <c r="AX284" i="3"/>
  <c r="AW284" i="3"/>
  <c r="DT283" i="3"/>
  <c r="DS283" i="3"/>
  <c r="DR283" i="3"/>
  <c r="DQ283" i="3"/>
  <c r="DK283" i="3"/>
  <c r="DI283" i="3"/>
  <c r="DH283" i="3"/>
  <c r="CU283" i="3"/>
  <c r="CV283" i="3" s="1"/>
  <c r="CT283" i="3"/>
  <c r="CS283" i="3"/>
  <c r="CP283" i="3"/>
  <c r="CM283" i="3"/>
  <c r="CJ283" i="3"/>
  <c r="CG283" i="3"/>
  <c r="CH283" i="3" s="1"/>
  <c r="CF283" i="3"/>
  <c r="CE283" i="3"/>
  <c r="CD283" i="3"/>
  <c r="CC283" i="3"/>
  <c r="CB283" i="3"/>
  <c r="CA283" i="3"/>
  <c r="BT283" i="3"/>
  <c r="BS283" i="3"/>
  <c r="BR283" i="3"/>
  <c r="BQ283" i="3"/>
  <c r="BP283" i="3"/>
  <c r="BO283" i="3"/>
  <c r="BN283" i="3"/>
  <c r="BM283" i="3"/>
  <c r="BL283" i="3"/>
  <c r="AY283" i="3"/>
  <c r="AX283" i="3"/>
  <c r="AW283" i="3"/>
  <c r="DT282" i="3"/>
  <c r="DR282" i="3"/>
  <c r="DQ282" i="3"/>
  <c r="DK282" i="3"/>
  <c r="DI282" i="3"/>
  <c r="DH282" i="3"/>
  <c r="CV282" i="3"/>
  <c r="CU282" i="3"/>
  <c r="CS282" i="3"/>
  <c r="CT282" i="3" s="1"/>
  <c r="CP282" i="3"/>
  <c r="CJ282" i="3"/>
  <c r="CM282" i="3" s="1"/>
  <c r="CF282" i="3"/>
  <c r="CE282" i="3"/>
  <c r="CD282" i="3"/>
  <c r="CC282" i="3"/>
  <c r="CA282" i="3"/>
  <c r="CB282" i="3" s="1"/>
  <c r="CG282" i="3" s="1"/>
  <c r="DS282" i="3" s="1"/>
  <c r="BT282" i="3"/>
  <c r="BS282" i="3"/>
  <c r="BP282" i="3"/>
  <c r="BO282" i="3"/>
  <c r="BN282" i="3"/>
  <c r="BM282" i="3"/>
  <c r="BR282" i="3" s="1"/>
  <c r="BL282" i="3"/>
  <c r="AY282" i="3"/>
  <c r="AX282" i="3"/>
  <c r="AW282" i="3"/>
  <c r="DT281" i="3"/>
  <c r="DR281" i="3"/>
  <c r="DQ281" i="3"/>
  <c r="DK281" i="3"/>
  <c r="DI281" i="3"/>
  <c r="DH281" i="3"/>
  <c r="CU281" i="3"/>
  <c r="CV281" i="3" s="1"/>
  <c r="CS281" i="3"/>
  <c r="CT281" i="3" s="1"/>
  <c r="CP281" i="3"/>
  <c r="CM281" i="3"/>
  <c r="CJ281" i="3"/>
  <c r="CF281" i="3"/>
  <c r="CE281" i="3"/>
  <c r="CD281" i="3"/>
  <c r="CC281" i="3"/>
  <c r="CB281" i="3"/>
  <c r="CG281" i="3" s="1"/>
  <c r="CA281" i="3"/>
  <c r="BT281" i="3"/>
  <c r="BP281" i="3"/>
  <c r="BO281" i="3"/>
  <c r="BN281" i="3"/>
  <c r="BM281" i="3"/>
  <c r="BS281" i="3" s="1"/>
  <c r="BL281" i="3"/>
  <c r="AY281" i="3"/>
  <c r="AX281" i="3"/>
  <c r="AW281" i="3"/>
  <c r="DT280" i="3"/>
  <c r="DR280" i="3"/>
  <c r="DQ280" i="3"/>
  <c r="DK280" i="3"/>
  <c r="DI280" i="3"/>
  <c r="DH280" i="3"/>
  <c r="CU280" i="3"/>
  <c r="CV280" i="3" s="1"/>
  <c r="CS280" i="3"/>
  <c r="CT280" i="3" s="1"/>
  <c r="CP280" i="3"/>
  <c r="CJ280" i="3"/>
  <c r="CM280" i="3" s="1"/>
  <c r="CF280" i="3"/>
  <c r="CE280" i="3"/>
  <c r="CD280" i="3"/>
  <c r="CC280" i="3"/>
  <c r="CA280" i="3"/>
  <c r="CB280" i="3" s="1"/>
  <c r="CG280" i="3" s="1"/>
  <c r="BT280" i="3"/>
  <c r="BS280" i="3"/>
  <c r="BR280" i="3"/>
  <c r="BQ280" i="3"/>
  <c r="BP280" i="3"/>
  <c r="BO280" i="3"/>
  <c r="BN280" i="3"/>
  <c r="BM280" i="3"/>
  <c r="BL280" i="3"/>
  <c r="AY280" i="3"/>
  <c r="AX280" i="3"/>
  <c r="AW280" i="3"/>
  <c r="DT279" i="3"/>
  <c r="DR279" i="3"/>
  <c r="DQ279" i="3"/>
  <c r="DK279" i="3"/>
  <c r="DI279" i="3"/>
  <c r="DH279" i="3"/>
  <c r="CU279" i="3"/>
  <c r="CV279" i="3" s="1"/>
  <c r="CT279" i="3"/>
  <c r="CS279" i="3"/>
  <c r="CP279" i="3"/>
  <c r="CJ279" i="3"/>
  <c r="CM279" i="3" s="1"/>
  <c r="CF279" i="3"/>
  <c r="CE279" i="3"/>
  <c r="CD279" i="3"/>
  <c r="CC279" i="3"/>
  <c r="CA279" i="3"/>
  <c r="CB279" i="3" s="1"/>
  <c r="CG279" i="3" s="1"/>
  <c r="BT279" i="3"/>
  <c r="BS279" i="3"/>
  <c r="BR279" i="3"/>
  <c r="BQ279" i="3"/>
  <c r="BP279" i="3"/>
  <c r="BO279" i="3"/>
  <c r="BN279" i="3"/>
  <c r="BM279" i="3"/>
  <c r="BL279" i="3"/>
  <c r="AY279" i="3"/>
  <c r="AX279" i="3"/>
  <c r="AW279" i="3"/>
  <c r="DT278" i="3"/>
  <c r="DR278" i="3"/>
  <c r="DQ278" i="3"/>
  <c r="DK278" i="3"/>
  <c r="DI278" i="3"/>
  <c r="DH278" i="3"/>
  <c r="CV278" i="3"/>
  <c r="CU278" i="3"/>
  <c r="CS278" i="3"/>
  <c r="CT278" i="3" s="1"/>
  <c r="CP278" i="3"/>
  <c r="CJ278" i="3"/>
  <c r="CM278" i="3" s="1"/>
  <c r="CH278" i="3"/>
  <c r="CF278" i="3"/>
  <c r="CE278" i="3"/>
  <c r="CD278" i="3"/>
  <c r="CC278" i="3"/>
  <c r="CA278" i="3"/>
  <c r="CB278" i="3" s="1"/>
  <c r="CG278" i="3" s="1"/>
  <c r="DS278" i="3" s="1"/>
  <c r="BT278" i="3"/>
  <c r="BS278" i="3"/>
  <c r="BP278" i="3"/>
  <c r="BO278" i="3"/>
  <c r="BN278" i="3"/>
  <c r="BM278" i="3"/>
  <c r="BR278" i="3" s="1"/>
  <c r="BL278" i="3"/>
  <c r="AY278" i="3"/>
  <c r="AX278" i="3"/>
  <c r="AW278" i="3"/>
  <c r="DT277" i="3"/>
  <c r="DR277" i="3"/>
  <c r="DQ277" i="3"/>
  <c r="DK277" i="3"/>
  <c r="DI277" i="3"/>
  <c r="DH277" i="3"/>
  <c r="CU277" i="3"/>
  <c r="CV277" i="3" s="1"/>
  <c r="CT277" i="3"/>
  <c r="CS277" i="3"/>
  <c r="CP277" i="3"/>
  <c r="CM277" i="3"/>
  <c r="CJ277" i="3"/>
  <c r="CF277" i="3"/>
  <c r="CE277" i="3"/>
  <c r="CD277" i="3"/>
  <c r="CC277" i="3"/>
  <c r="CB277" i="3"/>
  <c r="CG277" i="3" s="1"/>
  <c r="CA277" i="3"/>
  <c r="BT277" i="3"/>
  <c r="BP277" i="3"/>
  <c r="BO277" i="3"/>
  <c r="BN277" i="3"/>
  <c r="BM277" i="3"/>
  <c r="BS277" i="3" s="1"/>
  <c r="BL277" i="3"/>
  <c r="AY277" i="3"/>
  <c r="AX277" i="3"/>
  <c r="AW277" i="3"/>
  <c r="DT276" i="3"/>
  <c r="DR276" i="3"/>
  <c r="DQ276" i="3"/>
  <c r="DK276" i="3"/>
  <c r="DI276" i="3"/>
  <c r="DH276" i="3"/>
  <c r="CV276" i="3"/>
  <c r="CU276" i="3"/>
  <c r="CS276" i="3"/>
  <c r="CT276" i="3" s="1"/>
  <c r="CP276" i="3"/>
  <c r="CJ276" i="3"/>
  <c r="CM276" i="3" s="1"/>
  <c r="CF276" i="3"/>
  <c r="CE276" i="3"/>
  <c r="CD276" i="3"/>
  <c r="CC276" i="3"/>
  <c r="CA276" i="3"/>
  <c r="CB276" i="3" s="1"/>
  <c r="CG276" i="3" s="1"/>
  <c r="BT276" i="3"/>
  <c r="BS276" i="3"/>
  <c r="BR276" i="3"/>
  <c r="BQ276" i="3"/>
  <c r="BP276" i="3"/>
  <c r="BO276" i="3"/>
  <c r="BN276" i="3"/>
  <c r="BM276" i="3"/>
  <c r="BL276" i="3"/>
  <c r="AY276" i="3"/>
  <c r="AX276" i="3"/>
  <c r="AW276" i="3"/>
  <c r="DT275" i="3"/>
  <c r="DR275" i="3"/>
  <c r="DQ275" i="3"/>
  <c r="DK275" i="3"/>
  <c r="DI275" i="3"/>
  <c r="DH275" i="3"/>
  <c r="CU275" i="3"/>
  <c r="CV275" i="3" s="1"/>
  <c r="CT275" i="3"/>
  <c r="CS275" i="3"/>
  <c r="CP275" i="3"/>
  <c r="CJ275" i="3"/>
  <c r="CM275" i="3" s="1"/>
  <c r="CF275" i="3"/>
  <c r="CE275" i="3"/>
  <c r="CD275" i="3"/>
  <c r="CC275" i="3"/>
  <c r="CA275" i="3"/>
  <c r="CB275" i="3" s="1"/>
  <c r="CG275" i="3" s="1"/>
  <c r="BT275" i="3"/>
  <c r="BR275" i="3"/>
  <c r="BQ275" i="3"/>
  <c r="BP275" i="3"/>
  <c r="BO275" i="3"/>
  <c r="BN275" i="3"/>
  <c r="BM275" i="3"/>
  <c r="BS275" i="3" s="1"/>
  <c r="BL275" i="3"/>
  <c r="AY275" i="3"/>
  <c r="AX275" i="3"/>
  <c r="AW275" i="3"/>
  <c r="DT274" i="3"/>
  <c r="DR274" i="3"/>
  <c r="DQ274" i="3"/>
  <c r="DK274" i="3"/>
  <c r="DI274" i="3"/>
  <c r="DH274" i="3"/>
  <c r="CV274" i="3"/>
  <c r="CU274" i="3"/>
  <c r="CS274" i="3"/>
  <c r="CT274" i="3" s="1"/>
  <c r="CP274" i="3"/>
  <c r="CJ274" i="3"/>
  <c r="CM274" i="3" s="1"/>
  <c r="CF274" i="3"/>
  <c r="CE274" i="3"/>
  <c r="CD274" i="3"/>
  <c r="CC274" i="3"/>
  <c r="CA274" i="3"/>
  <c r="CB274" i="3" s="1"/>
  <c r="CG274" i="3" s="1"/>
  <c r="BT274" i="3"/>
  <c r="BS274" i="3"/>
  <c r="BP274" i="3"/>
  <c r="BO274" i="3"/>
  <c r="BN274" i="3"/>
  <c r="BM274" i="3"/>
  <c r="BR274" i="3" s="1"/>
  <c r="BL274" i="3"/>
  <c r="AY274" i="3"/>
  <c r="AX274" i="3"/>
  <c r="AW274" i="3"/>
  <c r="DT273" i="3"/>
  <c r="DR273" i="3"/>
  <c r="DQ273" i="3"/>
  <c r="DK273" i="3"/>
  <c r="DI273" i="3"/>
  <c r="DH273" i="3"/>
  <c r="CU273" i="3"/>
  <c r="CV273" i="3" s="1"/>
  <c r="CT273" i="3"/>
  <c r="CS273" i="3"/>
  <c r="CP273" i="3"/>
  <c r="CM273" i="3"/>
  <c r="CJ273" i="3"/>
  <c r="CF273" i="3"/>
  <c r="CE273" i="3"/>
  <c r="CD273" i="3"/>
  <c r="CC273" i="3"/>
  <c r="CB273" i="3"/>
  <c r="CG273" i="3" s="1"/>
  <c r="CA273" i="3"/>
  <c r="BT273" i="3"/>
  <c r="BP273" i="3"/>
  <c r="BO273" i="3"/>
  <c r="BN273" i="3"/>
  <c r="BM273" i="3"/>
  <c r="BS273" i="3" s="1"/>
  <c r="BL273" i="3"/>
  <c r="AY273" i="3"/>
  <c r="AX273" i="3"/>
  <c r="AW273" i="3"/>
  <c r="DT272" i="3"/>
  <c r="DR272" i="3"/>
  <c r="DQ272" i="3"/>
  <c r="DK272" i="3"/>
  <c r="DI272" i="3"/>
  <c r="DH272" i="3"/>
  <c r="CV272" i="3"/>
  <c r="CU272" i="3"/>
  <c r="CS272" i="3"/>
  <c r="CT272" i="3" s="1"/>
  <c r="CP272" i="3"/>
  <c r="CJ272" i="3"/>
  <c r="CM272" i="3" s="1"/>
  <c r="CF272" i="3"/>
  <c r="CE272" i="3"/>
  <c r="CD272" i="3"/>
  <c r="CC272" i="3"/>
  <c r="CA272" i="3"/>
  <c r="CB272" i="3" s="1"/>
  <c r="CG272" i="3" s="1"/>
  <c r="BT272" i="3"/>
  <c r="BS272" i="3"/>
  <c r="BR272" i="3"/>
  <c r="BQ272" i="3"/>
  <c r="BP272" i="3"/>
  <c r="BO272" i="3"/>
  <c r="BN272" i="3"/>
  <c r="BM272" i="3"/>
  <c r="BL272" i="3"/>
  <c r="AY272" i="3"/>
  <c r="AX272" i="3"/>
  <c r="AW272" i="3"/>
  <c r="DT271" i="3"/>
  <c r="DR271" i="3"/>
  <c r="DQ271" i="3"/>
  <c r="DK271" i="3"/>
  <c r="DI271" i="3"/>
  <c r="DH271" i="3"/>
  <c r="CU271" i="3"/>
  <c r="CV271" i="3" s="1"/>
  <c r="CT271" i="3"/>
  <c r="CS271" i="3"/>
  <c r="CP271" i="3"/>
  <c r="CJ271" i="3"/>
  <c r="CM271" i="3" s="1"/>
  <c r="CF271" i="3"/>
  <c r="CE271" i="3"/>
  <c r="CD271" i="3"/>
  <c r="CC271" i="3"/>
  <c r="CA271" i="3"/>
  <c r="CB271" i="3" s="1"/>
  <c r="CG271" i="3" s="1"/>
  <c r="BT271" i="3"/>
  <c r="BR271" i="3"/>
  <c r="BQ271" i="3"/>
  <c r="BP271" i="3"/>
  <c r="BO271" i="3"/>
  <c r="BN271" i="3"/>
  <c r="BM271" i="3"/>
  <c r="BS271" i="3" s="1"/>
  <c r="BL271" i="3"/>
  <c r="AY271" i="3"/>
  <c r="AX271" i="3"/>
  <c r="AW271" i="3"/>
  <c r="DT270" i="3"/>
  <c r="DR270" i="3"/>
  <c r="DQ270" i="3"/>
  <c r="DK270" i="3"/>
  <c r="DI270" i="3"/>
  <c r="DH270" i="3"/>
  <c r="CV270" i="3"/>
  <c r="CU270" i="3"/>
  <c r="CS270" i="3"/>
  <c r="CT270" i="3" s="1"/>
  <c r="CP270" i="3"/>
  <c r="CJ270" i="3"/>
  <c r="CM270" i="3" s="1"/>
  <c r="CH270" i="3"/>
  <c r="CF270" i="3"/>
  <c r="CE270" i="3"/>
  <c r="CD270" i="3"/>
  <c r="CC270" i="3"/>
  <c r="CA270" i="3"/>
  <c r="CB270" i="3" s="1"/>
  <c r="CG270" i="3" s="1"/>
  <c r="DS270" i="3" s="1"/>
  <c r="BT270" i="3"/>
  <c r="BS270" i="3"/>
  <c r="BP270" i="3"/>
  <c r="BO270" i="3"/>
  <c r="BN270" i="3"/>
  <c r="BM270" i="3"/>
  <c r="BR270" i="3" s="1"/>
  <c r="BL270" i="3"/>
  <c r="AY270" i="3"/>
  <c r="AX270" i="3"/>
  <c r="AW270" i="3"/>
  <c r="DT269" i="3"/>
  <c r="DR269" i="3"/>
  <c r="DQ269" i="3"/>
  <c r="DK269" i="3"/>
  <c r="DI269" i="3"/>
  <c r="DH269" i="3"/>
  <c r="CU269" i="3"/>
  <c r="CV269" i="3" s="1"/>
  <c r="CT269" i="3"/>
  <c r="CS269" i="3"/>
  <c r="CP269" i="3"/>
  <c r="CM269" i="3"/>
  <c r="CJ269" i="3"/>
  <c r="CF269" i="3"/>
  <c r="CE269" i="3"/>
  <c r="CD269" i="3"/>
  <c r="CC269" i="3"/>
  <c r="CB269" i="3"/>
  <c r="CG269" i="3" s="1"/>
  <c r="CA269" i="3"/>
  <c r="BT269" i="3"/>
  <c r="BP269" i="3"/>
  <c r="BO269" i="3"/>
  <c r="BN269" i="3"/>
  <c r="BM269" i="3"/>
  <c r="BS269" i="3" s="1"/>
  <c r="BL269" i="3"/>
  <c r="AY269" i="3"/>
  <c r="AX269" i="3"/>
  <c r="AW269" i="3"/>
  <c r="DT268" i="3"/>
  <c r="DR268" i="3"/>
  <c r="DQ268" i="3"/>
  <c r="DK268" i="3"/>
  <c r="DI268" i="3"/>
  <c r="DH268" i="3"/>
  <c r="CV268" i="3"/>
  <c r="CU268" i="3"/>
  <c r="CS268" i="3"/>
  <c r="CT268" i="3" s="1"/>
  <c r="CP268" i="3"/>
  <c r="CM268" i="3"/>
  <c r="CJ268" i="3"/>
  <c r="CG268" i="3"/>
  <c r="CH268" i="3" s="1"/>
  <c r="CF268" i="3"/>
  <c r="CE268" i="3"/>
  <c r="CD268" i="3"/>
  <c r="CC268" i="3"/>
  <c r="CB268" i="3"/>
  <c r="CA268" i="3"/>
  <c r="BT268" i="3"/>
  <c r="BS268" i="3"/>
  <c r="BR268" i="3"/>
  <c r="BQ268" i="3"/>
  <c r="BP268" i="3"/>
  <c r="BO268" i="3"/>
  <c r="BN268" i="3"/>
  <c r="BM268" i="3"/>
  <c r="BL268" i="3"/>
  <c r="AY268" i="3"/>
  <c r="AX268" i="3"/>
  <c r="AW268" i="3"/>
  <c r="DT267" i="3"/>
  <c r="DR267" i="3"/>
  <c r="DQ267" i="3"/>
  <c r="DK267" i="3"/>
  <c r="DI267" i="3"/>
  <c r="DH267" i="3"/>
  <c r="CU267" i="3"/>
  <c r="CV267" i="3" s="1"/>
  <c r="CT267" i="3"/>
  <c r="CS267" i="3"/>
  <c r="CP267" i="3"/>
  <c r="CJ267" i="3"/>
  <c r="CM267" i="3" s="1"/>
  <c r="CF267" i="3"/>
  <c r="CE267" i="3"/>
  <c r="CD267" i="3"/>
  <c r="CC267" i="3"/>
  <c r="CA267" i="3"/>
  <c r="CB267" i="3" s="1"/>
  <c r="CG267" i="3" s="1"/>
  <c r="BT267" i="3"/>
  <c r="BR267" i="3"/>
  <c r="BQ267" i="3"/>
  <c r="BP267" i="3"/>
  <c r="BO267" i="3"/>
  <c r="BN267" i="3"/>
  <c r="BM267" i="3"/>
  <c r="BS267" i="3" s="1"/>
  <c r="BL267" i="3"/>
  <c r="AY267" i="3"/>
  <c r="AX267" i="3"/>
  <c r="AW267" i="3"/>
  <c r="DT266" i="3"/>
  <c r="DR266" i="3"/>
  <c r="DQ266" i="3"/>
  <c r="DK266" i="3"/>
  <c r="DI266" i="3"/>
  <c r="DH266" i="3"/>
  <c r="CV266" i="3"/>
  <c r="CU266" i="3"/>
  <c r="CS266" i="3"/>
  <c r="CT266" i="3" s="1"/>
  <c r="CP266" i="3"/>
  <c r="CM266" i="3"/>
  <c r="CJ266" i="3"/>
  <c r="CH266" i="3"/>
  <c r="CG266" i="3"/>
  <c r="DS266" i="3" s="1"/>
  <c r="CF266" i="3"/>
  <c r="CE266" i="3"/>
  <c r="CD266" i="3"/>
  <c r="CC266" i="3"/>
  <c r="CB266" i="3"/>
  <c r="CA266" i="3"/>
  <c r="BT266" i="3"/>
  <c r="BS266" i="3"/>
  <c r="BP266" i="3"/>
  <c r="BO266" i="3"/>
  <c r="BN266" i="3"/>
  <c r="BM266" i="3"/>
  <c r="BR266" i="3" s="1"/>
  <c r="BL266" i="3"/>
  <c r="AY266" i="3"/>
  <c r="AX266" i="3"/>
  <c r="AW266" i="3"/>
  <c r="DT265" i="3"/>
  <c r="DR265" i="3"/>
  <c r="DQ265" i="3"/>
  <c r="DK265" i="3"/>
  <c r="DI265" i="3"/>
  <c r="DH265" i="3"/>
  <c r="CU265" i="3"/>
  <c r="CV265" i="3" s="1"/>
  <c r="CT265" i="3"/>
  <c r="CS265" i="3"/>
  <c r="CP265" i="3"/>
  <c r="CM265" i="3"/>
  <c r="CJ265" i="3"/>
  <c r="CF265" i="3"/>
  <c r="CE265" i="3"/>
  <c r="CD265" i="3"/>
  <c r="CC265" i="3"/>
  <c r="CB265" i="3"/>
  <c r="CG265" i="3" s="1"/>
  <c r="CA265" i="3"/>
  <c r="BT265" i="3"/>
  <c r="BP265" i="3"/>
  <c r="BO265" i="3"/>
  <c r="BN265" i="3"/>
  <c r="BM265" i="3"/>
  <c r="BS265" i="3" s="1"/>
  <c r="BL265" i="3"/>
  <c r="AY265" i="3"/>
  <c r="AX265" i="3"/>
  <c r="AW265" i="3"/>
  <c r="DT264" i="3"/>
  <c r="DR264" i="3"/>
  <c r="DQ264" i="3"/>
  <c r="DK264" i="3"/>
  <c r="DI264" i="3"/>
  <c r="DH264" i="3"/>
  <c r="CV264" i="3"/>
  <c r="CU264" i="3"/>
  <c r="CS264" i="3"/>
  <c r="CT264" i="3" s="1"/>
  <c r="CP264" i="3"/>
  <c r="CJ264" i="3"/>
  <c r="CM264" i="3" s="1"/>
  <c r="CF264" i="3"/>
  <c r="CE264" i="3"/>
  <c r="CD264" i="3"/>
  <c r="CC264" i="3"/>
  <c r="CA264" i="3"/>
  <c r="CB264" i="3" s="1"/>
  <c r="CG264" i="3" s="1"/>
  <c r="BT264" i="3"/>
  <c r="BS264" i="3"/>
  <c r="BR264" i="3"/>
  <c r="BQ264" i="3"/>
  <c r="BP264" i="3"/>
  <c r="BO264" i="3"/>
  <c r="BN264" i="3"/>
  <c r="BM264" i="3"/>
  <c r="BL264" i="3"/>
  <c r="AY264" i="3"/>
  <c r="AX264" i="3"/>
  <c r="AW264" i="3"/>
  <c r="DT263" i="3"/>
  <c r="DR263" i="3"/>
  <c r="DQ263" i="3"/>
  <c r="DK263" i="3"/>
  <c r="DI263" i="3"/>
  <c r="DH263" i="3"/>
  <c r="CU263" i="3"/>
  <c r="CV263" i="3" s="1"/>
  <c r="CT263" i="3"/>
  <c r="CS263" i="3"/>
  <c r="CP263" i="3"/>
  <c r="CJ263" i="3"/>
  <c r="CM263" i="3" s="1"/>
  <c r="CF263" i="3"/>
  <c r="CE263" i="3"/>
  <c r="CD263" i="3"/>
  <c r="CC263" i="3"/>
  <c r="CA263" i="3"/>
  <c r="CB263" i="3" s="1"/>
  <c r="CG263" i="3" s="1"/>
  <c r="BT263" i="3"/>
  <c r="BR263" i="3"/>
  <c r="BQ263" i="3"/>
  <c r="BP263" i="3"/>
  <c r="BO263" i="3"/>
  <c r="BN263" i="3"/>
  <c r="BM263" i="3"/>
  <c r="BS263" i="3" s="1"/>
  <c r="BL263" i="3"/>
  <c r="AY263" i="3"/>
  <c r="AX263" i="3"/>
  <c r="AW263" i="3"/>
  <c r="DT262" i="3"/>
  <c r="DR262" i="3"/>
  <c r="DQ262" i="3"/>
  <c r="DK262" i="3"/>
  <c r="DI262" i="3"/>
  <c r="DH262" i="3"/>
  <c r="CV262" i="3"/>
  <c r="CU262" i="3"/>
  <c r="CS262" i="3"/>
  <c r="CT262" i="3" s="1"/>
  <c r="CP262" i="3"/>
  <c r="CM262" i="3"/>
  <c r="CJ262" i="3"/>
  <c r="CH262" i="3"/>
  <c r="CG262" i="3"/>
  <c r="DS262" i="3" s="1"/>
  <c r="CF262" i="3"/>
  <c r="CE262" i="3"/>
  <c r="CD262" i="3"/>
  <c r="CC262" i="3"/>
  <c r="CB262" i="3"/>
  <c r="CA262" i="3"/>
  <c r="BT262" i="3"/>
  <c r="BS262" i="3"/>
  <c r="BP262" i="3"/>
  <c r="BO262" i="3"/>
  <c r="BN262" i="3"/>
  <c r="BM262" i="3"/>
  <c r="BR262" i="3" s="1"/>
  <c r="BL262" i="3"/>
  <c r="AY262" i="3"/>
  <c r="AX262" i="3"/>
  <c r="AW262" i="3"/>
  <c r="DT261" i="3"/>
  <c r="DR261" i="3"/>
  <c r="DQ261" i="3"/>
  <c r="DK261" i="3"/>
  <c r="DI261" i="3"/>
  <c r="DH261" i="3"/>
  <c r="CU261" i="3"/>
  <c r="CV261" i="3" s="1"/>
  <c r="CT261" i="3"/>
  <c r="CS261" i="3"/>
  <c r="CP261" i="3"/>
  <c r="CM261" i="3"/>
  <c r="CJ261" i="3"/>
  <c r="CF261" i="3"/>
  <c r="CE261" i="3"/>
  <c r="CD261" i="3"/>
  <c r="CC261" i="3"/>
  <c r="CB261" i="3"/>
  <c r="CG261" i="3" s="1"/>
  <c r="CA261" i="3"/>
  <c r="BT261" i="3"/>
  <c r="BP261" i="3"/>
  <c r="BO261" i="3"/>
  <c r="BN261" i="3"/>
  <c r="BM261" i="3"/>
  <c r="BS261" i="3" s="1"/>
  <c r="BL261" i="3"/>
  <c r="AY261" i="3"/>
  <c r="AX261" i="3"/>
  <c r="AW261" i="3"/>
  <c r="DT260" i="3"/>
  <c r="DR260" i="3"/>
  <c r="DQ260" i="3"/>
  <c r="DK260" i="3"/>
  <c r="DI260" i="3"/>
  <c r="DH260" i="3"/>
  <c r="CV260" i="3"/>
  <c r="CU260" i="3"/>
  <c r="CS260" i="3"/>
  <c r="CT260" i="3" s="1"/>
  <c r="CP260" i="3"/>
  <c r="CJ260" i="3"/>
  <c r="CM260" i="3" s="1"/>
  <c r="CF260" i="3"/>
  <c r="CE260" i="3"/>
  <c r="CD260" i="3"/>
  <c r="CC260" i="3"/>
  <c r="CA260" i="3"/>
  <c r="CB260" i="3" s="1"/>
  <c r="CG260" i="3" s="1"/>
  <c r="BT260" i="3"/>
  <c r="BS260" i="3"/>
  <c r="BR260" i="3"/>
  <c r="BQ260" i="3"/>
  <c r="BP260" i="3"/>
  <c r="BO260" i="3"/>
  <c r="BN260" i="3"/>
  <c r="BM260" i="3"/>
  <c r="BL260" i="3"/>
  <c r="AY260" i="3"/>
  <c r="AX260" i="3"/>
  <c r="AW260" i="3"/>
  <c r="DT259" i="3"/>
  <c r="DR259" i="3"/>
  <c r="DQ259" i="3"/>
  <c r="DK259" i="3"/>
  <c r="DI259" i="3"/>
  <c r="DH259" i="3"/>
  <c r="CU259" i="3"/>
  <c r="CV259" i="3" s="1"/>
  <c r="CT259" i="3"/>
  <c r="CS259" i="3"/>
  <c r="CP259" i="3"/>
  <c r="CJ259" i="3"/>
  <c r="CM259" i="3" s="1"/>
  <c r="CF259" i="3"/>
  <c r="CE259" i="3"/>
  <c r="CD259" i="3"/>
  <c r="CC259" i="3"/>
  <c r="CA259" i="3"/>
  <c r="CB259" i="3" s="1"/>
  <c r="CG259" i="3" s="1"/>
  <c r="BT259" i="3"/>
  <c r="BR259" i="3"/>
  <c r="BQ259" i="3"/>
  <c r="BP259" i="3"/>
  <c r="BO259" i="3"/>
  <c r="BN259" i="3"/>
  <c r="BM259" i="3"/>
  <c r="BS259" i="3" s="1"/>
  <c r="BL259" i="3"/>
  <c r="AY259" i="3"/>
  <c r="AX259" i="3"/>
  <c r="AW259" i="3"/>
  <c r="DT258" i="3"/>
  <c r="DR258" i="3"/>
  <c r="DQ258" i="3"/>
  <c r="DK258" i="3"/>
  <c r="DI258" i="3"/>
  <c r="DH258" i="3"/>
  <c r="CV258" i="3"/>
  <c r="CU258" i="3"/>
  <c r="CS258" i="3"/>
  <c r="CT258" i="3" s="1"/>
  <c r="CP258" i="3"/>
  <c r="CM258" i="3"/>
  <c r="CJ258" i="3"/>
  <c r="CH258" i="3"/>
  <c r="CG258" i="3"/>
  <c r="DS258" i="3" s="1"/>
  <c r="CF258" i="3"/>
  <c r="CE258" i="3"/>
  <c r="CD258" i="3"/>
  <c r="CC258" i="3"/>
  <c r="CB258" i="3"/>
  <c r="CA258" i="3"/>
  <c r="BT258" i="3"/>
  <c r="BS258" i="3"/>
  <c r="BP258" i="3"/>
  <c r="BO258" i="3"/>
  <c r="BN258" i="3"/>
  <c r="BM258" i="3"/>
  <c r="BR258" i="3" s="1"/>
  <c r="BL258" i="3"/>
  <c r="AY258" i="3"/>
  <c r="AX258" i="3"/>
  <c r="AW258" i="3"/>
  <c r="DT257" i="3"/>
  <c r="DR257" i="3"/>
  <c r="DQ257" i="3"/>
  <c r="DK257" i="3"/>
  <c r="DI257" i="3"/>
  <c r="DH257" i="3"/>
  <c r="CU257" i="3"/>
  <c r="CV257" i="3" s="1"/>
  <c r="CT257" i="3"/>
  <c r="CS257" i="3"/>
  <c r="CP257" i="3"/>
  <c r="CM257" i="3"/>
  <c r="CJ257" i="3"/>
  <c r="CF257" i="3"/>
  <c r="CE257" i="3"/>
  <c r="CD257" i="3"/>
  <c r="CC257" i="3"/>
  <c r="CB257" i="3"/>
  <c r="CG257" i="3" s="1"/>
  <c r="CA257" i="3"/>
  <c r="BT257" i="3"/>
  <c r="BP257" i="3"/>
  <c r="BO257" i="3"/>
  <c r="BN257" i="3"/>
  <c r="BM257" i="3"/>
  <c r="BS257" i="3" s="1"/>
  <c r="BL257" i="3"/>
  <c r="AY257" i="3"/>
  <c r="AX257" i="3"/>
  <c r="AW257" i="3"/>
  <c r="DT256" i="3"/>
  <c r="DR256" i="3"/>
  <c r="DQ256" i="3"/>
  <c r="DK256" i="3"/>
  <c r="DI256" i="3"/>
  <c r="DH256" i="3"/>
  <c r="CV256" i="3"/>
  <c r="CU256" i="3"/>
  <c r="CS256" i="3"/>
  <c r="CT256" i="3" s="1"/>
  <c r="CP256" i="3"/>
  <c r="CJ256" i="3"/>
  <c r="CM256" i="3" s="1"/>
  <c r="CF256" i="3"/>
  <c r="CE256" i="3"/>
  <c r="CD256" i="3"/>
  <c r="CC256" i="3"/>
  <c r="CA256" i="3"/>
  <c r="CB256" i="3" s="1"/>
  <c r="CG256" i="3" s="1"/>
  <c r="BT256" i="3"/>
  <c r="BS256" i="3"/>
  <c r="BR256" i="3"/>
  <c r="BQ256" i="3"/>
  <c r="BP256" i="3"/>
  <c r="BO256" i="3"/>
  <c r="BN256" i="3"/>
  <c r="BM256" i="3"/>
  <c r="BL256" i="3"/>
  <c r="AY256" i="3"/>
  <c r="AX256" i="3"/>
  <c r="AW256" i="3"/>
  <c r="DT255" i="3"/>
  <c r="DR255" i="3"/>
  <c r="DQ255" i="3"/>
  <c r="DK255" i="3"/>
  <c r="DI255" i="3"/>
  <c r="DH255" i="3"/>
  <c r="CU255" i="3"/>
  <c r="CV255" i="3" s="1"/>
  <c r="CT255" i="3"/>
  <c r="CS255" i="3"/>
  <c r="CP255" i="3"/>
  <c r="CJ255" i="3"/>
  <c r="CM255" i="3" s="1"/>
  <c r="CF255" i="3"/>
  <c r="CE255" i="3"/>
  <c r="CD255" i="3"/>
  <c r="CC255" i="3"/>
  <c r="CA255" i="3"/>
  <c r="CB255" i="3" s="1"/>
  <c r="CG255" i="3" s="1"/>
  <c r="BT255" i="3"/>
  <c r="BR255" i="3"/>
  <c r="BQ255" i="3"/>
  <c r="BP255" i="3"/>
  <c r="BO255" i="3"/>
  <c r="BN255" i="3"/>
  <c r="BM255" i="3"/>
  <c r="BS255" i="3" s="1"/>
  <c r="BL255" i="3"/>
  <c r="AY255" i="3"/>
  <c r="AX255" i="3"/>
  <c r="AW255" i="3"/>
  <c r="DT254" i="3"/>
  <c r="DR254" i="3"/>
  <c r="DQ254" i="3"/>
  <c r="DK254" i="3"/>
  <c r="DI254" i="3"/>
  <c r="DH254" i="3"/>
  <c r="CV254" i="3"/>
  <c r="CU254" i="3"/>
  <c r="CS254" i="3"/>
  <c r="CT254" i="3" s="1"/>
  <c r="CP254" i="3"/>
  <c r="CM254" i="3"/>
  <c r="CJ254" i="3"/>
  <c r="CH254" i="3"/>
  <c r="CG254" i="3"/>
  <c r="DS254" i="3" s="1"/>
  <c r="CF254" i="3"/>
  <c r="CE254" i="3"/>
  <c r="CD254" i="3"/>
  <c r="CC254" i="3"/>
  <c r="CB254" i="3"/>
  <c r="CA254" i="3"/>
  <c r="BT254" i="3"/>
  <c r="BS254" i="3"/>
  <c r="BP254" i="3"/>
  <c r="BO254" i="3"/>
  <c r="BN254" i="3"/>
  <c r="BM254" i="3"/>
  <c r="BR254" i="3" s="1"/>
  <c r="BL254" i="3"/>
  <c r="AY254" i="3"/>
  <c r="AX254" i="3"/>
  <c r="AW254" i="3"/>
  <c r="DT253" i="3"/>
  <c r="DR253" i="3"/>
  <c r="DQ253" i="3"/>
  <c r="DK253" i="3"/>
  <c r="DI253" i="3"/>
  <c r="DH253" i="3"/>
  <c r="CU253" i="3"/>
  <c r="CV253" i="3" s="1"/>
  <c r="CT253" i="3"/>
  <c r="CS253" i="3"/>
  <c r="CP253" i="3"/>
  <c r="CM253" i="3"/>
  <c r="CJ253" i="3"/>
  <c r="CF253" i="3"/>
  <c r="CE253" i="3"/>
  <c r="CD253" i="3"/>
  <c r="CC253" i="3"/>
  <c r="CB253" i="3"/>
  <c r="CG253" i="3" s="1"/>
  <c r="CA253" i="3"/>
  <c r="BT253" i="3"/>
  <c r="BP253" i="3"/>
  <c r="BO253" i="3"/>
  <c r="BN253" i="3"/>
  <c r="BM253" i="3"/>
  <c r="BS253" i="3" s="1"/>
  <c r="BL253" i="3"/>
  <c r="AY253" i="3"/>
  <c r="AX253" i="3"/>
  <c r="AW253" i="3"/>
  <c r="DT252" i="3"/>
  <c r="DR252" i="3"/>
  <c r="DQ252" i="3"/>
  <c r="DK252" i="3"/>
  <c r="DI252" i="3"/>
  <c r="DH252" i="3"/>
  <c r="CV252" i="3"/>
  <c r="CU252" i="3"/>
  <c r="CS252" i="3"/>
  <c r="CT252" i="3" s="1"/>
  <c r="CP252" i="3"/>
  <c r="CJ252" i="3"/>
  <c r="CM252" i="3" s="1"/>
  <c r="CF252" i="3"/>
  <c r="CE252" i="3"/>
  <c r="CD252" i="3"/>
  <c r="CC252" i="3"/>
  <c r="CA252" i="3"/>
  <c r="CB252" i="3" s="1"/>
  <c r="CG252" i="3" s="1"/>
  <c r="BT252" i="3"/>
  <c r="BS252" i="3"/>
  <c r="BR252" i="3"/>
  <c r="BQ252" i="3"/>
  <c r="BP252" i="3"/>
  <c r="BO252" i="3"/>
  <c r="BN252" i="3"/>
  <c r="BM252" i="3"/>
  <c r="BL252" i="3"/>
  <c r="AY252" i="3"/>
  <c r="AX252" i="3"/>
  <c r="AW252" i="3"/>
  <c r="DT251" i="3"/>
  <c r="DR251" i="3"/>
  <c r="DQ251" i="3"/>
  <c r="DK251" i="3"/>
  <c r="DI251" i="3"/>
  <c r="DH251" i="3"/>
  <c r="CU251" i="3"/>
  <c r="CV251" i="3" s="1"/>
  <c r="CT251" i="3"/>
  <c r="CS251" i="3"/>
  <c r="CP251" i="3"/>
  <c r="CJ251" i="3"/>
  <c r="CM251" i="3" s="1"/>
  <c r="CF251" i="3"/>
  <c r="CE251" i="3"/>
  <c r="CD251" i="3"/>
  <c r="CC251" i="3"/>
  <c r="CA251" i="3"/>
  <c r="CB251" i="3" s="1"/>
  <c r="CG251" i="3" s="1"/>
  <c r="BT251" i="3"/>
  <c r="BR251" i="3"/>
  <c r="BQ251" i="3"/>
  <c r="BP251" i="3"/>
  <c r="BO251" i="3"/>
  <c r="BN251" i="3"/>
  <c r="BM251" i="3"/>
  <c r="BS251" i="3" s="1"/>
  <c r="BL251" i="3"/>
  <c r="AY251" i="3"/>
  <c r="AX251" i="3"/>
  <c r="AW251" i="3"/>
  <c r="DT250" i="3"/>
  <c r="DR250" i="3"/>
  <c r="DQ250" i="3"/>
  <c r="DK250" i="3"/>
  <c r="DI250" i="3"/>
  <c r="DH250" i="3"/>
  <c r="CV250" i="3"/>
  <c r="CU250" i="3"/>
  <c r="CS250" i="3"/>
  <c r="CT250" i="3" s="1"/>
  <c r="CP250" i="3"/>
  <c r="CM250" i="3"/>
  <c r="CJ250" i="3"/>
  <c r="CH250" i="3"/>
  <c r="CG250" i="3"/>
  <c r="DS250" i="3" s="1"/>
  <c r="CF250" i="3"/>
  <c r="CE250" i="3"/>
  <c r="CD250" i="3"/>
  <c r="CC250" i="3"/>
  <c r="CB250" i="3"/>
  <c r="CA250" i="3"/>
  <c r="BT250" i="3"/>
  <c r="BS250" i="3"/>
  <c r="BP250" i="3"/>
  <c r="BO250" i="3"/>
  <c r="BN250" i="3"/>
  <c r="BM250" i="3"/>
  <c r="BR250" i="3" s="1"/>
  <c r="BL250" i="3"/>
  <c r="AY250" i="3"/>
  <c r="AX250" i="3"/>
  <c r="AW250" i="3"/>
  <c r="DT249" i="3"/>
  <c r="DR249" i="3"/>
  <c r="DQ249" i="3"/>
  <c r="DK249" i="3"/>
  <c r="DI249" i="3"/>
  <c r="DH249" i="3"/>
  <c r="CU249" i="3"/>
  <c r="CV249" i="3" s="1"/>
  <c r="CT249" i="3"/>
  <c r="CS249" i="3"/>
  <c r="CP249" i="3"/>
  <c r="CM249" i="3"/>
  <c r="CJ249" i="3"/>
  <c r="CF249" i="3"/>
  <c r="CE249" i="3"/>
  <c r="CD249" i="3"/>
  <c r="CC249" i="3"/>
  <c r="CB249" i="3"/>
  <c r="CG249" i="3" s="1"/>
  <c r="CA249" i="3"/>
  <c r="BT249" i="3"/>
  <c r="BP249" i="3"/>
  <c r="BO249" i="3"/>
  <c r="BN249" i="3"/>
  <c r="BM249" i="3"/>
  <c r="BS249" i="3" s="1"/>
  <c r="BL249" i="3"/>
  <c r="AY249" i="3"/>
  <c r="AX249" i="3"/>
  <c r="AW249" i="3"/>
  <c r="DT248" i="3"/>
  <c r="DR248" i="3"/>
  <c r="DQ248" i="3"/>
  <c r="DK248" i="3"/>
  <c r="DI248" i="3"/>
  <c r="DH248" i="3"/>
  <c r="CV248" i="3"/>
  <c r="CU248" i="3"/>
  <c r="CS248" i="3"/>
  <c r="CT248" i="3" s="1"/>
  <c r="CP248" i="3"/>
  <c r="CM248" i="3"/>
  <c r="CJ248" i="3"/>
  <c r="CG248" i="3"/>
  <c r="CH248" i="3" s="1"/>
  <c r="CF248" i="3"/>
  <c r="CE248" i="3"/>
  <c r="CD248" i="3"/>
  <c r="CC248" i="3"/>
  <c r="CB248" i="3"/>
  <c r="CA248" i="3"/>
  <c r="BT248" i="3"/>
  <c r="BS248" i="3"/>
  <c r="BR248" i="3"/>
  <c r="BQ248" i="3"/>
  <c r="BP248" i="3"/>
  <c r="BO248" i="3"/>
  <c r="BN248" i="3"/>
  <c r="BM248" i="3"/>
  <c r="BL248" i="3"/>
  <c r="AY248" i="3"/>
  <c r="AX248" i="3"/>
  <c r="AW248" i="3"/>
  <c r="DT247" i="3"/>
  <c r="DR247" i="3"/>
  <c r="DQ247" i="3"/>
  <c r="DK247" i="3"/>
  <c r="DI247" i="3"/>
  <c r="DH247" i="3"/>
  <c r="CU247" i="3"/>
  <c r="CV247" i="3" s="1"/>
  <c r="CT247" i="3"/>
  <c r="CS247" i="3"/>
  <c r="CP247" i="3"/>
  <c r="CJ247" i="3"/>
  <c r="CM247" i="3" s="1"/>
  <c r="CF247" i="3"/>
  <c r="CE247" i="3"/>
  <c r="CD247" i="3"/>
  <c r="CC247" i="3"/>
  <c r="CA247" i="3"/>
  <c r="CB247" i="3" s="1"/>
  <c r="CG247" i="3" s="1"/>
  <c r="BT247" i="3"/>
  <c r="BR247" i="3"/>
  <c r="BQ247" i="3"/>
  <c r="BP247" i="3"/>
  <c r="BO247" i="3"/>
  <c r="BN247" i="3"/>
  <c r="BM247" i="3"/>
  <c r="BS247" i="3" s="1"/>
  <c r="BL247" i="3"/>
  <c r="AY247" i="3"/>
  <c r="AX247" i="3"/>
  <c r="AW247" i="3"/>
  <c r="DT246" i="3"/>
  <c r="DR246" i="3"/>
  <c r="DQ246" i="3"/>
  <c r="DK246" i="3"/>
  <c r="DI246" i="3"/>
  <c r="DH246" i="3"/>
  <c r="CV246" i="3"/>
  <c r="CU246" i="3"/>
  <c r="CS246" i="3"/>
  <c r="CT246" i="3" s="1"/>
  <c r="CP246" i="3"/>
  <c r="CM246" i="3"/>
  <c r="CJ246" i="3"/>
  <c r="CH246" i="3"/>
  <c r="CG246" i="3"/>
  <c r="DS246" i="3" s="1"/>
  <c r="CF246" i="3"/>
  <c r="CE246" i="3"/>
  <c r="CD246" i="3"/>
  <c r="CC246" i="3"/>
  <c r="CB246" i="3"/>
  <c r="CA246" i="3"/>
  <c r="BT246" i="3"/>
  <c r="BS246" i="3"/>
  <c r="BP246" i="3"/>
  <c r="BO246" i="3"/>
  <c r="BN246" i="3"/>
  <c r="BM246" i="3"/>
  <c r="BR246" i="3" s="1"/>
  <c r="BL246" i="3"/>
  <c r="AY246" i="3"/>
  <c r="AX246" i="3"/>
  <c r="AW246" i="3"/>
  <c r="DT245" i="3"/>
  <c r="DR245" i="3"/>
  <c r="DQ245" i="3"/>
  <c r="DK245" i="3"/>
  <c r="DI245" i="3"/>
  <c r="DH245" i="3"/>
  <c r="CU245" i="3"/>
  <c r="CV245" i="3" s="1"/>
  <c r="CT245" i="3"/>
  <c r="CS245" i="3"/>
  <c r="CP245" i="3"/>
  <c r="CM245" i="3"/>
  <c r="CJ245" i="3"/>
  <c r="CF245" i="3"/>
  <c r="CE245" i="3"/>
  <c r="CD245" i="3"/>
  <c r="CC245" i="3"/>
  <c r="CB245" i="3"/>
  <c r="CG245" i="3" s="1"/>
  <c r="CA245" i="3"/>
  <c r="BT245" i="3"/>
  <c r="BP245" i="3"/>
  <c r="BO245" i="3"/>
  <c r="BN245" i="3"/>
  <c r="BM245" i="3"/>
  <c r="BS245" i="3" s="1"/>
  <c r="BL245" i="3"/>
  <c r="AY245" i="3"/>
  <c r="AX245" i="3"/>
  <c r="AW245" i="3"/>
  <c r="DT244" i="3"/>
  <c r="DR244" i="3"/>
  <c r="DQ244" i="3"/>
  <c r="DK244" i="3"/>
  <c r="DI244" i="3"/>
  <c r="DH244" i="3"/>
  <c r="CV244" i="3"/>
  <c r="CU244" i="3"/>
  <c r="CS244" i="3"/>
  <c r="CT244" i="3" s="1"/>
  <c r="CP244" i="3"/>
  <c r="CM244" i="3"/>
  <c r="CJ244" i="3"/>
  <c r="CG244" i="3"/>
  <c r="CH244" i="3" s="1"/>
  <c r="CF244" i="3"/>
  <c r="CE244" i="3"/>
  <c r="CD244" i="3"/>
  <c r="CC244" i="3"/>
  <c r="CB244" i="3"/>
  <c r="CA244" i="3"/>
  <c r="BT244" i="3"/>
  <c r="BS244" i="3"/>
  <c r="BR244" i="3"/>
  <c r="BQ244" i="3"/>
  <c r="BP244" i="3"/>
  <c r="BO244" i="3"/>
  <c r="BN244" i="3"/>
  <c r="BM244" i="3"/>
  <c r="BL244" i="3"/>
  <c r="AY244" i="3"/>
  <c r="AX244" i="3"/>
  <c r="AW244" i="3"/>
  <c r="DT243" i="3"/>
  <c r="DR243" i="3"/>
  <c r="DQ243" i="3"/>
  <c r="DK243" i="3"/>
  <c r="DI243" i="3"/>
  <c r="DH243" i="3"/>
  <c r="CU243" i="3"/>
  <c r="CV243" i="3" s="1"/>
  <c r="CT243" i="3"/>
  <c r="CS243" i="3"/>
  <c r="CP243" i="3"/>
  <c r="CJ243" i="3"/>
  <c r="CM243" i="3" s="1"/>
  <c r="CF243" i="3"/>
  <c r="CE243" i="3"/>
  <c r="CD243" i="3"/>
  <c r="CC243" i="3"/>
  <c r="CA243" i="3"/>
  <c r="CB243" i="3" s="1"/>
  <c r="CG243" i="3" s="1"/>
  <c r="BT243" i="3"/>
  <c r="BR243" i="3"/>
  <c r="BQ243" i="3"/>
  <c r="BP243" i="3"/>
  <c r="BO243" i="3"/>
  <c r="BN243" i="3"/>
  <c r="BM243" i="3"/>
  <c r="BS243" i="3" s="1"/>
  <c r="BL243" i="3"/>
  <c r="AY243" i="3"/>
  <c r="AX243" i="3"/>
  <c r="AW243" i="3"/>
  <c r="DT242" i="3"/>
  <c r="DR242" i="3"/>
  <c r="DQ242" i="3"/>
  <c r="DK242" i="3"/>
  <c r="DI242" i="3"/>
  <c r="DH242" i="3"/>
  <c r="CV242" i="3"/>
  <c r="CU242" i="3"/>
  <c r="CS242" i="3"/>
  <c r="CT242" i="3" s="1"/>
  <c r="CP242" i="3"/>
  <c r="CM242" i="3"/>
  <c r="CJ242" i="3"/>
  <c r="CH242" i="3"/>
  <c r="CG242" i="3"/>
  <c r="DS242" i="3" s="1"/>
  <c r="CF242" i="3"/>
  <c r="CE242" i="3"/>
  <c r="CD242" i="3"/>
  <c r="CC242" i="3"/>
  <c r="CB242" i="3"/>
  <c r="CA242" i="3"/>
  <c r="BT242" i="3"/>
  <c r="BS242" i="3"/>
  <c r="BP242" i="3"/>
  <c r="BO242" i="3"/>
  <c r="BN242" i="3"/>
  <c r="BM242" i="3"/>
  <c r="BR242" i="3" s="1"/>
  <c r="BL242" i="3"/>
  <c r="AY242" i="3"/>
  <c r="AX242" i="3"/>
  <c r="AW242" i="3"/>
  <c r="DT241" i="3"/>
  <c r="DR241" i="3"/>
  <c r="DQ241" i="3"/>
  <c r="DK241" i="3"/>
  <c r="DI241" i="3"/>
  <c r="DH241" i="3"/>
  <c r="CU241" i="3"/>
  <c r="CV241" i="3" s="1"/>
  <c r="CT241" i="3"/>
  <c r="CS241" i="3"/>
  <c r="CP241" i="3"/>
  <c r="CM241" i="3"/>
  <c r="CJ241" i="3"/>
  <c r="CF241" i="3"/>
  <c r="CE241" i="3"/>
  <c r="CD241" i="3"/>
  <c r="CC241" i="3"/>
  <c r="CB241" i="3"/>
  <c r="CG241" i="3" s="1"/>
  <c r="CA241" i="3"/>
  <c r="BT241" i="3"/>
  <c r="BP241" i="3"/>
  <c r="BO241" i="3"/>
  <c r="BN241" i="3"/>
  <c r="BM241" i="3"/>
  <c r="BS241" i="3" s="1"/>
  <c r="BL241" i="3"/>
  <c r="AY241" i="3"/>
  <c r="AX241" i="3"/>
  <c r="AW241" i="3"/>
  <c r="DT240" i="3"/>
  <c r="DR240" i="3"/>
  <c r="DQ240" i="3"/>
  <c r="DK240" i="3"/>
  <c r="DI240" i="3"/>
  <c r="DH240" i="3"/>
  <c r="CV240" i="3"/>
  <c r="CU240" i="3"/>
  <c r="CS240" i="3"/>
  <c r="CT240" i="3" s="1"/>
  <c r="CP240" i="3"/>
  <c r="CM240" i="3"/>
  <c r="CJ240" i="3"/>
  <c r="CG240" i="3"/>
  <c r="CH240" i="3" s="1"/>
  <c r="CF240" i="3"/>
  <c r="CE240" i="3"/>
  <c r="CD240" i="3"/>
  <c r="CC240" i="3"/>
  <c r="CB240" i="3"/>
  <c r="CA240" i="3"/>
  <c r="BT240" i="3"/>
  <c r="BS240" i="3"/>
  <c r="BR240" i="3"/>
  <c r="BQ240" i="3"/>
  <c r="BP240" i="3"/>
  <c r="BO240" i="3"/>
  <c r="BN240" i="3"/>
  <c r="BM240" i="3"/>
  <c r="BL240" i="3"/>
  <c r="AY240" i="3"/>
  <c r="AX240" i="3"/>
  <c r="AW240" i="3"/>
  <c r="DT239" i="3"/>
  <c r="DR239" i="3"/>
  <c r="DQ239" i="3"/>
  <c r="DK239" i="3"/>
  <c r="DI239" i="3"/>
  <c r="DH239" i="3"/>
  <c r="CU239" i="3"/>
  <c r="CV239" i="3" s="1"/>
  <c r="CT239" i="3"/>
  <c r="CS239" i="3"/>
  <c r="CP239" i="3"/>
  <c r="CJ239" i="3"/>
  <c r="CM239" i="3" s="1"/>
  <c r="CF239" i="3"/>
  <c r="CE239" i="3"/>
  <c r="CD239" i="3"/>
  <c r="CC239" i="3"/>
  <c r="CA239" i="3"/>
  <c r="CB239" i="3" s="1"/>
  <c r="CG239" i="3" s="1"/>
  <c r="BT239" i="3"/>
  <c r="BR239" i="3"/>
  <c r="BQ239" i="3"/>
  <c r="BP239" i="3"/>
  <c r="BO239" i="3"/>
  <c r="BN239" i="3"/>
  <c r="BM239" i="3"/>
  <c r="BS239" i="3" s="1"/>
  <c r="BL239" i="3"/>
  <c r="AY239" i="3"/>
  <c r="AX239" i="3"/>
  <c r="AW239" i="3"/>
  <c r="DT238" i="3"/>
  <c r="DR238" i="3"/>
  <c r="DQ238" i="3"/>
  <c r="DK238" i="3"/>
  <c r="DI238" i="3"/>
  <c r="DH238" i="3"/>
  <c r="CV238" i="3"/>
  <c r="CU238" i="3"/>
  <c r="CS238" i="3"/>
  <c r="CT238" i="3" s="1"/>
  <c r="CP238" i="3"/>
  <c r="CM238" i="3"/>
  <c r="CJ238" i="3"/>
  <c r="CH238" i="3"/>
  <c r="CG238" i="3"/>
  <c r="DS238" i="3" s="1"/>
  <c r="CF238" i="3"/>
  <c r="CE238" i="3"/>
  <c r="CD238" i="3"/>
  <c r="CC238" i="3"/>
  <c r="CB238" i="3"/>
  <c r="CA238" i="3"/>
  <c r="BT238" i="3"/>
  <c r="BS238" i="3"/>
  <c r="BP238" i="3"/>
  <c r="BO238" i="3"/>
  <c r="BN238" i="3"/>
  <c r="BM238" i="3"/>
  <c r="BR238" i="3" s="1"/>
  <c r="BL238" i="3"/>
  <c r="AY238" i="3"/>
  <c r="AX238" i="3"/>
  <c r="AW238" i="3"/>
  <c r="DT237" i="3"/>
  <c r="DR237" i="3"/>
  <c r="DQ237" i="3"/>
  <c r="DK237" i="3"/>
  <c r="DI237" i="3"/>
  <c r="DH237" i="3"/>
  <c r="CU237" i="3"/>
  <c r="CV237" i="3" s="1"/>
  <c r="CT237" i="3"/>
  <c r="CS237" i="3"/>
  <c r="CP237" i="3"/>
  <c r="CM237" i="3"/>
  <c r="CJ237" i="3"/>
  <c r="CF237" i="3"/>
  <c r="CE237" i="3"/>
  <c r="CD237" i="3"/>
  <c r="CC237" i="3"/>
  <c r="CB237" i="3"/>
  <c r="CG237" i="3" s="1"/>
  <c r="CA237" i="3"/>
  <c r="BT237" i="3"/>
  <c r="BP237" i="3"/>
  <c r="BO237" i="3"/>
  <c r="BN237" i="3"/>
  <c r="BM237" i="3"/>
  <c r="BS237" i="3" s="1"/>
  <c r="BL237" i="3"/>
  <c r="AY237" i="3"/>
  <c r="AX237" i="3"/>
  <c r="AW237" i="3"/>
  <c r="DT236" i="3"/>
  <c r="DR236" i="3"/>
  <c r="DQ236" i="3"/>
  <c r="DK236" i="3"/>
  <c r="DI236" i="3"/>
  <c r="DH236" i="3"/>
  <c r="CV236" i="3"/>
  <c r="CU236" i="3"/>
  <c r="CS236" i="3"/>
  <c r="CT236" i="3" s="1"/>
  <c r="CP236" i="3"/>
  <c r="CJ236" i="3"/>
  <c r="CM236" i="3" s="1"/>
  <c r="CF236" i="3"/>
  <c r="CE236" i="3"/>
  <c r="CD236" i="3"/>
  <c r="CC236" i="3"/>
  <c r="CA236" i="3"/>
  <c r="CB236" i="3" s="1"/>
  <c r="CG236" i="3" s="1"/>
  <c r="BT236" i="3"/>
  <c r="BS236" i="3"/>
  <c r="BR236" i="3"/>
  <c r="BQ236" i="3"/>
  <c r="BP236" i="3"/>
  <c r="BO236" i="3"/>
  <c r="BN236" i="3"/>
  <c r="BM236" i="3"/>
  <c r="BL236" i="3"/>
  <c r="AY236" i="3"/>
  <c r="AX236" i="3"/>
  <c r="AW236" i="3"/>
  <c r="DT235" i="3"/>
  <c r="DR235" i="3"/>
  <c r="DQ235" i="3"/>
  <c r="DK235" i="3"/>
  <c r="DI235" i="3"/>
  <c r="DH235" i="3"/>
  <c r="CU235" i="3"/>
  <c r="CV235" i="3" s="1"/>
  <c r="CT235" i="3"/>
  <c r="CS235" i="3"/>
  <c r="CP235" i="3"/>
  <c r="CJ235" i="3"/>
  <c r="CM235" i="3" s="1"/>
  <c r="CF235" i="3"/>
  <c r="CE235" i="3"/>
  <c r="CD235" i="3"/>
  <c r="CC235" i="3"/>
  <c r="CA235" i="3"/>
  <c r="CB235" i="3" s="1"/>
  <c r="CG235" i="3" s="1"/>
  <c r="BT235" i="3"/>
  <c r="BR235" i="3"/>
  <c r="BQ235" i="3"/>
  <c r="BP235" i="3"/>
  <c r="BO235" i="3"/>
  <c r="BN235" i="3"/>
  <c r="BM235" i="3"/>
  <c r="BS235" i="3" s="1"/>
  <c r="BL235" i="3"/>
  <c r="AY235" i="3"/>
  <c r="AX235" i="3"/>
  <c r="AW235" i="3"/>
  <c r="DT234" i="3"/>
  <c r="DR234" i="3"/>
  <c r="DQ234" i="3"/>
  <c r="DK234" i="3"/>
  <c r="DI234" i="3"/>
  <c r="DH234" i="3"/>
  <c r="CV234" i="3"/>
  <c r="CU234" i="3"/>
  <c r="CS234" i="3"/>
  <c r="CT234" i="3" s="1"/>
  <c r="CP234" i="3"/>
  <c r="CM234" i="3"/>
  <c r="CJ234" i="3"/>
  <c r="CH234" i="3"/>
  <c r="CG234" i="3"/>
  <c r="DS234" i="3" s="1"/>
  <c r="CF234" i="3"/>
  <c r="CE234" i="3"/>
  <c r="CD234" i="3"/>
  <c r="CC234" i="3"/>
  <c r="CB234" i="3"/>
  <c r="CA234" i="3"/>
  <c r="BT234" i="3"/>
  <c r="BS234" i="3"/>
  <c r="BP234" i="3"/>
  <c r="BO234" i="3"/>
  <c r="BN234" i="3"/>
  <c r="BM234" i="3"/>
  <c r="BR234" i="3" s="1"/>
  <c r="BL234" i="3"/>
  <c r="AY234" i="3"/>
  <c r="AX234" i="3"/>
  <c r="AW234" i="3"/>
  <c r="DT233" i="3"/>
  <c r="DR233" i="3"/>
  <c r="DQ233" i="3"/>
  <c r="DK233" i="3"/>
  <c r="DI233" i="3"/>
  <c r="DH233" i="3"/>
  <c r="CU233" i="3"/>
  <c r="CV233" i="3" s="1"/>
  <c r="CT233" i="3"/>
  <c r="CS233" i="3"/>
  <c r="CP233" i="3"/>
  <c r="CM233" i="3"/>
  <c r="CJ233" i="3"/>
  <c r="CF233" i="3"/>
  <c r="CE233" i="3"/>
  <c r="CD233" i="3"/>
  <c r="CC233" i="3"/>
  <c r="CA233" i="3"/>
  <c r="CB233" i="3" s="1"/>
  <c r="CG233" i="3" s="1"/>
  <c r="BT233" i="3"/>
  <c r="BP233" i="3"/>
  <c r="BO233" i="3"/>
  <c r="BN233" i="3"/>
  <c r="BM233" i="3"/>
  <c r="BL233" i="3"/>
  <c r="AY233" i="3"/>
  <c r="AX233" i="3"/>
  <c r="AW233" i="3"/>
  <c r="DT232" i="3"/>
  <c r="DR232" i="3"/>
  <c r="DQ232" i="3"/>
  <c r="DK232" i="3"/>
  <c r="DI232" i="3"/>
  <c r="DH232" i="3"/>
  <c r="CV232" i="3"/>
  <c r="CU232" i="3"/>
  <c r="CS232" i="3"/>
  <c r="CT232" i="3" s="1"/>
  <c r="CP232" i="3"/>
  <c r="CJ232" i="3"/>
  <c r="CM232" i="3" s="1"/>
  <c r="CF232" i="3"/>
  <c r="CE232" i="3"/>
  <c r="CD232" i="3"/>
  <c r="CC232" i="3"/>
  <c r="CA232" i="3"/>
  <c r="CB232" i="3" s="1"/>
  <c r="CG232" i="3" s="1"/>
  <c r="BT232" i="3"/>
  <c r="BS232" i="3"/>
  <c r="BR232" i="3"/>
  <c r="BQ232" i="3"/>
  <c r="BP232" i="3"/>
  <c r="BO232" i="3"/>
  <c r="BN232" i="3"/>
  <c r="BM232" i="3"/>
  <c r="BL232" i="3"/>
  <c r="AY232" i="3"/>
  <c r="AX232" i="3"/>
  <c r="AW232" i="3"/>
  <c r="DT231" i="3"/>
  <c r="DR231" i="3"/>
  <c r="DQ231" i="3"/>
  <c r="DK231" i="3"/>
  <c r="DI231" i="3"/>
  <c r="DH231" i="3"/>
  <c r="CU231" i="3"/>
  <c r="CV231" i="3" s="1"/>
  <c r="CT231" i="3"/>
  <c r="CS231" i="3"/>
  <c r="CP231" i="3"/>
  <c r="CJ231" i="3"/>
  <c r="CM231" i="3" s="1"/>
  <c r="CF231" i="3"/>
  <c r="CE231" i="3"/>
  <c r="CD231" i="3"/>
  <c r="CC231" i="3"/>
  <c r="CA231" i="3"/>
  <c r="CB231" i="3" s="1"/>
  <c r="CG231" i="3" s="1"/>
  <c r="CH231" i="3" s="1"/>
  <c r="BT231" i="3"/>
  <c r="BR231" i="3"/>
  <c r="BQ231" i="3"/>
  <c r="BP231" i="3"/>
  <c r="BO231" i="3"/>
  <c r="BN231" i="3"/>
  <c r="BM231" i="3"/>
  <c r="BS231" i="3" s="1"/>
  <c r="BL231" i="3"/>
  <c r="AY231" i="3"/>
  <c r="AX231" i="3"/>
  <c r="AW231" i="3"/>
  <c r="DT230" i="3"/>
  <c r="DR230" i="3"/>
  <c r="DQ230" i="3"/>
  <c r="DK230" i="3"/>
  <c r="DI230" i="3"/>
  <c r="DH230" i="3"/>
  <c r="CV230" i="3"/>
  <c r="CU230" i="3"/>
  <c r="CS230" i="3"/>
  <c r="CT230" i="3" s="1"/>
  <c r="CP230" i="3"/>
  <c r="CM230" i="3"/>
  <c r="CJ230" i="3"/>
  <c r="CH230" i="3"/>
  <c r="CG230" i="3"/>
  <c r="DS230" i="3" s="1"/>
  <c r="CF230" i="3"/>
  <c r="CE230" i="3"/>
  <c r="CD230" i="3"/>
  <c r="CC230" i="3"/>
  <c r="CB230" i="3"/>
  <c r="CA230" i="3"/>
  <c r="BT230" i="3"/>
  <c r="BS230" i="3"/>
  <c r="BP230" i="3"/>
  <c r="BO230" i="3"/>
  <c r="BN230" i="3"/>
  <c r="BM230" i="3"/>
  <c r="BR230" i="3" s="1"/>
  <c r="BL230" i="3"/>
  <c r="AY230" i="3"/>
  <c r="AX230" i="3"/>
  <c r="AW230" i="3"/>
  <c r="DT229" i="3"/>
  <c r="DR229" i="3"/>
  <c r="DQ229" i="3"/>
  <c r="DK229" i="3"/>
  <c r="DI229" i="3"/>
  <c r="DH229" i="3"/>
  <c r="CU229" i="3"/>
  <c r="CV229" i="3" s="1"/>
  <c r="CT229" i="3"/>
  <c r="CS229" i="3"/>
  <c r="CP229" i="3"/>
  <c r="CJ229" i="3"/>
  <c r="CM229" i="3" s="1"/>
  <c r="CF229" i="3"/>
  <c r="CE229" i="3"/>
  <c r="CD229" i="3"/>
  <c r="CC229" i="3"/>
  <c r="CA229" i="3"/>
  <c r="CB229" i="3" s="1"/>
  <c r="CG229" i="3" s="1"/>
  <c r="BT229" i="3"/>
  <c r="BP229" i="3"/>
  <c r="BO229" i="3"/>
  <c r="BN229" i="3"/>
  <c r="BM229" i="3"/>
  <c r="BL229" i="3"/>
  <c r="AY229" i="3"/>
  <c r="AX229" i="3"/>
  <c r="AW229" i="3"/>
  <c r="DT228" i="3"/>
  <c r="DR228" i="3"/>
  <c r="DQ228" i="3"/>
  <c r="DK228" i="3"/>
  <c r="DI228" i="3"/>
  <c r="DH228" i="3"/>
  <c r="CV228" i="3"/>
  <c r="CU228" i="3"/>
  <c r="CS228" i="3"/>
  <c r="CT228" i="3" s="1"/>
  <c r="CP228" i="3"/>
  <c r="CJ228" i="3"/>
  <c r="CM228" i="3" s="1"/>
  <c r="CF228" i="3"/>
  <c r="CE228" i="3"/>
  <c r="CD228" i="3"/>
  <c r="CC228" i="3"/>
  <c r="CA228" i="3"/>
  <c r="CB228" i="3" s="1"/>
  <c r="CG228" i="3" s="1"/>
  <c r="BT228" i="3"/>
  <c r="BS228" i="3"/>
  <c r="BR228" i="3"/>
  <c r="BQ228" i="3"/>
  <c r="BP228" i="3"/>
  <c r="BO228" i="3"/>
  <c r="BN228" i="3"/>
  <c r="BM228" i="3"/>
  <c r="BL228" i="3"/>
  <c r="AY228" i="3"/>
  <c r="AX228" i="3"/>
  <c r="AW228" i="3"/>
  <c r="DT227" i="3"/>
  <c r="DS227" i="3"/>
  <c r="DR227" i="3"/>
  <c r="DQ227" i="3"/>
  <c r="DK227" i="3"/>
  <c r="DI227" i="3"/>
  <c r="DH227" i="3"/>
  <c r="CU227" i="3"/>
  <c r="CV227" i="3" s="1"/>
  <c r="CT227" i="3"/>
  <c r="CS227" i="3"/>
  <c r="CP227" i="3"/>
  <c r="CJ227" i="3"/>
  <c r="CM227" i="3" s="1"/>
  <c r="CF227" i="3"/>
  <c r="CE227" i="3"/>
  <c r="CD227" i="3"/>
  <c r="CC227" i="3"/>
  <c r="CA227" i="3"/>
  <c r="CB227" i="3" s="1"/>
  <c r="CG227" i="3" s="1"/>
  <c r="CH227" i="3" s="1"/>
  <c r="BT227" i="3"/>
  <c r="BR227" i="3"/>
  <c r="BQ227" i="3"/>
  <c r="BP227" i="3"/>
  <c r="BO227" i="3"/>
  <c r="BN227" i="3"/>
  <c r="BM227" i="3"/>
  <c r="BS227" i="3" s="1"/>
  <c r="BL227" i="3"/>
  <c r="AY227" i="3"/>
  <c r="AX227" i="3"/>
  <c r="AW227" i="3"/>
  <c r="DT226" i="3"/>
  <c r="DR226" i="3"/>
  <c r="DQ226" i="3"/>
  <c r="DK226" i="3"/>
  <c r="DI226" i="3"/>
  <c r="DH226" i="3"/>
  <c r="CV226" i="3"/>
  <c r="CU226" i="3"/>
  <c r="CS226" i="3"/>
  <c r="CT226" i="3" s="1"/>
  <c r="CP226" i="3"/>
  <c r="CM226" i="3"/>
  <c r="CJ226" i="3"/>
  <c r="CG226" i="3"/>
  <c r="DS226" i="3" s="1"/>
  <c r="CF226" i="3"/>
  <c r="CE226" i="3"/>
  <c r="CD226" i="3"/>
  <c r="CC226" i="3"/>
  <c r="CB226" i="3"/>
  <c r="CA226" i="3"/>
  <c r="BT226" i="3"/>
  <c r="BS226" i="3"/>
  <c r="BP226" i="3"/>
  <c r="BO226" i="3"/>
  <c r="BN226" i="3"/>
  <c r="BM226" i="3"/>
  <c r="BR226" i="3" s="1"/>
  <c r="BL226" i="3"/>
  <c r="AY226" i="3"/>
  <c r="AX226" i="3"/>
  <c r="AW226" i="3"/>
  <c r="DT225" i="3"/>
  <c r="DR225" i="3"/>
  <c r="DQ225" i="3"/>
  <c r="DK225" i="3"/>
  <c r="DI225" i="3"/>
  <c r="DH225" i="3"/>
  <c r="CU225" i="3"/>
  <c r="CV225" i="3" s="1"/>
  <c r="CT225" i="3"/>
  <c r="CS225" i="3"/>
  <c r="CP225" i="3"/>
  <c r="CM225" i="3"/>
  <c r="CJ225" i="3"/>
  <c r="CF225" i="3"/>
  <c r="CE225" i="3"/>
  <c r="CD225" i="3"/>
  <c r="CC225" i="3"/>
  <c r="CB225" i="3"/>
  <c r="CG225" i="3" s="1"/>
  <c r="CA225" i="3"/>
  <c r="BT225" i="3"/>
  <c r="BP225" i="3"/>
  <c r="BO225" i="3"/>
  <c r="BN225" i="3"/>
  <c r="BM225" i="3"/>
  <c r="BL225" i="3"/>
  <c r="AY225" i="3"/>
  <c r="AX225" i="3"/>
  <c r="AW225" i="3"/>
  <c r="DT224" i="3"/>
  <c r="DR224" i="3"/>
  <c r="DQ224" i="3"/>
  <c r="DK224" i="3"/>
  <c r="DI224" i="3"/>
  <c r="DH224" i="3"/>
  <c r="CV224" i="3"/>
  <c r="CU224" i="3"/>
  <c r="CS224" i="3"/>
  <c r="CT224" i="3" s="1"/>
  <c r="CP224" i="3"/>
  <c r="CJ224" i="3"/>
  <c r="CM224" i="3" s="1"/>
  <c r="CF224" i="3"/>
  <c r="CE224" i="3"/>
  <c r="CD224" i="3"/>
  <c r="CC224" i="3"/>
  <c r="CA224" i="3"/>
  <c r="CB224" i="3" s="1"/>
  <c r="CG224" i="3" s="1"/>
  <c r="BT224" i="3"/>
  <c r="BS224" i="3"/>
  <c r="BR224" i="3"/>
  <c r="BQ224" i="3"/>
  <c r="BP224" i="3"/>
  <c r="BO224" i="3"/>
  <c r="BN224" i="3"/>
  <c r="BM224" i="3"/>
  <c r="BL224" i="3"/>
  <c r="AY224" i="3"/>
  <c r="AX224" i="3"/>
  <c r="AW224" i="3"/>
  <c r="DT223" i="3"/>
  <c r="DS223" i="3"/>
  <c r="DR223" i="3"/>
  <c r="DQ223" i="3"/>
  <c r="DK223" i="3"/>
  <c r="DI223" i="3"/>
  <c r="DH223" i="3"/>
  <c r="CU223" i="3"/>
  <c r="CV223" i="3" s="1"/>
  <c r="CT223" i="3"/>
  <c r="CS223" i="3"/>
  <c r="CP223" i="3"/>
  <c r="CJ223" i="3"/>
  <c r="CM223" i="3" s="1"/>
  <c r="CF223" i="3"/>
  <c r="CE223" i="3"/>
  <c r="CD223" i="3"/>
  <c r="CC223" i="3"/>
  <c r="CA223" i="3"/>
  <c r="CB223" i="3" s="1"/>
  <c r="CG223" i="3" s="1"/>
  <c r="CH223" i="3" s="1"/>
  <c r="BT223" i="3"/>
  <c r="BR223" i="3"/>
  <c r="BQ223" i="3"/>
  <c r="BP223" i="3"/>
  <c r="BO223" i="3"/>
  <c r="BN223" i="3"/>
  <c r="BM223" i="3"/>
  <c r="BS223" i="3" s="1"/>
  <c r="BL223" i="3"/>
  <c r="AY223" i="3"/>
  <c r="AX223" i="3"/>
  <c r="AW223" i="3"/>
  <c r="DT222" i="3"/>
  <c r="DR222" i="3"/>
  <c r="DQ222" i="3"/>
  <c r="DK222" i="3"/>
  <c r="DI222" i="3"/>
  <c r="DH222" i="3"/>
  <c r="CV222" i="3"/>
  <c r="CU222" i="3"/>
  <c r="CS222" i="3"/>
  <c r="CT222" i="3" s="1"/>
  <c r="CP222" i="3"/>
  <c r="CM222" i="3"/>
  <c r="CJ222" i="3"/>
  <c r="CG222" i="3"/>
  <c r="DS222" i="3" s="1"/>
  <c r="CF222" i="3"/>
  <c r="CE222" i="3"/>
  <c r="CD222" i="3"/>
  <c r="CC222" i="3"/>
  <c r="CB222" i="3"/>
  <c r="CA222" i="3"/>
  <c r="BT222" i="3"/>
  <c r="BS222" i="3"/>
  <c r="BP222" i="3"/>
  <c r="BO222" i="3"/>
  <c r="BN222" i="3"/>
  <c r="BM222" i="3"/>
  <c r="BR222" i="3" s="1"/>
  <c r="BL222" i="3"/>
  <c r="AY222" i="3"/>
  <c r="AX222" i="3"/>
  <c r="AW222" i="3"/>
  <c r="DT221" i="3"/>
  <c r="DR221" i="3"/>
  <c r="DQ221" i="3"/>
  <c r="DK221" i="3"/>
  <c r="DI221" i="3"/>
  <c r="DH221" i="3"/>
  <c r="CU221" i="3"/>
  <c r="CV221" i="3" s="1"/>
  <c r="CS221" i="3"/>
  <c r="CT221" i="3" s="1"/>
  <c r="CP221" i="3"/>
  <c r="CJ221" i="3"/>
  <c r="CM221" i="3" s="1"/>
  <c r="CF221" i="3"/>
  <c r="CE221" i="3"/>
  <c r="CD221" i="3"/>
  <c r="CC221" i="3"/>
  <c r="CB221" i="3"/>
  <c r="CG221" i="3" s="1"/>
  <c r="CA221" i="3"/>
  <c r="BT221" i="3"/>
  <c r="BP221" i="3"/>
  <c r="BO221" i="3"/>
  <c r="BN221" i="3"/>
  <c r="BM221" i="3"/>
  <c r="BL221" i="3"/>
  <c r="AY221" i="3"/>
  <c r="AX221" i="3"/>
  <c r="AW221" i="3"/>
  <c r="DT220" i="3"/>
  <c r="DR220" i="3"/>
  <c r="DQ220" i="3"/>
  <c r="DK220" i="3"/>
  <c r="DI220" i="3"/>
  <c r="DH220" i="3"/>
  <c r="CU220" i="3"/>
  <c r="CV220" i="3" s="1"/>
  <c r="CS220" i="3"/>
  <c r="CT220" i="3" s="1"/>
  <c r="CP220" i="3"/>
  <c r="CJ220" i="3"/>
  <c r="CM220" i="3" s="1"/>
  <c r="CG220" i="3"/>
  <c r="CF220" i="3"/>
  <c r="CE220" i="3"/>
  <c r="CD220" i="3"/>
  <c r="CC220" i="3"/>
  <c r="CA220" i="3"/>
  <c r="CB220" i="3" s="1"/>
  <c r="BT220" i="3"/>
  <c r="BS220" i="3"/>
  <c r="BR220" i="3"/>
  <c r="BQ220" i="3"/>
  <c r="BP220" i="3"/>
  <c r="BO220" i="3"/>
  <c r="BN220" i="3"/>
  <c r="BM220" i="3"/>
  <c r="BL220" i="3"/>
  <c r="AY220" i="3"/>
  <c r="AX220" i="3"/>
  <c r="AW220" i="3"/>
  <c r="DT219" i="3"/>
  <c r="DR219" i="3"/>
  <c r="DQ219" i="3"/>
  <c r="DK219" i="3"/>
  <c r="DI219" i="3"/>
  <c r="DH219" i="3"/>
  <c r="CU219" i="3"/>
  <c r="CV219" i="3" s="1"/>
  <c r="CT219" i="3"/>
  <c r="CS219" i="3"/>
  <c r="CP219" i="3"/>
  <c r="CJ219" i="3"/>
  <c r="CM219" i="3" s="1"/>
  <c r="CH219" i="3"/>
  <c r="CF219" i="3"/>
  <c r="CE219" i="3"/>
  <c r="CD219" i="3"/>
  <c r="CC219" i="3"/>
  <c r="CA219" i="3"/>
  <c r="CB219" i="3" s="1"/>
  <c r="CG219" i="3" s="1"/>
  <c r="DS219" i="3" s="1"/>
  <c r="BT219" i="3"/>
  <c r="BQ219" i="3"/>
  <c r="BP219" i="3"/>
  <c r="BO219" i="3"/>
  <c r="BN219" i="3"/>
  <c r="BM219" i="3"/>
  <c r="BS219" i="3" s="1"/>
  <c r="BL219" i="3"/>
  <c r="AY219" i="3"/>
  <c r="AX219" i="3"/>
  <c r="AW219" i="3"/>
  <c r="DT218" i="3"/>
  <c r="DR218" i="3"/>
  <c r="DQ218" i="3"/>
  <c r="DK218" i="3"/>
  <c r="DI218" i="3"/>
  <c r="DH218" i="3"/>
  <c r="CV218" i="3"/>
  <c r="CU218" i="3"/>
  <c r="CS218" i="3"/>
  <c r="CT218" i="3" s="1"/>
  <c r="CP218" i="3"/>
  <c r="CM218" i="3"/>
  <c r="CJ218" i="3"/>
  <c r="CF218" i="3"/>
  <c r="CE218" i="3"/>
  <c r="CD218" i="3"/>
  <c r="CC218" i="3"/>
  <c r="CB218" i="3"/>
  <c r="CG218" i="3" s="1"/>
  <c r="CA218" i="3"/>
  <c r="BT218" i="3"/>
  <c r="BS218" i="3"/>
  <c r="BP218" i="3"/>
  <c r="BO218" i="3"/>
  <c r="BN218" i="3"/>
  <c r="BM218" i="3"/>
  <c r="BR218" i="3" s="1"/>
  <c r="BL218" i="3"/>
  <c r="AY218" i="3"/>
  <c r="AX218" i="3"/>
  <c r="AW218" i="3"/>
  <c r="DT217" i="3"/>
  <c r="DR217" i="3"/>
  <c r="DQ217" i="3"/>
  <c r="DK217" i="3"/>
  <c r="DI217" i="3"/>
  <c r="DH217" i="3"/>
  <c r="CU217" i="3"/>
  <c r="CV217" i="3" s="1"/>
  <c r="CS217" i="3"/>
  <c r="CT217" i="3" s="1"/>
  <c r="CP217" i="3"/>
  <c r="CJ217" i="3"/>
  <c r="CM217" i="3" s="1"/>
  <c r="CF217" i="3"/>
  <c r="CE217" i="3"/>
  <c r="CD217" i="3"/>
  <c r="CC217" i="3"/>
  <c r="CA217" i="3"/>
  <c r="CB217" i="3" s="1"/>
  <c r="CG217" i="3" s="1"/>
  <c r="BT217" i="3"/>
  <c r="BQ217" i="3"/>
  <c r="BP217" i="3"/>
  <c r="BO217" i="3"/>
  <c r="BN217" i="3"/>
  <c r="BM217" i="3"/>
  <c r="BL217" i="3"/>
  <c r="AY217" i="3"/>
  <c r="AX217" i="3"/>
  <c r="AW217" i="3"/>
  <c r="DT216" i="3"/>
  <c r="DR216" i="3"/>
  <c r="DQ216" i="3"/>
  <c r="DK216" i="3"/>
  <c r="DI216" i="3"/>
  <c r="DH216" i="3"/>
  <c r="CU216" i="3"/>
  <c r="CV216" i="3" s="1"/>
  <c r="CS216" i="3"/>
  <c r="CT216" i="3" s="1"/>
  <c r="CP216" i="3"/>
  <c r="CJ216" i="3"/>
  <c r="CM216" i="3" s="1"/>
  <c r="CF216" i="3"/>
  <c r="CE216" i="3"/>
  <c r="CD216" i="3"/>
  <c r="CC216" i="3"/>
  <c r="CA216" i="3"/>
  <c r="CB216" i="3" s="1"/>
  <c r="CG216" i="3" s="1"/>
  <c r="BT216" i="3"/>
  <c r="BS216" i="3"/>
  <c r="BR216" i="3"/>
  <c r="BQ216" i="3"/>
  <c r="BP216" i="3"/>
  <c r="BO216" i="3"/>
  <c r="BN216" i="3"/>
  <c r="BM216" i="3"/>
  <c r="BL216" i="3"/>
  <c r="AY216" i="3"/>
  <c r="AX216" i="3"/>
  <c r="AW216" i="3"/>
  <c r="DT215" i="3"/>
  <c r="DR215" i="3"/>
  <c r="DQ215" i="3"/>
  <c r="DK215" i="3"/>
  <c r="DI215" i="3"/>
  <c r="DH215" i="3"/>
  <c r="CU215" i="3"/>
  <c r="CV215" i="3" s="1"/>
  <c r="CT215" i="3"/>
  <c r="CS215" i="3"/>
  <c r="CP215" i="3"/>
  <c r="CM215" i="3"/>
  <c r="CJ215" i="3"/>
  <c r="CF215" i="3"/>
  <c r="CE215" i="3"/>
  <c r="CD215" i="3"/>
  <c r="CC215" i="3"/>
  <c r="CB215" i="3"/>
  <c r="CG215" i="3" s="1"/>
  <c r="CA215" i="3"/>
  <c r="BT215" i="3"/>
  <c r="BP215" i="3"/>
  <c r="BO215" i="3"/>
  <c r="BN215" i="3"/>
  <c r="BM215" i="3"/>
  <c r="BL215" i="3"/>
  <c r="AY215" i="3"/>
  <c r="AX215" i="3"/>
  <c r="AW215" i="3"/>
  <c r="DT214" i="3"/>
  <c r="DR214" i="3"/>
  <c r="DQ214" i="3"/>
  <c r="DK214" i="3"/>
  <c r="DI214" i="3"/>
  <c r="DH214" i="3"/>
  <c r="CV214" i="3"/>
  <c r="CU214" i="3"/>
  <c r="CS214" i="3"/>
  <c r="CT214" i="3" s="1"/>
  <c r="CP214" i="3"/>
  <c r="CM214" i="3"/>
  <c r="CJ214" i="3"/>
  <c r="CF214" i="3"/>
  <c r="CE214" i="3"/>
  <c r="CD214" i="3"/>
  <c r="CC214" i="3"/>
  <c r="CB214" i="3"/>
  <c r="CG214" i="3" s="1"/>
  <c r="CA214" i="3"/>
  <c r="BT214" i="3"/>
  <c r="BS214" i="3"/>
  <c r="BP214" i="3"/>
  <c r="BO214" i="3"/>
  <c r="BN214" i="3"/>
  <c r="BM214" i="3"/>
  <c r="BR214" i="3" s="1"/>
  <c r="BL214" i="3"/>
  <c r="AY214" i="3"/>
  <c r="AX214" i="3"/>
  <c r="AW214" i="3"/>
  <c r="DT213" i="3"/>
  <c r="DR213" i="3"/>
  <c r="DQ213" i="3"/>
  <c r="DK213" i="3"/>
  <c r="DI213" i="3"/>
  <c r="DH213" i="3"/>
  <c r="CU213" i="3"/>
  <c r="CV213" i="3" s="1"/>
  <c r="CT213" i="3"/>
  <c r="CS213" i="3"/>
  <c r="CP213" i="3"/>
  <c r="CM213" i="3"/>
  <c r="CJ213" i="3"/>
  <c r="CF213" i="3"/>
  <c r="CE213" i="3"/>
  <c r="CD213" i="3"/>
  <c r="CC213" i="3"/>
  <c r="CA213" i="3"/>
  <c r="CB213" i="3" s="1"/>
  <c r="CG213" i="3" s="1"/>
  <c r="BT213" i="3"/>
  <c r="BR213" i="3"/>
  <c r="BQ213" i="3"/>
  <c r="BP213" i="3"/>
  <c r="BO213" i="3"/>
  <c r="BN213" i="3"/>
  <c r="BM213" i="3"/>
  <c r="BS213" i="3" s="1"/>
  <c r="BL213" i="3"/>
  <c r="AY213" i="3"/>
  <c r="AX213" i="3"/>
  <c r="AW213" i="3"/>
  <c r="DT212" i="3"/>
  <c r="DR212" i="3"/>
  <c r="DQ212" i="3"/>
  <c r="DK212" i="3"/>
  <c r="DI212" i="3"/>
  <c r="DH212" i="3"/>
  <c r="CV212" i="3"/>
  <c r="CU212" i="3"/>
  <c r="CS212" i="3"/>
  <c r="CT212" i="3" s="1"/>
  <c r="CP212" i="3"/>
  <c r="CJ212" i="3"/>
  <c r="CM212" i="3" s="1"/>
  <c r="CH212" i="3"/>
  <c r="CG212" i="3"/>
  <c r="DS212" i="3" s="1"/>
  <c r="CF212" i="3"/>
  <c r="CE212" i="3"/>
  <c r="CD212" i="3"/>
  <c r="CC212" i="3"/>
  <c r="CA212" i="3"/>
  <c r="CB212" i="3" s="1"/>
  <c r="BT212" i="3"/>
  <c r="BS212" i="3"/>
  <c r="BR212" i="3"/>
  <c r="BQ212" i="3"/>
  <c r="BP212" i="3"/>
  <c r="BO212" i="3"/>
  <c r="BN212" i="3"/>
  <c r="BM212" i="3"/>
  <c r="BL212" i="3"/>
  <c r="AY212" i="3"/>
  <c r="AX212" i="3"/>
  <c r="AW212" i="3"/>
  <c r="DT211" i="3"/>
  <c r="DR211" i="3"/>
  <c r="DQ211" i="3"/>
  <c r="DK211" i="3"/>
  <c r="DI211" i="3"/>
  <c r="DH211" i="3"/>
  <c r="CV211" i="3"/>
  <c r="CU211" i="3"/>
  <c r="CT211" i="3"/>
  <c r="CS211" i="3"/>
  <c r="CP211" i="3"/>
  <c r="CJ211" i="3"/>
  <c r="CM211" i="3" s="1"/>
  <c r="CG211" i="3"/>
  <c r="CF211" i="3"/>
  <c r="CE211" i="3"/>
  <c r="CD211" i="3"/>
  <c r="CC211" i="3"/>
  <c r="CA211" i="3"/>
  <c r="CB211" i="3" s="1"/>
  <c r="BT211" i="3"/>
  <c r="BS211" i="3"/>
  <c r="BP211" i="3"/>
  <c r="BO211" i="3"/>
  <c r="BN211" i="3"/>
  <c r="BM211" i="3"/>
  <c r="BR211" i="3" s="1"/>
  <c r="BL211" i="3"/>
  <c r="AY211" i="3"/>
  <c r="AX211" i="3"/>
  <c r="AW211" i="3"/>
  <c r="DT210" i="3"/>
  <c r="DR210" i="3"/>
  <c r="DQ210" i="3"/>
  <c r="DK210" i="3"/>
  <c r="DI210" i="3"/>
  <c r="DH210" i="3"/>
  <c r="CV210" i="3"/>
  <c r="CU210" i="3"/>
  <c r="CS210" i="3"/>
  <c r="CT210" i="3" s="1"/>
  <c r="CP210" i="3"/>
  <c r="CJ210" i="3"/>
  <c r="CM210" i="3" s="1"/>
  <c r="CF210" i="3"/>
  <c r="CE210" i="3"/>
  <c r="CD210" i="3"/>
  <c r="CC210" i="3"/>
  <c r="CA210" i="3"/>
  <c r="CB210" i="3" s="1"/>
  <c r="CG210" i="3" s="1"/>
  <c r="BT210" i="3"/>
  <c r="BS210" i="3"/>
  <c r="BP210" i="3"/>
  <c r="BO210" i="3"/>
  <c r="BN210" i="3"/>
  <c r="BM210" i="3"/>
  <c r="BL210" i="3"/>
  <c r="AY210" i="3"/>
  <c r="AX210" i="3"/>
  <c r="AW210" i="3"/>
  <c r="DT209" i="3"/>
  <c r="DR209" i="3"/>
  <c r="DQ209" i="3"/>
  <c r="DK209" i="3"/>
  <c r="DI209" i="3"/>
  <c r="DH209" i="3"/>
  <c r="CU209" i="3"/>
  <c r="CV209" i="3" s="1"/>
  <c r="CT209" i="3"/>
  <c r="CS209" i="3"/>
  <c r="CP209" i="3"/>
  <c r="CJ209" i="3"/>
  <c r="CM209" i="3" s="1"/>
  <c r="CF209" i="3"/>
  <c r="CE209" i="3"/>
  <c r="CD209" i="3"/>
  <c r="CC209" i="3"/>
  <c r="CA209" i="3"/>
  <c r="CB209" i="3" s="1"/>
  <c r="CG209" i="3" s="1"/>
  <c r="BT209" i="3"/>
  <c r="BR209" i="3"/>
  <c r="BQ209" i="3"/>
  <c r="BP209" i="3"/>
  <c r="BO209" i="3"/>
  <c r="BN209" i="3"/>
  <c r="BM209" i="3"/>
  <c r="BS209" i="3" s="1"/>
  <c r="BL209" i="3"/>
  <c r="AY209" i="3"/>
  <c r="AX209" i="3"/>
  <c r="AW209" i="3"/>
  <c r="DT208" i="3"/>
  <c r="DS208" i="3"/>
  <c r="DR208" i="3"/>
  <c r="DQ208" i="3"/>
  <c r="DK208" i="3"/>
  <c r="DI208" i="3"/>
  <c r="DH208" i="3"/>
  <c r="CV208" i="3"/>
  <c r="CU208" i="3"/>
  <c r="CT208" i="3"/>
  <c r="CS208" i="3"/>
  <c r="CP208" i="3"/>
  <c r="CM208" i="3"/>
  <c r="CJ208" i="3"/>
  <c r="CG208" i="3"/>
  <c r="CH208" i="3" s="1"/>
  <c r="CF208" i="3"/>
  <c r="CE208" i="3"/>
  <c r="CD208" i="3"/>
  <c r="CC208" i="3"/>
  <c r="CB208" i="3"/>
  <c r="CA208" i="3"/>
  <c r="BT208" i="3"/>
  <c r="BS208" i="3"/>
  <c r="BR208" i="3"/>
  <c r="BQ208" i="3"/>
  <c r="BP208" i="3"/>
  <c r="BO208" i="3"/>
  <c r="BN208" i="3"/>
  <c r="BM208" i="3"/>
  <c r="BL208" i="3"/>
  <c r="AY208" i="3"/>
  <c r="AX208" i="3"/>
  <c r="AW208" i="3"/>
  <c r="DT207" i="3"/>
  <c r="DR207" i="3"/>
  <c r="DQ207" i="3"/>
  <c r="DK207" i="3"/>
  <c r="DI207" i="3"/>
  <c r="DH207" i="3"/>
  <c r="CV207" i="3"/>
  <c r="CU207" i="3"/>
  <c r="CS207" i="3"/>
  <c r="CT207" i="3" s="1"/>
  <c r="CP207" i="3"/>
  <c r="CJ207" i="3"/>
  <c r="CM207" i="3" s="1"/>
  <c r="CF207" i="3"/>
  <c r="CE207" i="3"/>
  <c r="CD207" i="3"/>
  <c r="CC207" i="3"/>
  <c r="CA207" i="3"/>
  <c r="CB207" i="3" s="1"/>
  <c r="CG207" i="3" s="1"/>
  <c r="BT207" i="3"/>
  <c r="BS207" i="3"/>
  <c r="BP207" i="3"/>
  <c r="BO207" i="3"/>
  <c r="BN207" i="3"/>
  <c r="BM207" i="3"/>
  <c r="BR207" i="3" s="1"/>
  <c r="BL207" i="3"/>
  <c r="AY207" i="3"/>
  <c r="AX207" i="3"/>
  <c r="AW207" i="3"/>
  <c r="DT206" i="3"/>
  <c r="DR206" i="3"/>
  <c r="DQ206" i="3"/>
  <c r="DK206" i="3"/>
  <c r="DI206" i="3"/>
  <c r="DH206" i="3"/>
  <c r="CU206" i="3"/>
  <c r="CV206" i="3" s="1"/>
  <c r="CS206" i="3"/>
  <c r="CT206" i="3" s="1"/>
  <c r="CP206" i="3"/>
  <c r="CJ206" i="3"/>
  <c r="CM206" i="3" s="1"/>
  <c r="CF206" i="3"/>
  <c r="CE206" i="3"/>
  <c r="CD206" i="3"/>
  <c r="CC206" i="3"/>
  <c r="CA206" i="3"/>
  <c r="CB206" i="3" s="1"/>
  <c r="CG206" i="3" s="1"/>
  <c r="BT206" i="3"/>
  <c r="BP206" i="3"/>
  <c r="BO206" i="3"/>
  <c r="BN206" i="3"/>
  <c r="BM206" i="3"/>
  <c r="BL206" i="3"/>
  <c r="AY206" i="3"/>
  <c r="AX206" i="3"/>
  <c r="AW206" i="3"/>
  <c r="DT205" i="3"/>
  <c r="DR205" i="3"/>
  <c r="DQ205" i="3"/>
  <c r="DK205" i="3"/>
  <c r="DI205" i="3"/>
  <c r="DH205" i="3"/>
  <c r="CU205" i="3"/>
  <c r="CV205" i="3" s="1"/>
  <c r="CT205" i="3"/>
  <c r="CS205" i="3"/>
  <c r="CP205" i="3"/>
  <c r="CM205" i="3"/>
  <c r="CJ205" i="3"/>
  <c r="CF205" i="3"/>
  <c r="CE205" i="3"/>
  <c r="CD205" i="3"/>
  <c r="CC205" i="3"/>
  <c r="CB205" i="3"/>
  <c r="CG205" i="3" s="1"/>
  <c r="CA205" i="3"/>
  <c r="BT205" i="3"/>
  <c r="BR205" i="3"/>
  <c r="BQ205" i="3"/>
  <c r="BP205" i="3"/>
  <c r="BO205" i="3"/>
  <c r="BN205" i="3"/>
  <c r="BM205" i="3"/>
  <c r="BS205" i="3" s="1"/>
  <c r="BL205" i="3"/>
  <c r="AY205" i="3"/>
  <c r="AX205" i="3"/>
  <c r="AW205" i="3"/>
  <c r="DT204" i="3"/>
  <c r="DS204" i="3"/>
  <c r="DR204" i="3"/>
  <c r="DQ204" i="3"/>
  <c r="DK204" i="3"/>
  <c r="DI204" i="3"/>
  <c r="DH204" i="3"/>
  <c r="CV204" i="3"/>
  <c r="CU204" i="3"/>
  <c r="CT204" i="3"/>
  <c r="CS204" i="3"/>
  <c r="CP204" i="3"/>
  <c r="CM204" i="3"/>
  <c r="CJ204" i="3"/>
  <c r="CG204" i="3"/>
  <c r="CH204" i="3" s="1"/>
  <c r="CF204" i="3"/>
  <c r="CE204" i="3"/>
  <c r="CD204" i="3"/>
  <c r="CC204" i="3"/>
  <c r="CB204" i="3"/>
  <c r="CA204" i="3"/>
  <c r="BT204" i="3"/>
  <c r="BS204" i="3"/>
  <c r="BR204" i="3"/>
  <c r="BQ204" i="3"/>
  <c r="BP204" i="3"/>
  <c r="BO204" i="3"/>
  <c r="BN204" i="3"/>
  <c r="BM204" i="3"/>
  <c r="BL204" i="3"/>
  <c r="AY204" i="3"/>
  <c r="AX204" i="3"/>
  <c r="AW204" i="3"/>
  <c r="DT203" i="3"/>
  <c r="DR203" i="3"/>
  <c r="DQ203" i="3"/>
  <c r="DK203" i="3"/>
  <c r="DI203" i="3"/>
  <c r="DH203" i="3"/>
  <c r="CV203" i="3"/>
  <c r="CU203" i="3"/>
  <c r="CS203" i="3"/>
  <c r="CT203" i="3" s="1"/>
  <c r="CP203" i="3"/>
  <c r="CJ203" i="3"/>
  <c r="CM203" i="3" s="1"/>
  <c r="CF203" i="3"/>
  <c r="CE203" i="3"/>
  <c r="CD203" i="3"/>
  <c r="CC203" i="3"/>
  <c r="CA203" i="3"/>
  <c r="CB203" i="3" s="1"/>
  <c r="CG203" i="3" s="1"/>
  <c r="BT203" i="3"/>
  <c r="BS203" i="3"/>
  <c r="BP203" i="3"/>
  <c r="BO203" i="3"/>
  <c r="BN203" i="3"/>
  <c r="BM203" i="3"/>
  <c r="BR203" i="3" s="1"/>
  <c r="BL203" i="3"/>
  <c r="AY203" i="3"/>
  <c r="AX203" i="3"/>
  <c r="AW203" i="3"/>
  <c r="DT202" i="3"/>
  <c r="DR202" i="3"/>
  <c r="DQ202" i="3"/>
  <c r="DK202" i="3"/>
  <c r="DI202" i="3"/>
  <c r="DH202" i="3"/>
  <c r="CU202" i="3"/>
  <c r="CV202" i="3" s="1"/>
  <c r="CS202" i="3"/>
  <c r="CT202" i="3" s="1"/>
  <c r="CP202" i="3"/>
  <c r="CJ202" i="3"/>
  <c r="CM202" i="3" s="1"/>
  <c r="CF202" i="3"/>
  <c r="CE202" i="3"/>
  <c r="CD202" i="3"/>
  <c r="CC202" i="3"/>
  <c r="CA202" i="3"/>
  <c r="CB202" i="3" s="1"/>
  <c r="CG202" i="3" s="1"/>
  <c r="BT202" i="3"/>
  <c r="BP202" i="3"/>
  <c r="BO202" i="3"/>
  <c r="BN202" i="3"/>
  <c r="BM202" i="3"/>
  <c r="BL202" i="3"/>
  <c r="AY202" i="3"/>
  <c r="AX202" i="3"/>
  <c r="AW202" i="3"/>
  <c r="DT201" i="3"/>
  <c r="DR201" i="3"/>
  <c r="DQ201" i="3"/>
  <c r="DK201" i="3"/>
  <c r="DI201" i="3"/>
  <c r="DH201" i="3"/>
  <c r="CU201" i="3"/>
  <c r="CV201" i="3" s="1"/>
  <c r="CT201" i="3"/>
  <c r="CS201" i="3"/>
  <c r="CP201" i="3"/>
  <c r="CM201" i="3"/>
  <c r="CJ201" i="3"/>
  <c r="CF201" i="3"/>
  <c r="CE201" i="3"/>
  <c r="CD201" i="3"/>
  <c r="CC201" i="3"/>
  <c r="CB201" i="3"/>
  <c r="CG201" i="3" s="1"/>
  <c r="CA201" i="3"/>
  <c r="BT201" i="3"/>
  <c r="BR201" i="3"/>
  <c r="BQ201" i="3"/>
  <c r="BP201" i="3"/>
  <c r="BO201" i="3"/>
  <c r="BN201" i="3"/>
  <c r="BM201" i="3"/>
  <c r="BS201" i="3" s="1"/>
  <c r="BL201" i="3"/>
  <c r="AY201" i="3"/>
  <c r="AX201" i="3"/>
  <c r="AW201" i="3"/>
  <c r="DT200" i="3"/>
  <c r="DS200" i="3"/>
  <c r="DR200" i="3"/>
  <c r="DQ200" i="3"/>
  <c r="DK200" i="3"/>
  <c r="DI200" i="3"/>
  <c r="DH200" i="3"/>
  <c r="CV200" i="3"/>
  <c r="CU200" i="3"/>
  <c r="CT200" i="3"/>
  <c r="CS200" i="3"/>
  <c r="CP200" i="3"/>
  <c r="CM200" i="3"/>
  <c r="CJ200" i="3"/>
  <c r="CG200" i="3"/>
  <c r="CH200" i="3" s="1"/>
  <c r="CF200" i="3"/>
  <c r="CE200" i="3"/>
  <c r="CD200" i="3"/>
  <c r="CC200" i="3"/>
  <c r="CB200" i="3"/>
  <c r="CA200" i="3"/>
  <c r="BT200" i="3"/>
  <c r="BS200" i="3"/>
  <c r="BR200" i="3"/>
  <c r="BQ200" i="3"/>
  <c r="BP200" i="3"/>
  <c r="BO200" i="3"/>
  <c r="BN200" i="3"/>
  <c r="BM200" i="3"/>
  <c r="BL200" i="3"/>
  <c r="AY200" i="3"/>
  <c r="AX200" i="3"/>
  <c r="AW200" i="3"/>
  <c r="DT199" i="3"/>
  <c r="DR199" i="3"/>
  <c r="DQ199" i="3"/>
  <c r="DK199" i="3"/>
  <c r="DI199" i="3"/>
  <c r="DH199" i="3"/>
  <c r="CV199" i="3"/>
  <c r="CU199" i="3"/>
  <c r="CS199" i="3"/>
  <c r="CT199" i="3" s="1"/>
  <c r="CP199" i="3"/>
  <c r="CJ199" i="3"/>
  <c r="CM199" i="3" s="1"/>
  <c r="CF199" i="3"/>
  <c r="CE199" i="3"/>
  <c r="CD199" i="3"/>
  <c r="CC199" i="3"/>
  <c r="CA199" i="3"/>
  <c r="CB199" i="3" s="1"/>
  <c r="CG199" i="3" s="1"/>
  <c r="BT199" i="3"/>
  <c r="BS199" i="3"/>
  <c r="BP199" i="3"/>
  <c r="BO199" i="3"/>
  <c r="BN199" i="3"/>
  <c r="BM199" i="3"/>
  <c r="BR199" i="3" s="1"/>
  <c r="BL199" i="3"/>
  <c r="AY199" i="3"/>
  <c r="AX199" i="3"/>
  <c r="AW199" i="3"/>
  <c r="DT198" i="3"/>
  <c r="DR198" i="3"/>
  <c r="DQ198" i="3"/>
  <c r="DK198" i="3"/>
  <c r="DI198" i="3"/>
  <c r="DH198" i="3"/>
  <c r="CU198" i="3"/>
  <c r="CV198" i="3" s="1"/>
  <c r="CS198" i="3"/>
  <c r="CT198" i="3" s="1"/>
  <c r="CP198" i="3"/>
  <c r="CJ198" i="3"/>
  <c r="CM198" i="3" s="1"/>
  <c r="CF198" i="3"/>
  <c r="CE198" i="3"/>
  <c r="CD198" i="3"/>
  <c r="CC198" i="3"/>
  <c r="CA198" i="3"/>
  <c r="CB198" i="3" s="1"/>
  <c r="CG198" i="3" s="1"/>
  <c r="BT198" i="3"/>
  <c r="BP198" i="3"/>
  <c r="BO198" i="3"/>
  <c r="BN198" i="3"/>
  <c r="BM198" i="3"/>
  <c r="BL198" i="3"/>
  <c r="AY198" i="3"/>
  <c r="AX198" i="3"/>
  <c r="AW198" i="3"/>
  <c r="DT197" i="3"/>
  <c r="DR197" i="3"/>
  <c r="DQ197" i="3"/>
  <c r="DK197" i="3"/>
  <c r="DI197" i="3"/>
  <c r="DH197" i="3"/>
  <c r="CU197" i="3"/>
  <c r="CV197" i="3" s="1"/>
  <c r="CT197" i="3"/>
  <c r="CS197" i="3"/>
  <c r="CP197" i="3"/>
  <c r="CM197" i="3"/>
  <c r="CJ197" i="3"/>
  <c r="CF197" i="3"/>
  <c r="CE197" i="3"/>
  <c r="CD197" i="3"/>
  <c r="CC197" i="3"/>
  <c r="CB197" i="3"/>
  <c r="CG197" i="3" s="1"/>
  <c r="CA197" i="3"/>
  <c r="BT197" i="3"/>
  <c r="BR197" i="3"/>
  <c r="BQ197" i="3"/>
  <c r="BP197" i="3"/>
  <c r="BO197" i="3"/>
  <c r="BN197" i="3"/>
  <c r="BM197" i="3"/>
  <c r="BS197" i="3" s="1"/>
  <c r="BL197" i="3"/>
  <c r="AY197" i="3"/>
  <c r="AX197" i="3"/>
  <c r="AW197" i="3"/>
  <c r="DT196" i="3"/>
  <c r="DS196" i="3"/>
  <c r="DR196" i="3"/>
  <c r="DQ196" i="3"/>
  <c r="DK196" i="3"/>
  <c r="DI196" i="3"/>
  <c r="DH196" i="3"/>
  <c r="CV196" i="3"/>
  <c r="CU196" i="3"/>
  <c r="CT196" i="3"/>
  <c r="CS196" i="3"/>
  <c r="CP196" i="3"/>
  <c r="CM196" i="3"/>
  <c r="CJ196" i="3"/>
  <c r="CG196" i="3"/>
  <c r="CH196" i="3" s="1"/>
  <c r="CF196" i="3"/>
  <c r="CE196" i="3"/>
  <c r="CD196" i="3"/>
  <c r="CC196" i="3"/>
  <c r="CB196" i="3"/>
  <c r="CA196" i="3"/>
  <c r="BT196" i="3"/>
  <c r="BS196" i="3"/>
  <c r="BR196" i="3"/>
  <c r="BQ196" i="3"/>
  <c r="BP196" i="3"/>
  <c r="BO196" i="3"/>
  <c r="BN196" i="3"/>
  <c r="BM196" i="3"/>
  <c r="BL196" i="3"/>
  <c r="AY196" i="3"/>
  <c r="AX196" i="3"/>
  <c r="AW196" i="3"/>
  <c r="DT195" i="3"/>
  <c r="DR195" i="3"/>
  <c r="DQ195" i="3"/>
  <c r="DK195" i="3"/>
  <c r="DI195" i="3"/>
  <c r="DH195" i="3"/>
  <c r="CV195" i="3"/>
  <c r="CU195" i="3"/>
  <c r="CS195" i="3"/>
  <c r="CT195" i="3" s="1"/>
  <c r="CP195" i="3"/>
  <c r="CJ195" i="3"/>
  <c r="CM195" i="3" s="1"/>
  <c r="CF195" i="3"/>
  <c r="CE195" i="3"/>
  <c r="CD195" i="3"/>
  <c r="CC195" i="3"/>
  <c r="CA195" i="3"/>
  <c r="CB195" i="3" s="1"/>
  <c r="CG195" i="3" s="1"/>
  <c r="BT195" i="3"/>
  <c r="BS195" i="3"/>
  <c r="BP195" i="3"/>
  <c r="BO195" i="3"/>
  <c r="BN195" i="3"/>
  <c r="BM195" i="3"/>
  <c r="BR195" i="3" s="1"/>
  <c r="BL195" i="3"/>
  <c r="AY195" i="3"/>
  <c r="AX195" i="3"/>
  <c r="AW195" i="3"/>
  <c r="DT194" i="3"/>
  <c r="DR194" i="3"/>
  <c r="DQ194" i="3"/>
  <c r="DK194" i="3"/>
  <c r="DI194" i="3"/>
  <c r="DH194" i="3"/>
  <c r="CU194" i="3"/>
  <c r="CV194" i="3" s="1"/>
  <c r="CS194" i="3"/>
  <c r="CT194" i="3" s="1"/>
  <c r="CP194" i="3"/>
  <c r="CJ194" i="3"/>
  <c r="CM194" i="3" s="1"/>
  <c r="CF194" i="3"/>
  <c r="CE194" i="3"/>
  <c r="CD194" i="3"/>
  <c r="CC194" i="3"/>
  <c r="CA194" i="3"/>
  <c r="CB194" i="3" s="1"/>
  <c r="CG194" i="3" s="1"/>
  <c r="BT194" i="3"/>
  <c r="BP194" i="3"/>
  <c r="BO194" i="3"/>
  <c r="BN194" i="3"/>
  <c r="BM194" i="3"/>
  <c r="BL194" i="3"/>
  <c r="AY194" i="3"/>
  <c r="AX194" i="3"/>
  <c r="AW194" i="3"/>
  <c r="DT193" i="3"/>
  <c r="DR193" i="3"/>
  <c r="DQ193" i="3"/>
  <c r="DK193" i="3"/>
  <c r="DI193" i="3"/>
  <c r="DH193" i="3"/>
  <c r="CU193" i="3"/>
  <c r="CV193" i="3" s="1"/>
  <c r="CT193" i="3"/>
  <c r="CS193" i="3"/>
  <c r="CP193" i="3"/>
  <c r="CM193" i="3"/>
  <c r="CJ193" i="3"/>
  <c r="CF193" i="3"/>
  <c r="CE193" i="3"/>
  <c r="CD193" i="3"/>
  <c r="CC193" i="3"/>
  <c r="CB193" i="3"/>
  <c r="CG193" i="3" s="1"/>
  <c r="CA193" i="3"/>
  <c r="BT193" i="3"/>
  <c r="BR193" i="3"/>
  <c r="BQ193" i="3"/>
  <c r="BP193" i="3"/>
  <c r="BO193" i="3"/>
  <c r="BN193" i="3"/>
  <c r="BM193" i="3"/>
  <c r="BS193" i="3" s="1"/>
  <c r="BL193" i="3"/>
  <c r="AY193" i="3"/>
  <c r="AX193" i="3"/>
  <c r="AW193" i="3"/>
  <c r="DT192" i="3"/>
  <c r="DS192" i="3"/>
  <c r="DR192" i="3"/>
  <c r="DQ192" i="3"/>
  <c r="DK192" i="3"/>
  <c r="DI192" i="3"/>
  <c r="DH192" i="3"/>
  <c r="CV192" i="3"/>
  <c r="CU192" i="3"/>
  <c r="CT192" i="3"/>
  <c r="CS192" i="3"/>
  <c r="CP192" i="3"/>
  <c r="CM192" i="3"/>
  <c r="CJ192" i="3"/>
  <c r="CG192" i="3"/>
  <c r="CH192" i="3" s="1"/>
  <c r="CF192" i="3"/>
  <c r="CE192" i="3"/>
  <c r="CD192" i="3"/>
  <c r="CC192" i="3"/>
  <c r="CB192" i="3"/>
  <c r="CA192" i="3"/>
  <c r="BT192" i="3"/>
  <c r="BS192" i="3"/>
  <c r="BR192" i="3"/>
  <c r="BQ192" i="3"/>
  <c r="BP192" i="3"/>
  <c r="BO192" i="3"/>
  <c r="BN192" i="3"/>
  <c r="BM192" i="3"/>
  <c r="BL192" i="3"/>
  <c r="AY192" i="3"/>
  <c r="AX192" i="3"/>
  <c r="AW192" i="3"/>
  <c r="DT191" i="3"/>
  <c r="DR191" i="3"/>
  <c r="DQ191" i="3"/>
  <c r="DK191" i="3"/>
  <c r="DI191" i="3"/>
  <c r="DH191" i="3"/>
  <c r="CV191" i="3"/>
  <c r="CU191" i="3"/>
  <c r="CS191" i="3"/>
  <c r="CT191" i="3" s="1"/>
  <c r="CP191" i="3"/>
  <c r="CJ191" i="3"/>
  <c r="CM191" i="3" s="1"/>
  <c r="CF191" i="3"/>
  <c r="CE191" i="3"/>
  <c r="CD191" i="3"/>
  <c r="CC191" i="3"/>
  <c r="CA191" i="3"/>
  <c r="CB191" i="3" s="1"/>
  <c r="CG191" i="3" s="1"/>
  <c r="BT191" i="3"/>
  <c r="BS191" i="3"/>
  <c r="BP191" i="3"/>
  <c r="BO191" i="3"/>
  <c r="BN191" i="3"/>
  <c r="BM191" i="3"/>
  <c r="BR191" i="3" s="1"/>
  <c r="BL191" i="3"/>
  <c r="AY191" i="3"/>
  <c r="AX191" i="3"/>
  <c r="AW191" i="3"/>
  <c r="DT190" i="3"/>
  <c r="DR190" i="3"/>
  <c r="DQ190" i="3"/>
  <c r="DK190" i="3"/>
  <c r="DI190" i="3"/>
  <c r="DH190" i="3"/>
  <c r="CU190" i="3"/>
  <c r="CV190" i="3" s="1"/>
  <c r="CS190" i="3"/>
  <c r="CT190" i="3" s="1"/>
  <c r="CP190" i="3"/>
  <c r="CJ190" i="3"/>
  <c r="CM190" i="3" s="1"/>
  <c r="CF190" i="3"/>
  <c r="CE190" i="3"/>
  <c r="CD190" i="3"/>
  <c r="CC190" i="3"/>
  <c r="CA190" i="3"/>
  <c r="CB190" i="3" s="1"/>
  <c r="CG190" i="3" s="1"/>
  <c r="BT190" i="3"/>
  <c r="BP190" i="3"/>
  <c r="BO190" i="3"/>
  <c r="BN190" i="3"/>
  <c r="BM190" i="3"/>
  <c r="BL190" i="3"/>
  <c r="AY190" i="3"/>
  <c r="AX190" i="3"/>
  <c r="AW190" i="3"/>
  <c r="DT189" i="3"/>
  <c r="DR189" i="3"/>
  <c r="DQ189" i="3"/>
  <c r="DK189" i="3"/>
  <c r="DI189" i="3"/>
  <c r="DH189" i="3"/>
  <c r="CU189" i="3"/>
  <c r="CV189" i="3" s="1"/>
  <c r="CT189" i="3"/>
  <c r="CS189" i="3"/>
  <c r="CP189" i="3"/>
  <c r="CM189" i="3"/>
  <c r="CJ189" i="3"/>
  <c r="CF189" i="3"/>
  <c r="CE189" i="3"/>
  <c r="CD189" i="3"/>
  <c r="CC189" i="3"/>
  <c r="CB189" i="3"/>
  <c r="CG189" i="3" s="1"/>
  <c r="CA189" i="3"/>
  <c r="BT189" i="3"/>
  <c r="BR189" i="3"/>
  <c r="BQ189" i="3"/>
  <c r="BP189" i="3"/>
  <c r="BO189" i="3"/>
  <c r="BN189" i="3"/>
  <c r="BM189" i="3"/>
  <c r="BS189" i="3" s="1"/>
  <c r="BL189" i="3"/>
  <c r="AY189" i="3"/>
  <c r="AX189" i="3"/>
  <c r="AW189" i="3"/>
  <c r="DT188" i="3"/>
  <c r="DS188" i="3"/>
  <c r="DR188" i="3"/>
  <c r="DQ188" i="3"/>
  <c r="DK188" i="3"/>
  <c r="DI188" i="3"/>
  <c r="DH188" i="3"/>
  <c r="CV188" i="3"/>
  <c r="CU188" i="3"/>
  <c r="CT188" i="3"/>
  <c r="CS188" i="3"/>
  <c r="CP188" i="3"/>
  <c r="CM188" i="3"/>
  <c r="CJ188" i="3"/>
  <c r="CG188" i="3"/>
  <c r="CH188" i="3" s="1"/>
  <c r="CF188" i="3"/>
  <c r="CE188" i="3"/>
  <c r="CD188" i="3"/>
  <c r="CC188" i="3"/>
  <c r="CB188" i="3"/>
  <c r="CA188" i="3"/>
  <c r="BT188" i="3"/>
  <c r="BS188" i="3"/>
  <c r="BR188" i="3"/>
  <c r="BQ188" i="3"/>
  <c r="BP188" i="3"/>
  <c r="BO188" i="3"/>
  <c r="BN188" i="3"/>
  <c r="BM188" i="3"/>
  <c r="BL188" i="3"/>
  <c r="AY188" i="3"/>
  <c r="AX188" i="3"/>
  <c r="AW188" i="3"/>
  <c r="DT187" i="3"/>
  <c r="DR187" i="3"/>
  <c r="DQ187" i="3"/>
  <c r="DK187" i="3"/>
  <c r="DI187" i="3"/>
  <c r="DH187" i="3"/>
  <c r="CV187" i="3"/>
  <c r="CU187" i="3"/>
  <c r="CS187" i="3"/>
  <c r="CT187" i="3" s="1"/>
  <c r="CP187" i="3"/>
  <c r="CJ187" i="3"/>
  <c r="CM187" i="3" s="1"/>
  <c r="CG187" i="3"/>
  <c r="CF187" i="3"/>
  <c r="CE187" i="3"/>
  <c r="CD187" i="3"/>
  <c r="CC187" i="3"/>
  <c r="CA187" i="3"/>
  <c r="CB187" i="3" s="1"/>
  <c r="BT187" i="3"/>
  <c r="BS187" i="3"/>
  <c r="BP187" i="3"/>
  <c r="BO187" i="3"/>
  <c r="BN187" i="3"/>
  <c r="BM187" i="3"/>
  <c r="BR187" i="3" s="1"/>
  <c r="BL187" i="3"/>
  <c r="AY187" i="3"/>
  <c r="AX187" i="3"/>
  <c r="AW187" i="3"/>
  <c r="DT186" i="3"/>
  <c r="DR186" i="3"/>
  <c r="DQ186" i="3"/>
  <c r="DK186" i="3"/>
  <c r="DI186" i="3"/>
  <c r="DH186" i="3"/>
  <c r="CU186" i="3"/>
  <c r="CV186" i="3" s="1"/>
  <c r="CS186" i="3"/>
  <c r="CT186" i="3" s="1"/>
  <c r="CP186" i="3"/>
  <c r="CJ186" i="3"/>
  <c r="CM186" i="3" s="1"/>
  <c r="CF186" i="3"/>
  <c r="CE186" i="3"/>
  <c r="CD186" i="3"/>
  <c r="CC186" i="3"/>
  <c r="CA186" i="3"/>
  <c r="CB186" i="3" s="1"/>
  <c r="CG186" i="3" s="1"/>
  <c r="BT186" i="3"/>
  <c r="BP186" i="3"/>
  <c r="BO186" i="3"/>
  <c r="BN186" i="3"/>
  <c r="BM186" i="3"/>
  <c r="BL186" i="3"/>
  <c r="AY186" i="3"/>
  <c r="AX186" i="3"/>
  <c r="AW186" i="3"/>
  <c r="DT185" i="3"/>
  <c r="DR185" i="3"/>
  <c r="DQ185" i="3"/>
  <c r="DK185" i="3"/>
  <c r="DI185" i="3"/>
  <c r="DH185" i="3"/>
  <c r="CU185" i="3"/>
  <c r="CV185" i="3" s="1"/>
  <c r="CT185" i="3"/>
  <c r="CS185" i="3"/>
  <c r="CP185" i="3"/>
  <c r="CM185" i="3"/>
  <c r="CJ185" i="3"/>
  <c r="CF185" i="3"/>
  <c r="CE185" i="3"/>
  <c r="CD185" i="3"/>
  <c r="CC185" i="3"/>
  <c r="CB185" i="3"/>
  <c r="CG185" i="3" s="1"/>
  <c r="CA185" i="3"/>
  <c r="BT185" i="3"/>
  <c r="BR185" i="3"/>
  <c r="BQ185" i="3"/>
  <c r="BP185" i="3"/>
  <c r="BO185" i="3"/>
  <c r="BN185" i="3"/>
  <c r="BM185" i="3"/>
  <c r="BS185" i="3" s="1"/>
  <c r="BL185" i="3"/>
  <c r="AY185" i="3"/>
  <c r="AX185" i="3"/>
  <c r="AW185" i="3"/>
  <c r="DT184" i="3"/>
  <c r="DS184" i="3"/>
  <c r="DR184" i="3"/>
  <c r="DQ184" i="3"/>
  <c r="DK184" i="3"/>
  <c r="DI184" i="3"/>
  <c r="DH184" i="3"/>
  <c r="CV184" i="3"/>
  <c r="CU184" i="3"/>
  <c r="CT184" i="3"/>
  <c r="CS184" i="3"/>
  <c r="CP184" i="3"/>
  <c r="CM184" i="3"/>
  <c r="CJ184" i="3"/>
  <c r="CG184" i="3"/>
  <c r="CH184" i="3" s="1"/>
  <c r="CF184" i="3"/>
  <c r="CE184" i="3"/>
  <c r="CD184" i="3"/>
  <c r="CC184" i="3"/>
  <c r="CB184" i="3"/>
  <c r="CA184" i="3"/>
  <c r="BT184" i="3"/>
  <c r="BS184" i="3"/>
  <c r="BR184" i="3"/>
  <c r="BQ184" i="3"/>
  <c r="BP184" i="3"/>
  <c r="BO184" i="3"/>
  <c r="BN184" i="3"/>
  <c r="BM184" i="3"/>
  <c r="BL184" i="3"/>
  <c r="AY184" i="3"/>
  <c r="AX184" i="3"/>
  <c r="AW184" i="3"/>
  <c r="DT183" i="3"/>
  <c r="DR183" i="3"/>
  <c r="DQ183" i="3"/>
  <c r="DK183" i="3"/>
  <c r="DI183" i="3"/>
  <c r="DH183" i="3"/>
  <c r="CV183" i="3"/>
  <c r="CU183" i="3"/>
  <c r="CS183" i="3"/>
  <c r="CT183" i="3" s="1"/>
  <c r="CP183" i="3"/>
  <c r="CJ183" i="3"/>
  <c r="CM183" i="3" s="1"/>
  <c r="CG183" i="3"/>
  <c r="CF183" i="3"/>
  <c r="CE183" i="3"/>
  <c r="CD183" i="3"/>
  <c r="CC183" i="3"/>
  <c r="CA183" i="3"/>
  <c r="CB183" i="3" s="1"/>
  <c r="BT183" i="3"/>
  <c r="BS183" i="3"/>
  <c r="BP183" i="3"/>
  <c r="BO183" i="3"/>
  <c r="BN183" i="3"/>
  <c r="BM183" i="3"/>
  <c r="BR183" i="3" s="1"/>
  <c r="BL183" i="3"/>
  <c r="AY183" i="3"/>
  <c r="AX183" i="3"/>
  <c r="AW183" i="3"/>
  <c r="DT182" i="3"/>
  <c r="DR182" i="3"/>
  <c r="DQ182" i="3"/>
  <c r="DK182" i="3"/>
  <c r="DI182" i="3"/>
  <c r="DH182" i="3"/>
  <c r="CU182" i="3"/>
  <c r="CV182" i="3" s="1"/>
  <c r="CS182" i="3"/>
  <c r="CT182" i="3" s="1"/>
  <c r="CP182" i="3"/>
  <c r="CJ182" i="3"/>
  <c r="CM182" i="3" s="1"/>
  <c r="CF182" i="3"/>
  <c r="CE182" i="3"/>
  <c r="CD182" i="3"/>
  <c r="CC182" i="3"/>
  <c r="CA182" i="3"/>
  <c r="CB182" i="3" s="1"/>
  <c r="CG182" i="3" s="1"/>
  <c r="BT182" i="3"/>
  <c r="BP182" i="3"/>
  <c r="BO182" i="3"/>
  <c r="BN182" i="3"/>
  <c r="BM182" i="3"/>
  <c r="BL182" i="3"/>
  <c r="AY182" i="3"/>
  <c r="AX182" i="3"/>
  <c r="AW182" i="3"/>
  <c r="DT181" i="3"/>
  <c r="DR181" i="3"/>
  <c r="DQ181" i="3"/>
  <c r="DK181" i="3"/>
  <c r="DI181" i="3"/>
  <c r="DH181" i="3"/>
  <c r="CU181" i="3"/>
  <c r="CV181" i="3" s="1"/>
  <c r="CT181" i="3"/>
  <c r="CS181" i="3"/>
  <c r="CP181" i="3"/>
  <c r="CM181" i="3"/>
  <c r="CJ181" i="3"/>
  <c r="CF181" i="3"/>
  <c r="CE181" i="3"/>
  <c r="CD181" i="3"/>
  <c r="CC181" i="3"/>
  <c r="CB181" i="3"/>
  <c r="CG181" i="3" s="1"/>
  <c r="CA181" i="3"/>
  <c r="BT181" i="3"/>
  <c r="BR181" i="3"/>
  <c r="BQ181" i="3"/>
  <c r="BP181" i="3"/>
  <c r="BO181" i="3"/>
  <c r="BN181" i="3"/>
  <c r="BM181" i="3"/>
  <c r="BS181" i="3" s="1"/>
  <c r="BL181" i="3"/>
  <c r="AY181" i="3"/>
  <c r="AX181" i="3"/>
  <c r="AW181" i="3"/>
  <c r="DT180" i="3"/>
  <c r="DS180" i="3"/>
  <c r="DR180" i="3"/>
  <c r="DQ180" i="3"/>
  <c r="DK180" i="3"/>
  <c r="DI180" i="3"/>
  <c r="DH180" i="3"/>
  <c r="CV180" i="3"/>
  <c r="CU180" i="3"/>
  <c r="CT180" i="3"/>
  <c r="CS180" i="3"/>
  <c r="CP180" i="3"/>
  <c r="CM180" i="3"/>
  <c r="CJ180" i="3"/>
  <c r="CG180" i="3"/>
  <c r="CH180" i="3" s="1"/>
  <c r="CF180" i="3"/>
  <c r="CE180" i="3"/>
  <c r="CD180" i="3"/>
  <c r="CC180" i="3"/>
  <c r="CB180" i="3"/>
  <c r="CA180" i="3"/>
  <c r="BT180" i="3"/>
  <c r="BS180" i="3"/>
  <c r="BR180" i="3"/>
  <c r="BQ180" i="3"/>
  <c r="BP180" i="3"/>
  <c r="BO180" i="3"/>
  <c r="BN180" i="3"/>
  <c r="BM180" i="3"/>
  <c r="BL180" i="3"/>
  <c r="AY180" i="3"/>
  <c r="AX180" i="3"/>
  <c r="AW180" i="3"/>
  <c r="DT179" i="3"/>
  <c r="DR179" i="3"/>
  <c r="DQ179" i="3"/>
  <c r="DK179" i="3"/>
  <c r="DI179" i="3"/>
  <c r="DH179" i="3"/>
  <c r="CV179" i="3"/>
  <c r="CU179" i="3"/>
  <c r="CS179" i="3"/>
  <c r="CT179" i="3" s="1"/>
  <c r="CP179" i="3"/>
  <c r="CJ179" i="3"/>
  <c r="CM179" i="3" s="1"/>
  <c r="CG179" i="3"/>
  <c r="CF179" i="3"/>
  <c r="CE179" i="3"/>
  <c r="CD179" i="3"/>
  <c r="CC179" i="3"/>
  <c r="CA179" i="3"/>
  <c r="CB179" i="3" s="1"/>
  <c r="BT179" i="3"/>
  <c r="BS179" i="3"/>
  <c r="BP179" i="3"/>
  <c r="BO179" i="3"/>
  <c r="BN179" i="3"/>
  <c r="BM179" i="3"/>
  <c r="BR179" i="3" s="1"/>
  <c r="BL179" i="3"/>
  <c r="AY179" i="3"/>
  <c r="AX179" i="3"/>
  <c r="AW179" i="3"/>
  <c r="DT178" i="3"/>
  <c r="DR178" i="3"/>
  <c r="DQ178" i="3"/>
  <c r="DK178" i="3"/>
  <c r="DI178" i="3"/>
  <c r="DH178" i="3"/>
  <c r="CU178" i="3"/>
  <c r="CV178" i="3" s="1"/>
  <c r="CS178" i="3"/>
  <c r="CT178" i="3" s="1"/>
  <c r="CP178" i="3"/>
  <c r="CJ178" i="3"/>
  <c r="CM178" i="3" s="1"/>
  <c r="CF178" i="3"/>
  <c r="CE178" i="3"/>
  <c r="CD178" i="3"/>
  <c r="CC178" i="3"/>
  <c r="CA178" i="3"/>
  <c r="CB178" i="3" s="1"/>
  <c r="CG178" i="3" s="1"/>
  <c r="BT178" i="3"/>
  <c r="BP178" i="3"/>
  <c r="BO178" i="3"/>
  <c r="BN178" i="3"/>
  <c r="BM178" i="3"/>
  <c r="BL178" i="3"/>
  <c r="AY178" i="3"/>
  <c r="AX178" i="3"/>
  <c r="AW178" i="3"/>
  <c r="DT177" i="3"/>
  <c r="DR177" i="3"/>
  <c r="DQ177" i="3"/>
  <c r="DK177" i="3"/>
  <c r="DI177" i="3"/>
  <c r="DH177" i="3"/>
  <c r="CU177" i="3"/>
  <c r="CV177" i="3" s="1"/>
  <c r="CT177" i="3"/>
  <c r="CS177" i="3"/>
  <c r="CP177" i="3"/>
  <c r="CM177" i="3"/>
  <c r="CJ177" i="3"/>
  <c r="CF177" i="3"/>
  <c r="CE177" i="3"/>
  <c r="CD177" i="3"/>
  <c r="CC177" i="3"/>
  <c r="CB177" i="3"/>
  <c r="CG177" i="3" s="1"/>
  <c r="CA177" i="3"/>
  <c r="BT177" i="3"/>
  <c r="BR177" i="3"/>
  <c r="BQ177" i="3"/>
  <c r="BP177" i="3"/>
  <c r="BO177" i="3"/>
  <c r="BN177" i="3"/>
  <c r="BM177" i="3"/>
  <c r="BS177" i="3" s="1"/>
  <c r="BL177" i="3"/>
  <c r="AY177" i="3"/>
  <c r="AX177" i="3"/>
  <c r="AW177" i="3"/>
  <c r="DT176" i="3"/>
  <c r="DS176" i="3"/>
  <c r="DR176" i="3"/>
  <c r="DQ176" i="3"/>
  <c r="DK176" i="3"/>
  <c r="DI176" i="3"/>
  <c r="DH176" i="3"/>
  <c r="CV176" i="3"/>
  <c r="CU176" i="3"/>
  <c r="CT176" i="3"/>
  <c r="CS176" i="3"/>
  <c r="CP176" i="3"/>
  <c r="CM176" i="3"/>
  <c r="CJ176" i="3"/>
  <c r="CG176" i="3"/>
  <c r="CH176" i="3" s="1"/>
  <c r="CF176" i="3"/>
  <c r="CE176" i="3"/>
  <c r="CD176" i="3"/>
  <c r="CC176" i="3"/>
  <c r="CB176" i="3"/>
  <c r="CA176" i="3"/>
  <c r="BT176" i="3"/>
  <c r="BS176" i="3"/>
  <c r="BR176" i="3"/>
  <c r="BQ176" i="3"/>
  <c r="BP176" i="3"/>
  <c r="BO176" i="3"/>
  <c r="BN176" i="3"/>
  <c r="BM176" i="3"/>
  <c r="BL176" i="3"/>
  <c r="AY176" i="3"/>
  <c r="AX176" i="3"/>
  <c r="AW176" i="3"/>
  <c r="DT175" i="3"/>
  <c r="DR175" i="3"/>
  <c r="DQ175" i="3"/>
  <c r="DK175" i="3"/>
  <c r="DI175" i="3"/>
  <c r="DH175" i="3"/>
  <c r="CV175" i="3"/>
  <c r="CU175" i="3"/>
  <c r="CS175" i="3"/>
  <c r="CT175" i="3" s="1"/>
  <c r="CP175" i="3"/>
  <c r="CJ175" i="3"/>
  <c r="CM175" i="3" s="1"/>
  <c r="CF175" i="3"/>
  <c r="CE175" i="3"/>
  <c r="CD175" i="3"/>
  <c r="CC175" i="3"/>
  <c r="CA175" i="3"/>
  <c r="CB175" i="3" s="1"/>
  <c r="CG175" i="3" s="1"/>
  <c r="BT175" i="3"/>
  <c r="BS175" i="3"/>
  <c r="BP175" i="3"/>
  <c r="BO175" i="3"/>
  <c r="BN175" i="3"/>
  <c r="BM175" i="3"/>
  <c r="BR175" i="3" s="1"/>
  <c r="BL175" i="3"/>
  <c r="AY175" i="3"/>
  <c r="AX175" i="3"/>
  <c r="AW175" i="3"/>
  <c r="DT174" i="3"/>
  <c r="DR174" i="3"/>
  <c r="DQ174" i="3"/>
  <c r="DK174" i="3"/>
  <c r="DI174" i="3"/>
  <c r="DH174" i="3"/>
  <c r="CU174" i="3"/>
  <c r="CV174" i="3" s="1"/>
  <c r="CS174" i="3"/>
  <c r="CT174" i="3" s="1"/>
  <c r="CP174" i="3"/>
  <c r="CJ174" i="3"/>
  <c r="CM174" i="3" s="1"/>
  <c r="CF174" i="3"/>
  <c r="CE174" i="3"/>
  <c r="CD174" i="3"/>
  <c r="CC174" i="3"/>
  <c r="CA174" i="3"/>
  <c r="CB174" i="3" s="1"/>
  <c r="CG174" i="3" s="1"/>
  <c r="BT174" i="3"/>
  <c r="BP174" i="3"/>
  <c r="BO174" i="3"/>
  <c r="BN174" i="3"/>
  <c r="BM174" i="3"/>
  <c r="BL174" i="3"/>
  <c r="AY174" i="3"/>
  <c r="AX174" i="3"/>
  <c r="AW174" i="3"/>
  <c r="DT173" i="3"/>
  <c r="DR173" i="3"/>
  <c r="DQ173" i="3"/>
  <c r="DK173" i="3"/>
  <c r="DI173" i="3"/>
  <c r="DH173" i="3"/>
  <c r="CU173" i="3"/>
  <c r="CV173" i="3" s="1"/>
  <c r="CT173" i="3"/>
  <c r="CS173" i="3"/>
  <c r="CP173" i="3"/>
  <c r="CM173" i="3"/>
  <c r="CJ173" i="3"/>
  <c r="CF173" i="3"/>
  <c r="CE173" i="3"/>
  <c r="CD173" i="3"/>
  <c r="CC173" i="3"/>
  <c r="CB173" i="3"/>
  <c r="CG173" i="3" s="1"/>
  <c r="CA173" i="3"/>
  <c r="BT173" i="3"/>
  <c r="BR173" i="3"/>
  <c r="BQ173" i="3"/>
  <c r="BP173" i="3"/>
  <c r="BO173" i="3"/>
  <c r="BN173" i="3"/>
  <c r="BM173" i="3"/>
  <c r="BS173" i="3" s="1"/>
  <c r="BL173" i="3"/>
  <c r="AY173" i="3"/>
  <c r="AX173" i="3"/>
  <c r="AW173" i="3"/>
  <c r="DT172" i="3"/>
  <c r="DS172" i="3"/>
  <c r="DR172" i="3"/>
  <c r="DQ172" i="3"/>
  <c r="DK172" i="3"/>
  <c r="DI172" i="3"/>
  <c r="DH172" i="3"/>
  <c r="CV172" i="3"/>
  <c r="CU172" i="3"/>
  <c r="CT172" i="3"/>
  <c r="CS172" i="3"/>
  <c r="CP172" i="3"/>
  <c r="CM172" i="3"/>
  <c r="CJ172" i="3"/>
  <c r="CG172" i="3"/>
  <c r="CH172" i="3" s="1"/>
  <c r="CF172" i="3"/>
  <c r="CE172" i="3"/>
  <c r="CD172" i="3"/>
  <c r="CC172" i="3"/>
  <c r="CB172" i="3"/>
  <c r="CA172" i="3"/>
  <c r="BT172" i="3"/>
  <c r="BS172" i="3"/>
  <c r="BR172" i="3"/>
  <c r="BQ172" i="3"/>
  <c r="BP172" i="3"/>
  <c r="BO172" i="3"/>
  <c r="BN172" i="3"/>
  <c r="BM172" i="3"/>
  <c r="BL172" i="3"/>
  <c r="AY172" i="3"/>
  <c r="AX172" i="3"/>
  <c r="AW172" i="3"/>
  <c r="DT171" i="3"/>
  <c r="DR171" i="3"/>
  <c r="DQ171" i="3"/>
  <c r="DK171" i="3"/>
  <c r="DI171" i="3"/>
  <c r="DH171" i="3"/>
  <c r="CV171" i="3"/>
  <c r="CU171" i="3"/>
  <c r="CS171" i="3"/>
  <c r="CT171" i="3" s="1"/>
  <c r="CP171" i="3"/>
  <c r="CJ171" i="3"/>
  <c r="CM171" i="3" s="1"/>
  <c r="CF171" i="3"/>
  <c r="CE171" i="3"/>
  <c r="CD171" i="3"/>
  <c r="CC171" i="3"/>
  <c r="CA171" i="3"/>
  <c r="CB171" i="3" s="1"/>
  <c r="CG171" i="3" s="1"/>
  <c r="BT171" i="3"/>
  <c r="BS171" i="3"/>
  <c r="BP171" i="3"/>
  <c r="BO171" i="3"/>
  <c r="BN171" i="3"/>
  <c r="BM171" i="3"/>
  <c r="BR171" i="3" s="1"/>
  <c r="BL171" i="3"/>
  <c r="AY171" i="3"/>
  <c r="AX171" i="3"/>
  <c r="AW171" i="3"/>
  <c r="DT170" i="3"/>
  <c r="DR170" i="3"/>
  <c r="DQ170" i="3"/>
  <c r="DK170" i="3"/>
  <c r="DI170" i="3"/>
  <c r="DH170" i="3"/>
  <c r="CU170" i="3"/>
  <c r="CV170" i="3" s="1"/>
  <c r="CS170" i="3"/>
  <c r="CT170" i="3" s="1"/>
  <c r="CP170" i="3"/>
  <c r="CJ170" i="3"/>
  <c r="CM170" i="3" s="1"/>
  <c r="CF170" i="3"/>
  <c r="CE170" i="3"/>
  <c r="CD170" i="3"/>
  <c r="CC170" i="3"/>
  <c r="CA170" i="3"/>
  <c r="CB170" i="3" s="1"/>
  <c r="CG170" i="3" s="1"/>
  <c r="BT170" i="3"/>
  <c r="BP170" i="3"/>
  <c r="BO170" i="3"/>
  <c r="BN170" i="3"/>
  <c r="BM170" i="3"/>
  <c r="BL170" i="3"/>
  <c r="AY170" i="3"/>
  <c r="AX170" i="3"/>
  <c r="AW170" i="3"/>
  <c r="DT169" i="3"/>
  <c r="DR169" i="3"/>
  <c r="DQ169" i="3"/>
  <c r="DK169" i="3"/>
  <c r="DI169" i="3"/>
  <c r="DH169" i="3"/>
  <c r="CU169" i="3"/>
  <c r="CV169" i="3" s="1"/>
  <c r="CT169" i="3"/>
  <c r="CS169" i="3"/>
  <c r="CP169" i="3"/>
  <c r="CM169" i="3"/>
  <c r="CJ169" i="3"/>
  <c r="CF169" i="3"/>
  <c r="CE169" i="3"/>
  <c r="CD169" i="3"/>
  <c r="CC169" i="3"/>
  <c r="CB169" i="3"/>
  <c r="CG169" i="3" s="1"/>
  <c r="CA169" i="3"/>
  <c r="BT169" i="3"/>
  <c r="BR169" i="3"/>
  <c r="BQ169" i="3"/>
  <c r="BP169" i="3"/>
  <c r="BO169" i="3"/>
  <c r="BN169" i="3"/>
  <c r="BM169" i="3"/>
  <c r="BS169" i="3" s="1"/>
  <c r="BL169" i="3"/>
  <c r="AY169" i="3"/>
  <c r="AX169" i="3"/>
  <c r="AW169" i="3"/>
  <c r="DT168" i="3"/>
  <c r="DS168" i="3"/>
  <c r="DR168" i="3"/>
  <c r="DQ168" i="3"/>
  <c r="DK168" i="3"/>
  <c r="DI168" i="3"/>
  <c r="DH168" i="3"/>
  <c r="CV168" i="3"/>
  <c r="CU168" i="3"/>
  <c r="CT168" i="3"/>
  <c r="CS168" i="3"/>
  <c r="CP168" i="3"/>
  <c r="CM168" i="3"/>
  <c r="CJ168" i="3"/>
  <c r="CG168" i="3"/>
  <c r="CH168" i="3" s="1"/>
  <c r="CF168" i="3"/>
  <c r="CE168" i="3"/>
  <c r="CD168" i="3"/>
  <c r="CC168" i="3"/>
  <c r="CB168" i="3"/>
  <c r="CA168" i="3"/>
  <c r="BT168" i="3"/>
  <c r="BS168" i="3"/>
  <c r="BR168" i="3"/>
  <c r="BQ168" i="3"/>
  <c r="BP168" i="3"/>
  <c r="BO168" i="3"/>
  <c r="BN168" i="3"/>
  <c r="BM168" i="3"/>
  <c r="BL168" i="3"/>
  <c r="AY168" i="3"/>
  <c r="AX168" i="3"/>
  <c r="AW168" i="3"/>
  <c r="DT167" i="3"/>
  <c r="DR167" i="3"/>
  <c r="DQ167" i="3"/>
  <c r="DK167" i="3"/>
  <c r="DI167" i="3"/>
  <c r="DH167" i="3"/>
  <c r="CV167" i="3"/>
  <c r="CU167" i="3"/>
  <c r="CS167" i="3"/>
  <c r="CT167" i="3" s="1"/>
  <c r="CP167" i="3"/>
  <c r="CJ167" i="3"/>
  <c r="CM167" i="3" s="1"/>
  <c r="CF167" i="3"/>
  <c r="CE167" i="3"/>
  <c r="CD167" i="3"/>
  <c r="CC167" i="3"/>
  <c r="CA167" i="3"/>
  <c r="CB167" i="3" s="1"/>
  <c r="CG167" i="3" s="1"/>
  <c r="BT167" i="3"/>
  <c r="BS167" i="3"/>
  <c r="BP167" i="3"/>
  <c r="BO167" i="3"/>
  <c r="BN167" i="3"/>
  <c r="BM167" i="3"/>
  <c r="BR167" i="3" s="1"/>
  <c r="BL167" i="3"/>
  <c r="AY167" i="3"/>
  <c r="AX167" i="3"/>
  <c r="AW167" i="3"/>
  <c r="DT166" i="3"/>
  <c r="DR166" i="3"/>
  <c r="DQ166" i="3"/>
  <c r="DK166" i="3"/>
  <c r="DI166" i="3"/>
  <c r="DH166" i="3"/>
  <c r="CU166" i="3"/>
  <c r="CV166" i="3" s="1"/>
  <c r="CS166" i="3"/>
  <c r="CT166" i="3" s="1"/>
  <c r="CP166" i="3"/>
  <c r="CJ166" i="3"/>
  <c r="CM166" i="3" s="1"/>
  <c r="CF166" i="3"/>
  <c r="CE166" i="3"/>
  <c r="CD166" i="3"/>
  <c r="CC166" i="3"/>
  <c r="CA166" i="3"/>
  <c r="CB166" i="3" s="1"/>
  <c r="CG166" i="3" s="1"/>
  <c r="BT166" i="3"/>
  <c r="BP166" i="3"/>
  <c r="BO166" i="3"/>
  <c r="BN166" i="3"/>
  <c r="BM166" i="3"/>
  <c r="BL166" i="3"/>
  <c r="AY166" i="3"/>
  <c r="AX166" i="3"/>
  <c r="AW166" i="3"/>
  <c r="DT165" i="3"/>
  <c r="DR165" i="3"/>
  <c r="DQ165" i="3"/>
  <c r="DK165" i="3"/>
  <c r="DI165" i="3"/>
  <c r="DH165" i="3"/>
  <c r="CU165" i="3"/>
  <c r="CV165" i="3" s="1"/>
  <c r="CT165" i="3"/>
  <c r="CS165" i="3"/>
  <c r="CP165" i="3"/>
  <c r="CM165" i="3"/>
  <c r="CJ165" i="3"/>
  <c r="CF165" i="3"/>
  <c r="CE165" i="3"/>
  <c r="CD165" i="3"/>
  <c r="CC165" i="3"/>
  <c r="CB165" i="3"/>
  <c r="CG165" i="3" s="1"/>
  <c r="CA165" i="3"/>
  <c r="BT165" i="3"/>
  <c r="BR165" i="3"/>
  <c r="BQ165" i="3"/>
  <c r="BP165" i="3"/>
  <c r="BO165" i="3"/>
  <c r="BN165" i="3"/>
  <c r="BM165" i="3"/>
  <c r="BS165" i="3" s="1"/>
  <c r="BL165" i="3"/>
  <c r="AY165" i="3"/>
  <c r="AX165" i="3"/>
  <c r="AW165" i="3"/>
  <c r="DT164" i="3"/>
  <c r="DS164" i="3"/>
  <c r="DR164" i="3"/>
  <c r="DQ164" i="3"/>
  <c r="DK164" i="3"/>
  <c r="DI164" i="3"/>
  <c r="DH164" i="3"/>
  <c r="CV164" i="3"/>
  <c r="CU164" i="3"/>
  <c r="CT164" i="3"/>
  <c r="CS164" i="3"/>
  <c r="CP164" i="3"/>
  <c r="CM164" i="3"/>
  <c r="CJ164" i="3"/>
  <c r="CG164" i="3"/>
  <c r="CH164" i="3" s="1"/>
  <c r="CF164" i="3"/>
  <c r="CE164" i="3"/>
  <c r="CD164" i="3"/>
  <c r="CC164" i="3"/>
  <c r="CB164" i="3"/>
  <c r="CA164" i="3"/>
  <c r="BT164" i="3"/>
  <c r="BS164" i="3"/>
  <c r="BR164" i="3"/>
  <c r="BQ164" i="3"/>
  <c r="BP164" i="3"/>
  <c r="BO164" i="3"/>
  <c r="BN164" i="3"/>
  <c r="BM164" i="3"/>
  <c r="BL164" i="3"/>
  <c r="AY164" i="3"/>
  <c r="AX164" i="3"/>
  <c r="AW164" i="3"/>
  <c r="DT163" i="3"/>
  <c r="DR163" i="3"/>
  <c r="DQ163" i="3"/>
  <c r="DK163" i="3"/>
  <c r="DI163" i="3"/>
  <c r="DH163" i="3"/>
  <c r="CV163" i="3"/>
  <c r="CU163" i="3"/>
  <c r="CS163" i="3"/>
  <c r="CT163" i="3" s="1"/>
  <c r="CP163" i="3"/>
  <c r="CJ163" i="3"/>
  <c r="CM163" i="3" s="1"/>
  <c r="CF163" i="3"/>
  <c r="CE163" i="3"/>
  <c r="CD163" i="3"/>
  <c r="CC163" i="3"/>
  <c r="CA163" i="3"/>
  <c r="CB163" i="3" s="1"/>
  <c r="CG163" i="3" s="1"/>
  <c r="BT163" i="3"/>
  <c r="BS163" i="3"/>
  <c r="BP163" i="3"/>
  <c r="BO163" i="3"/>
  <c r="BN163" i="3"/>
  <c r="BM163" i="3"/>
  <c r="BR163" i="3" s="1"/>
  <c r="BL163" i="3"/>
  <c r="AY163" i="3"/>
  <c r="AX163" i="3"/>
  <c r="AW163" i="3"/>
  <c r="DT162" i="3"/>
  <c r="DR162" i="3"/>
  <c r="DQ162" i="3"/>
  <c r="DK162" i="3"/>
  <c r="DI162" i="3"/>
  <c r="DH162" i="3"/>
  <c r="CU162" i="3"/>
  <c r="CV162" i="3" s="1"/>
  <c r="CS162" i="3"/>
  <c r="CT162" i="3" s="1"/>
  <c r="CP162" i="3"/>
  <c r="CJ162" i="3"/>
  <c r="CM162" i="3" s="1"/>
  <c r="CF162" i="3"/>
  <c r="CE162" i="3"/>
  <c r="CD162" i="3"/>
  <c r="CC162" i="3"/>
  <c r="CA162" i="3"/>
  <c r="CB162" i="3" s="1"/>
  <c r="CG162" i="3" s="1"/>
  <c r="BT162" i="3"/>
  <c r="BP162" i="3"/>
  <c r="BO162" i="3"/>
  <c r="BN162" i="3"/>
  <c r="BM162" i="3"/>
  <c r="BL162" i="3"/>
  <c r="AY162" i="3"/>
  <c r="AX162" i="3"/>
  <c r="AW162" i="3"/>
  <c r="DT161" i="3"/>
  <c r="DR161" i="3"/>
  <c r="DQ161" i="3"/>
  <c r="DK161" i="3"/>
  <c r="DI161" i="3"/>
  <c r="DH161" i="3"/>
  <c r="CU161" i="3"/>
  <c r="CV161" i="3" s="1"/>
  <c r="CT161" i="3"/>
  <c r="CS161" i="3"/>
  <c r="CP161" i="3"/>
  <c r="CM161" i="3"/>
  <c r="CJ161" i="3"/>
  <c r="CF161" i="3"/>
  <c r="CE161" i="3"/>
  <c r="CD161" i="3"/>
  <c r="CC161" i="3"/>
  <c r="CB161" i="3"/>
  <c r="CG161" i="3" s="1"/>
  <c r="CA161" i="3"/>
  <c r="BT161" i="3"/>
  <c r="BR161" i="3"/>
  <c r="BQ161" i="3"/>
  <c r="BP161" i="3"/>
  <c r="BO161" i="3"/>
  <c r="BN161" i="3"/>
  <c r="BM161" i="3"/>
  <c r="BS161" i="3" s="1"/>
  <c r="BL161" i="3"/>
  <c r="AY161" i="3"/>
  <c r="AX161" i="3"/>
  <c r="AW161" i="3"/>
  <c r="DT160" i="3"/>
  <c r="DS160" i="3"/>
  <c r="DR160" i="3"/>
  <c r="DQ160" i="3"/>
  <c r="DK160" i="3"/>
  <c r="DI160" i="3"/>
  <c r="DH160" i="3"/>
  <c r="CV160" i="3"/>
  <c r="CU160" i="3"/>
  <c r="CT160" i="3"/>
  <c r="CS160" i="3"/>
  <c r="CP160" i="3"/>
  <c r="CM160" i="3"/>
  <c r="CJ160" i="3"/>
  <c r="CG160" i="3"/>
  <c r="CH160" i="3" s="1"/>
  <c r="CF160" i="3"/>
  <c r="CE160" i="3"/>
  <c r="CD160" i="3"/>
  <c r="CC160" i="3"/>
  <c r="CB160" i="3"/>
  <c r="CA160" i="3"/>
  <c r="BT160" i="3"/>
  <c r="BS160" i="3"/>
  <c r="BR160" i="3"/>
  <c r="BQ160" i="3"/>
  <c r="BP160" i="3"/>
  <c r="BO160" i="3"/>
  <c r="BN160" i="3"/>
  <c r="BM160" i="3"/>
  <c r="BL160" i="3"/>
  <c r="AY160" i="3"/>
  <c r="AX160" i="3"/>
  <c r="AW160" i="3"/>
  <c r="DT159" i="3"/>
  <c r="DR159" i="3"/>
  <c r="DQ159" i="3"/>
  <c r="DK159" i="3"/>
  <c r="DI159" i="3"/>
  <c r="DH159" i="3"/>
  <c r="CV159" i="3"/>
  <c r="CU159" i="3"/>
  <c r="CS159" i="3"/>
  <c r="CT159" i="3" s="1"/>
  <c r="CP159" i="3"/>
  <c r="CJ159" i="3"/>
  <c r="CM159" i="3" s="1"/>
  <c r="CF159" i="3"/>
  <c r="CE159" i="3"/>
  <c r="CD159" i="3"/>
  <c r="CC159" i="3"/>
  <c r="CA159" i="3"/>
  <c r="CB159" i="3" s="1"/>
  <c r="CG159" i="3" s="1"/>
  <c r="BT159" i="3"/>
  <c r="BS159" i="3"/>
  <c r="BP159" i="3"/>
  <c r="BO159" i="3"/>
  <c r="BN159" i="3"/>
  <c r="BM159" i="3"/>
  <c r="BR159" i="3" s="1"/>
  <c r="BL159" i="3"/>
  <c r="AY159" i="3"/>
  <c r="AX159" i="3"/>
  <c r="AW159" i="3"/>
  <c r="DT158" i="3"/>
  <c r="DR158" i="3"/>
  <c r="DQ158" i="3"/>
  <c r="DK158" i="3"/>
  <c r="DI158" i="3"/>
  <c r="DH158" i="3"/>
  <c r="CU158" i="3"/>
  <c r="CV158" i="3" s="1"/>
  <c r="CS158" i="3"/>
  <c r="CT158" i="3" s="1"/>
  <c r="CP158" i="3"/>
  <c r="CJ158" i="3"/>
  <c r="CM158" i="3" s="1"/>
  <c r="CF158" i="3"/>
  <c r="CE158" i="3"/>
  <c r="CD158" i="3"/>
  <c r="CC158" i="3"/>
  <c r="CA158" i="3"/>
  <c r="CB158" i="3" s="1"/>
  <c r="CG158" i="3" s="1"/>
  <c r="BT158" i="3"/>
  <c r="BP158" i="3"/>
  <c r="BO158" i="3"/>
  <c r="BN158" i="3"/>
  <c r="BM158" i="3"/>
  <c r="BL158" i="3"/>
  <c r="AY158" i="3"/>
  <c r="AX158" i="3"/>
  <c r="AW158" i="3"/>
  <c r="DT157" i="3"/>
  <c r="DR157" i="3"/>
  <c r="DQ157" i="3"/>
  <c r="DK157" i="3"/>
  <c r="DI157" i="3"/>
  <c r="DH157" i="3"/>
  <c r="CU157" i="3"/>
  <c r="CV157" i="3" s="1"/>
  <c r="CT157" i="3"/>
  <c r="CS157" i="3"/>
  <c r="CP157" i="3"/>
  <c r="CM157" i="3"/>
  <c r="CJ157" i="3"/>
  <c r="CF157" i="3"/>
  <c r="CE157" i="3"/>
  <c r="CD157" i="3"/>
  <c r="CC157" i="3"/>
  <c r="CB157" i="3"/>
  <c r="CG157" i="3" s="1"/>
  <c r="CA157" i="3"/>
  <c r="BT157" i="3"/>
  <c r="BR157" i="3"/>
  <c r="BQ157" i="3"/>
  <c r="BP157" i="3"/>
  <c r="BO157" i="3"/>
  <c r="BN157" i="3"/>
  <c r="BM157" i="3"/>
  <c r="BS157" i="3" s="1"/>
  <c r="BL157" i="3"/>
  <c r="AY157" i="3"/>
  <c r="AX157" i="3"/>
  <c r="AW157" i="3"/>
  <c r="DT156" i="3"/>
  <c r="DS156" i="3"/>
  <c r="DR156" i="3"/>
  <c r="DQ156" i="3"/>
  <c r="DK156" i="3"/>
  <c r="DI156" i="3"/>
  <c r="DH156" i="3"/>
  <c r="CV156" i="3"/>
  <c r="CU156" i="3"/>
  <c r="CT156" i="3"/>
  <c r="CS156" i="3"/>
  <c r="CP156" i="3"/>
  <c r="CM156" i="3"/>
  <c r="CJ156" i="3"/>
  <c r="CG156" i="3"/>
  <c r="CH156" i="3" s="1"/>
  <c r="CF156" i="3"/>
  <c r="CE156" i="3"/>
  <c r="CD156" i="3"/>
  <c r="CC156" i="3"/>
  <c r="CB156" i="3"/>
  <c r="CA156" i="3"/>
  <c r="BT156" i="3"/>
  <c r="BS156" i="3"/>
  <c r="BR156" i="3"/>
  <c r="BQ156" i="3"/>
  <c r="BP156" i="3"/>
  <c r="BO156" i="3"/>
  <c r="BN156" i="3"/>
  <c r="BM156" i="3"/>
  <c r="BL156" i="3"/>
  <c r="AY156" i="3"/>
  <c r="AX156" i="3"/>
  <c r="AW156" i="3"/>
  <c r="DT155" i="3"/>
  <c r="DR155" i="3"/>
  <c r="DQ155" i="3"/>
  <c r="DK155" i="3"/>
  <c r="DI155" i="3"/>
  <c r="DH155" i="3"/>
  <c r="CV155" i="3"/>
  <c r="CU155" i="3"/>
  <c r="CS155" i="3"/>
  <c r="CT155" i="3" s="1"/>
  <c r="CP155" i="3"/>
  <c r="CJ155" i="3"/>
  <c r="CM155" i="3" s="1"/>
  <c r="CG155" i="3"/>
  <c r="CF155" i="3"/>
  <c r="CE155" i="3"/>
  <c r="CD155" i="3"/>
  <c r="CC155" i="3"/>
  <c r="CA155" i="3"/>
  <c r="CB155" i="3" s="1"/>
  <c r="BT155" i="3"/>
  <c r="BS155" i="3"/>
  <c r="BP155" i="3"/>
  <c r="BO155" i="3"/>
  <c r="BN155" i="3"/>
  <c r="BM155" i="3"/>
  <c r="BR155" i="3" s="1"/>
  <c r="BL155" i="3"/>
  <c r="AY155" i="3"/>
  <c r="AX155" i="3"/>
  <c r="AW155" i="3"/>
  <c r="DT154" i="3"/>
  <c r="DR154" i="3"/>
  <c r="DQ154" i="3"/>
  <c r="DK154" i="3"/>
  <c r="DI154" i="3"/>
  <c r="DH154" i="3"/>
  <c r="CU154" i="3"/>
  <c r="CV154" i="3" s="1"/>
  <c r="CS154" i="3"/>
  <c r="CT154" i="3" s="1"/>
  <c r="CP154" i="3"/>
  <c r="CJ154" i="3"/>
  <c r="CM154" i="3" s="1"/>
  <c r="CF154" i="3"/>
  <c r="CE154" i="3"/>
  <c r="CD154" i="3"/>
  <c r="CC154" i="3"/>
  <c r="CA154" i="3"/>
  <c r="CB154" i="3" s="1"/>
  <c r="CG154" i="3" s="1"/>
  <c r="BT154" i="3"/>
  <c r="BP154" i="3"/>
  <c r="BO154" i="3"/>
  <c r="BN154" i="3"/>
  <c r="BM154" i="3"/>
  <c r="BL154" i="3"/>
  <c r="AY154" i="3"/>
  <c r="AX154" i="3"/>
  <c r="AW154" i="3"/>
  <c r="DT153" i="3"/>
  <c r="DR153" i="3"/>
  <c r="DQ153" i="3"/>
  <c r="DK153" i="3"/>
  <c r="DI153" i="3"/>
  <c r="DH153" i="3"/>
  <c r="CU153" i="3"/>
  <c r="CV153" i="3" s="1"/>
  <c r="CT153" i="3"/>
  <c r="CS153" i="3"/>
  <c r="CP153" i="3"/>
  <c r="CM153" i="3"/>
  <c r="CJ153" i="3"/>
  <c r="CF153" i="3"/>
  <c r="CE153" i="3"/>
  <c r="CD153" i="3"/>
  <c r="CC153" i="3"/>
  <c r="CB153" i="3"/>
  <c r="CG153" i="3" s="1"/>
  <c r="CA153" i="3"/>
  <c r="BT153" i="3"/>
  <c r="BR153" i="3"/>
  <c r="BQ153" i="3"/>
  <c r="BP153" i="3"/>
  <c r="BO153" i="3"/>
  <c r="BN153" i="3"/>
  <c r="BM153" i="3"/>
  <c r="BS153" i="3" s="1"/>
  <c r="BL153" i="3"/>
  <c r="AY153" i="3"/>
  <c r="AX153" i="3"/>
  <c r="AW153" i="3"/>
  <c r="DT152" i="3"/>
  <c r="DS152" i="3"/>
  <c r="DR152" i="3"/>
  <c r="DQ152" i="3"/>
  <c r="DK152" i="3"/>
  <c r="DI152" i="3"/>
  <c r="DH152" i="3"/>
  <c r="CV152" i="3"/>
  <c r="CU152" i="3"/>
  <c r="CT152" i="3"/>
  <c r="CS152" i="3"/>
  <c r="CP152" i="3"/>
  <c r="CM152" i="3"/>
  <c r="CJ152" i="3"/>
  <c r="CG152" i="3"/>
  <c r="CH152" i="3" s="1"/>
  <c r="CF152" i="3"/>
  <c r="CE152" i="3"/>
  <c r="CD152" i="3"/>
  <c r="CC152" i="3"/>
  <c r="CB152" i="3"/>
  <c r="CA152" i="3"/>
  <c r="BT152" i="3"/>
  <c r="BS152" i="3"/>
  <c r="BR152" i="3"/>
  <c r="BQ152" i="3"/>
  <c r="BP152" i="3"/>
  <c r="BO152" i="3"/>
  <c r="BN152" i="3"/>
  <c r="BM152" i="3"/>
  <c r="BL152" i="3"/>
  <c r="AY152" i="3"/>
  <c r="AX152" i="3"/>
  <c r="AW152" i="3"/>
  <c r="DT151" i="3"/>
  <c r="DR151" i="3"/>
  <c r="DQ151" i="3"/>
  <c r="DK151" i="3"/>
  <c r="DI151" i="3"/>
  <c r="DH151" i="3"/>
  <c r="CV151" i="3"/>
  <c r="CU151" i="3"/>
  <c r="CS151" i="3"/>
  <c r="CT151" i="3" s="1"/>
  <c r="CP151" i="3"/>
  <c r="CJ151" i="3"/>
  <c r="CM151" i="3" s="1"/>
  <c r="CG151" i="3"/>
  <c r="CF151" i="3"/>
  <c r="CE151" i="3"/>
  <c r="CD151" i="3"/>
  <c r="CC151" i="3"/>
  <c r="CA151" i="3"/>
  <c r="CB151" i="3" s="1"/>
  <c r="BT151" i="3"/>
  <c r="BS151" i="3"/>
  <c r="BP151" i="3"/>
  <c r="BO151" i="3"/>
  <c r="BN151" i="3"/>
  <c r="BM151" i="3"/>
  <c r="BR151" i="3" s="1"/>
  <c r="BL151" i="3"/>
  <c r="AY151" i="3"/>
  <c r="AX151" i="3"/>
  <c r="AW151" i="3"/>
  <c r="DT150" i="3"/>
  <c r="DR150" i="3"/>
  <c r="DQ150" i="3"/>
  <c r="DK150" i="3"/>
  <c r="DI150" i="3"/>
  <c r="DH150" i="3"/>
  <c r="CU150" i="3"/>
  <c r="CV150" i="3" s="1"/>
  <c r="CS150" i="3"/>
  <c r="CT150" i="3" s="1"/>
  <c r="CP150" i="3"/>
  <c r="CJ150" i="3"/>
  <c r="CM150" i="3" s="1"/>
  <c r="CF150" i="3"/>
  <c r="CE150" i="3"/>
  <c r="CD150" i="3"/>
  <c r="CC150" i="3"/>
  <c r="CA150" i="3"/>
  <c r="CB150" i="3" s="1"/>
  <c r="CG150" i="3" s="1"/>
  <c r="BT150" i="3"/>
  <c r="BP150" i="3"/>
  <c r="BO150" i="3"/>
  <c r="BN150" i="3"/>
  <c r="BM150" i="3"/>
  <c r="BL150" i="3"/>
  <c r="AY150" i="3"/>
  <c r="AX150" i="3"/>
  <c r="AW150" i="3"/>
  <c r="DT149" i="3"/>
  <c r="DR149" i="3"/>
  <c r="DQ149" i="3"/>
  <c r="DK149" i="3"/>
  <c r="DI149" i="3"/>
  <c r="DH149" i="3"/>
  <c r="CU149" i="3"/>
  <c r="CV149" i="3" s="1"/>
  <c r="CT149" i="3"/>
  <c r="CS149" i="3"/>
  <c r="CP149" i="3"/>
  <c r="CM149" i="3"/>
  <c r="CJ149" i="3"/>
  <c r="CF149" i="3"/>
  <c r="CE149" i="3"/>
  <c r="CD149" i="3"/>
  <c r="CC149" i="3"/>
  <c r="CB149" i="3"/>
  <c r="CG149" i="3" s="1"/>
  <c r="CA149" i="3"/>
  <c r="BT149" i="3"/>
  <c r="BR149" i="3"/>
  <c r="BQ149" i="3"/>
  <c r="BP149" i="3"/>
  <c r="BO149" i="3"/>
  <c r="BN149" i="3"/>
  <c r="BM149" i="3"/>
  <c r="BS149" i="3" s="1"/>
  <c r="BL149" i="3"/>
  <c r="AY149" i="3"/>
  <c r="AX149" i="3"/>
  <c r="AW149" i="3"/>
  <c r="DT148" i="3"/>
  <c r="DS148" i="3"/>
  <c r="DR148" i="3"/>
  <c r="DQ148" i="3"/>
  <c r="DK148" i="3"/>
  <c r="DI148" i="3"/>
  <c r="DH148" i="3"/>
  <c r="CV148" i="3"/>
  <c r="CU148" i="3"/>
  <c r="CT148" i="3"/>
  <c r="CS148" i="3"/>
  <c r="CP148" i="3"/>
  <c r="CM148" i="3"/>
  <c r="CJ148" i="3"/>
  <c r="CG148" i="3"/>
  <c r="CH148" i="3" s="1"/>
  <c r="CF148" i="3"/>
  <c r="CE148" i="3"/>
  <c r="CD148" i="3"/>
  <c r="CC148" i="3"/>
  <c r="CB148" i="3"/>
  <c r="CA148" i="3"/>
  <c r="BT148" i="3"/>
  <c r="BS148" i="3"/>
  <c r="BR148" i="3"/>
  <c r="BQ148" i="3"/>
  <c r="BP148" i="3"/>
  <c r="BO148" i="3"/>
  <c r="BN148" i="3"/>
  <c r="BM148" i="3"/>
  <c r="BL148" i="3"/>
  <c r="AY148" i="3"/>
  <c r="AX148" i="3"/>
  <c r="AW148" i="3"/>
  <c r="DT147" i="3"/>
  <c r="DR147" i="3"/>
  <c r="DQ147" i="3"/>
  <c r="DK147" i="3"/>
  <c r="DI147" i="3"/>
  <c r="DH147" i="3"/>
  <c r="CV147" i="3"/>
  <c r="CU147" i="3"/>
  <c r="CS147" i="3"/>
  <c r="CT147" i="3" s="1"/>
  <c r="CP147" i="3"/>
  <c r="CJ147" i="3"/>
  <c r="CM147" i="3" s="1"/>
  <c r="CG147" i="3"/>
  <c r="CF147" i="3"/>
  <c r="CE147" i="3"/>
  <c r="CD147" i="3"/>
  <c r="CC147" i="3"/>
  <c r="CA147" i="3"/>
  <c r="CB147" i="3" s="1"/>
  <c r="BT147" i="3"/>
  <c r="BS147" i="3"/>
  <c r="BP147" i="3"/>
  <c r="BO147" i="3"/>
  <c r="BN147" i="3"/>
  <c r="BM147" i="3"/>
  <c r="BR147" i="3" s="1"/>
  <c r="BL147" i="3"/>
  <c r="AY147" i="3"/>
  <c r="AX147" i="3"/>
  <c r="AW147" i="3"/>
  <c r="DT146" i="3"/>
  <c r="DR146" i="3"/>
  <c r="DQ146" i="3"/>
  <c r="DK146" i="3"/>
  <c r="DI146" i="3"/>
  <c r="DH146" i="3"/>
  <c r="CU146" i="3"/>
  <c r="CV146" i="3" s="1"/>
  <c r="CS146" i="3"/>
  <c r="CT146" i="3" s="1"/>
  <c r="CP146" i="3"/>
  <c r="CJ146" i="3"/>
  <c r="CM146" i="3" s="1"/>
  <c r="CF146" i="3"/>
  <c r="CE146" i="3"/>
  <c r="CD146" i="3"/>
  <c r="CC146" i="3"/>
  <c r="CA146" i="3"/>
  <c r="CB146" i="3" s="1"/>
  <c r="CG146" i="3" s="1"/>
  <c r="BT146" i="3"/>
  <c r="BP146" i="3"/>
  <c r="BO146" i="3"/>
  <c r="BN146" i="3"/>
  <c r="BM146" i="3"/>
  <c r="BL146" i="3"/>
  <c r="AY146" i="3"/>
  <c r="AX146" i="3"/>
  <c r="AW146" i="3"/>
  <c r="DT145" i="3"/>
  <c r="DR145" i="3"/>
  <c r="DQ145" i="3"/>
  <c r="DK145" i="3"/>
  <c r="DI145" i="3"/>
  <c r="DH145" i="3"/>
  <c r="CU145" i="3"/>
  <c r="CV145" i="3" s="1"/>
  <c r="CT145" i="3"/>
  <c r="CS145" i="3"/>
  <c r="CP145" i="3"/>
  <c r="CM145" i="3"/>
  <c r="CJ145" i="3"/>
  <c r="CF145" i="3"/>
  <c r="CE145" i="3"/>
  <c r="CD145" i="3"/>
  <c r="CC145" i="3"/>
  <c r="CB145" i="3"/>
  <c r="CG145" i="3" s="1"/>
  <c r="CA145" i="3"/>
  <c r="BT145" i="3"/>
  <c r="BR145" i="3"/>
  <c r="BQ145" i="3"/>
  <c r="BP145" i="3"/>
  <c r="BO145" i="3"/>
  <c r="BN145" i="3"/>
  <c r="BM145" i="3"/>
  <c r="BS145" i="3" s="1"/>
  <c r="BL145" i="3"/>
  <c r="AY145" i="3"/>
  <c r="AX145" i="3"/>
  <c r="AW145" i="3"/>
  <c r="DT144" i="3"/>
  <c r="DS144" i="3"/>
  <c r="DR144" i="3"/>
  <c r="DQ144" i="3"/>
  <c r="DK144" i="3"/>
  <c r="DI144" i="3"/>
  <c r="DH144" i="3"/>
  <c r="CV144" i="3"/>
  <c r="CU144" i="3"/>
  <c r="CT144" i="3"/>
  <c r="CS144" i="3"/>
  <c r="CP144" i="3"/>
  <c r="CM144" i="3"/>
  <c r="CJ144" i="3"/>
  <c r="CG144" i="3"/>
  <c r="CH144" i="3" s="1"/>
  <c r="CF144" i="3"/>
  <c r="CE144" i="3"/>
  <c r="CD144" i="3"/>
  <c r="CC144" i="3"/>
  <c r="CB144" i="3"/>
  <c r="CA144" i="3"/>
  <c r="BT144" i="3"/>
  <c r="BS144" i="3"/>
  <c r="BR144" i="3"/>
  <c r="BQ144" i="3"/>
  <c r="BP144" i="3"/>
  <c r="BO144" i="3"/>
  <c r="BN144" i="3"/>
  <c r="BM144" i="3"/>
  <c r="BL144" i="3"/>
  <c r="AY144" i="3"/>
  <c r="AX144" i="3"/>
  <c r="AW144" i="3"/>
  <c r="DT143" i="3"/>
  <c r="DR143" i="3"/>
  <c r="DQ143" i="3"/>
  <c r="DK143" i="3"/>
  <c r="DI143" i="3"/>
  <c r="DH143" i="3"/>
  <c r="CV143" i="3"/>
  <c r="CU143" i="3"/>
  <c r="CS143" i="3"/>
  <c r="CT143" i="3" s="1"/>
  <c r="CP143" i="3"/>
  <c r="CJ143" i="3"/>
  <c r="CM143" i="3" s="1"/>
  <c r="CF143" i="3"/>
  <c r="CE143" i="3"/>
  <c r="CD143" i="3"/>
  <c r="CC143" i="3"/>
  <c r="CA143" i="3"/>
  <c r="CB143" i="3" s="1"/>
  <c r="CG143" i="3" s="1"/>
  <c r="BT143" i="3"/>
  <c r="BS143" i="3"/>
  <c r="BP143" i="3"/>
  <c r="BO143" i="3"/>
  <c r="BN143" i="3"/>
  <c r="BM143" i="3"/>
  <c r="BR143" i="3" s="1"/>
  <c r="BL143" i="3"/>
  <c r="AY143" i="3"/>
  <c r="AX143" i="3"/>
  <c r="AW143" i="3"/>
  <c r="DT142" i="3"/>
  <c r="DR142" i="3"/>
  <c r="DQ142" i="3"/>
  <c r="DK142" i="3"/>
  <c r="DI142" i="3"/>
  <c r="DH142" i="3"/>
  <c r="CU142" i="3"/>
  <c r="CV142" i="3" s="1"/>
  <c r="CS142" i="3"/>
  <c r="CT142" i="3" s="1"/>
  <c r="CP142" i="3"/>
  <c r="CJ142" i="3"/>
  <c r="CM142" i="3" s="1"/>
  <c r="CF142" i="3"/>
  <c r="CE142" i="3"/>
  <c r="CD142" i="3"/>
  <c r="CC142" i="3"/>
  <c r="CA142" i="3"/>
  <c r="CB142" i="3" s="1"/>
  <c r="CG142" i="3" s="1"/>
  <c r="BT142" i="3"/>
  <c r="BP142" i="3"/>
  <c r="BO142" i="3"/>
  <c r="BN142" i="3"/>
  <c r="BM142" i="3"/>
  <c r="BL142" i="3"/>
  <c r="AY142" i="3"/>
  <c r="AX142" i="3"/>
  <c r="AW142" i="3"/>
  <c r="DT141" i="3"/>
  <c r="DR141" i="3"/>
  <c r="DQ141" i="3"/>
  <c r="DK141" i="3"/>
  <c r="DI141" i="3"/>
  <c r="DH141" i="3"/>
  <c r="CU141" i="3"/>
  <c r="CV141" i="3" s="1"/>
  <c r="CT141" i="3"/>
  <c r="CS141" i="3"/>
  <c r="CP141" i="3"/>
  <c r="CM141" i="3"/>
  <c r="CJ141" i="3"/>
  <c r="CF141" i="3"/>
  <c r="CE141" i="3"/>
  <c r="CD141" i="3"/>
  <c r="CC141" i="3"/>
  <c r="CB141" i="3"/>
  <c r="CG141" i="3" s="1"/>
  <c r="CA141" i="3"/>
  <c r="BT141" i="3"/>
  <c r="BR141" i="3"/>
  <c r="BQ141" i="3"/>
  <c r="BP141" i="3"/>
  <c r="BO141" i="3"/>
  <c r="BN141" i="3"/>
  <c r="BM141" i="3"/>
  <c r="BS141" i="3" s="1"/>
  <c r="BL141" i="3"/>
  <c r="AY141" i="3"/>
  <c r="AX141" i="3"/>
  <c r="AW141" i="3"/>
  <c r="DT140" i="3"/>
  <c r="DS140" i="3"/>
  <c r="DR140" i="3"/>
  <c r="DQ140" i="3"/>
  <c r="DK140" i="3"/>
  <c r="DI140" i="3"/>
  <c r="DH140" i="3"/>
  <c r="CV140" i="3"/>
  <c r="CU140" i="3"/>
  <c r="CT140" i="3"/>
  <c r="CS140" i="3"/>
  <c r="CP140" i="3"/>
  <c r="CM140" i="3"/>
  <c r="CJ140" i="3"/>
  <c r="CG140" i="3"/>
  <c r="CH140" i="3" s="1"/>
  <c r="CF140" i="3"/>
  <c r="CE140" i="3"/>
  <c r="CD140" i="3"/>
  <c r="CC140" i="3"/>
  <c r="CB140" i="3"/>
  <c r="CA140" i="3"/>
  <c r="BT140" i="3"/>
  <c r="BS140" i="3"/>
  <c r="BR140" i="3"/>
  <c r="BQ140" i="3"/>
  <c r="BP140" i="3"/>
  <c r="BO140" i="3"/>
  <c r="BN140" i="3"/>
  <c r="BM140" i="3"/>
  <c r="BL140" i="3"/>
  <c r="AY140" i="3"/>
  <c r="AX140" i="3"/>
  <c r="AW140" i="3"/>
  <c r="DT139" i="3"/>
  <c r="DR139" i="3"/>
  <c r="DQ139" i="3"/>
  <c r="DK139" i="3"/>
  <c r="DI139" i="3"/>
  <c r="DH139" i="3"/>
  <c r="CV139" i="3"/>
  <c r="CU139" i="3"/>
  <c r="CS139" i="3"/>
  <c r="CT139" i="3" s="1"/>
  <c r="CP139" i="3"/>
  <c r="CJ139" i="3"/>
  <c r="CM139" i="3" s="1"/>
  <c r="CF139" i="3"/>
  <c r="CE139" i="3"/>
  <c r="CD139" i="3"/>
  <c r="CC139" i="3"/>
  <c r="CA139" i="3"/>
  <c r="CB139" i="3" s="1"/>
  <c r="CG139" i="3" s="1"/>
  <c r="BT139" i="3"/>
  <c r="BS139" i="3"/>
  <c r="BP139" i="3"/>
  <c r="BO139" i="3"/>
  <c r="BN139" i="3"/>
  <c r="BM139" i="3"/>
  <c r="BR139" i="3" s="1"/>
  <c r="BL139" i="3"/>
  <c r="AY139" i="3"/>
  <c r="AX139" i="3"/>
  <c r="AW139" i="3"/>
  <c r="DT138" i="3"/>
  <c r="DR138" i="3"/>
  <c r="DQ138" i="3"/>
  <c r="DK138" i="3"/>
  <c r="DI138" i="3"/>
  <c r="DH138" i="3"/>
  <c r="CU138" i="3"/>
  <c r="CV138" i="3" s="1"/>
  <c r="CS138" i="3"/>
  <c r="CT138" i="3" s="1"/>
  <c r="CP138" i="3"/>
  <c r="CJ138" i="3"/>
  <c r="CM138" i="3" s="1"/>
  <c r="CF138" i="3"/>
  <c r="CE138" i="3"/>
  <c r="CD138" i="3"/>
  <c r="CC138" i="3"/>
  <c r="CA138" i="3"/>
  <c r="CB138" i="3" s="1"/>
  <c r="CG138" i="3" s="1"/>
  <c r="BT138" i="3"/>
  <c r="BP138" i="3"/>
  <c r="BO138" i="3"/>
  <c r="BN138" i="3"/>
  <c r="BM138" i="3"/>
  <c r="BL138" i="3"/>
  <c r="AY138" i="3"/>
  <c r="AX138" i="3"/>
  <c r="AW138" i="3"/>
  <c r="DT137" i="3"/>
  <c r="DR137" i="3"/>
  <c r="DQ137" i="3"/>
  <c r="DK137" i="3"/>
  <c r="DI137" i="3"/>
  <c r="DH137" i="3"/>
  <c r="CU137" i="3"/>
  <c r="CV137" i="3" s="1"/>
  <c r="CT137" i="3"/>
  <c r="CS137" i="3"/>
  <c r="CP137" i="3"/>
  <c r="CM137" i="3"/>
  <c r="CJ137" i="3"/>
  <c r="CF137" i="3"/>
  <c r="CE137" i="3"/>
  <c r="CD137" i="3"/>
  <c r="CC137" i="3"/>
  <c r="CB137" i="3"/>
  <c r="CG137" i="3" s="1"/>
  <c r="CA137" i="3"/>
  <c r="BT137" i="3"/>
  <c r="BR137" i="3"/>
  <c r="BQ137" i="3"/>
  <c r="BP137" i="3"/>
  <c r="BO137" i="3"/>
  <c r="BN137" i="3"/>
  <c r="BM137" i="3"/>
  <c r="BS137" i="3" s="1"/>
  <c r="BL137" i="3"/>
  <c r="AY137" i="3"/>
  <c r="AX137" i="3"/>
  <c r="AW137" i="3"/>
  <c r="DT136" i="3"/>
  <c r="DS136" i="3"/>
  <c r="DR136" i="3"/>
  <c r="DQ136" i="3"/>
  <c r="DK136" i="3"/>
  <c r="DI136" i="3"/>
  <c r="DH136" i="3"/>
  <c r="CV136" i="3"/>
  <c r="CU136" i="3"/>
  <c r="CT136" i="3"/>
  <c r="CS136" i="3"/>
  <c r="CP136" i="3"/>
  <c r="CM136" i="3"/>
  <c r="CJ136" i="3"/>
  <c r="CG136" i="3"/>
  <c r="CH136" i="3" s="1"/>
  <c r="CF136" i="3"/>
  <c r="CE136" i="3"/>
  <c r="CD136" i="3"/>
  <c r="CC136" i="3"/>
  <c r="CB136" i="3"/>
  <c r="CA136" i="3"/>
  <c r="BT136" i="3"/>
  <c r="BS136" i="3"/>
  <c r="BR136" i="3"/>
  <c r="BQ136" i="3"/>
  <c r="BP136" i="3"/>
  <c r="BO136" i="3"/>
  <c r="BN136" i="3"/>
  <c r="BM136" i="3"/>
  <c r="BL136" i="3"/>
  <c r="AY136" i="3"/>
  <c r="AX136" i="3"/>
  <c r="AW136" i="3"/>
  <c r="DT135" i="3"/>
  <c r="DR135" i="3"/>
  <c r="DQ135" i="3"/>
  <c r="DK135" i="3"/>
  <c r="DI135" i="3"/>
  <c r="DH135" i="3"/>
  <c r="CV135" i="3"/>
  <c r="CU135" i="3"/>
  <c r="CS135" i="3"/>
  <c r="CT135" i="3" s="1"/>
  <c r="CP135" i="3"/>
  <c r="CJ135" i="3"/>
  <c r="CM135" i="3" s="1"/>
  <c r="CF135" i="3"/>
  <c r="CE135" i="3"/>
  <c r="CD135" i="3"/>
  <c r="CC135" i="3"/>
  <c r="CA135" i="3"/>
  <c r="CB135" i="3" s="1"/>
  <c r="CG135" i="3" s="1"/>
  <c r="BT135" i="3"/>
  <c r="BP135" i="3"/>
  <c r="BO135" i="3"/>
  <c r="BN135" i="3"/>
  <c r="BM135" i="3"/>
  <c r="BL135" i="3"/>
  <c r="AY135" i="3"/>
  <c r="AX135" i="3"/>
  <c r="AW135" i="3"/>
  <c r="DT134" i="3"/>
  <c r="DR134" i="3"/>
  <c r="DQ134" i="3"/>
  <c r="DK134" i="3"/>
  <c r="DI134" i="3"/>
  <c r="DH134" i="3"/>
  <c r="CU134" i="3"/>
  <c r="CV134" i="3" s="1"/>
  <c r="CS134" i="3"/>
  <c r="CT134" i="3" s="1"/>
  <c r="CP134" i="3"/>
  <c r="CJ134" i="3"/>
  <c r="CM134" i="3" s="1"/>
  <c r="CF134" i="3"/>
  <c r="CE134" i="3"/>
  <c r="CD134" i="3"/>
  <c r="CC134" i="3"/>
  <c r="CA134" i="3"/>
  <c r="CB134" i="3" s="1"/>
  <c r="CG134" i="3" s="1"/>
  <c r="BT134" i="3"/>
  <c r="BP134" i="3"/>
  <c r="BO134" i="3"/>
  <c r="BN134" i="3"/>
  <c r="BM134" i="3"/>
  <c r="BL134" i="3"/>
  <c r="AY134" i="3"/>
  <c r="AX134" i="3"/>
  <c r="AW134" i="3"/>
  <c r="DT133" i="3"/>
  <c r="DR133" i="3"/>
  <c r="DQ133" i="3"/>
  <c r="DK133" i="3"/>
  <c r="DI133" i="3"/>
  <c r="DH133" i="3"/>
  <c r="CU133" i="3"/>
  <c r="CV133" i="3" s="1"/>
  <c r="CT133" i="3"/>
  <c r="CS133" i="3"/>
  <c r="CP133" i="3"/>
  <c r="CM133" i="3"/>
  <c r="CJ133" i="3"/>
  <c r="CF133" i="3"/>
  <c r="CE133" i="3"/>
  <c r="CD133" i="3"/>
  <c r="CC133" i="3"/>
  <c r="CB133" i="3"/>
  <c r="CG133" i="3" s="1"/>
  <c r="CH133" i="3" s="1"/>
  <c r="CA133" i="3"/>
  <c r="BT133" i="3"/>
  <c r="BR133" i="3"/>
  <c r="BQ133" i="3"/>
  <c r="BP133" i="3"/>
  <c r="BO133" i="3"/>
  <c r="BN133" i="3"/>
  <c r="BM133" i="3"/>
  <c r="BS133" i="3" s="1"/>
  <c r="BL133" i="3"/>
  <c r="AY133" i="3"/>
  <c r="AX133" i="3"/>
  <c r="AW133" i="3"/>
  <c r="DT132" i="3"/>
  <c r="DR132" i="3"/>
  <c r="DQ132" i="3"/>
  <c r="DK132" i="3"/>
  <c r="DI132" i="3"/>
  <c r="DH132" i="3"/>
  <c r="CV132" i="3"/>
  <c r="CU132" i="3"/>
  <c r="CT132" i="3"/>
  <c r="CS132" i="3"/>
  <c r="CP132" i="3"/>
  <c r="CM132" i="3"/>
  <c r="CJ132" i="3"/>
  <c r="CG132" i="3"/>
  <c r="CF132" i="3"/>
  <c r="CE132" i="3"/>
  <c r="CD132" i="3"/>
  <c r="CC132" i="3"/>
  <c r="CB132" i="3"/>
  <c r="CA132" i="3"/>
  <c r="BT132" i="3"/>
  <c r="BS132" i="3"/>
  <c r="BR132" i="3"/>
  <c r="BQ132" i="3"/>
  <c r="BP132" i="3"/>
  <c r="BO132" i="3"/>
  <c r="BN132" i="3"/>
  <c r="BM132" i="3"/>
  <c r="BL132" i="3"/>
  <c r="AY132" i="3"/>
  <c r="AX132" i="3"/>
  <c r="AW132" i="3"/>
  <c r="DT131" i="3"/>
  <c r="DR131" i="3"/>
  <c r="DQ131" i="3"/>
  <c r="DK131" i="3"/>
  <c r="DI131" i="3"/>
  <c r="DH131" i="3"/>
  <c r="CV131" i="3"/>
  <c r="CU131" i="3"/>
  <c r="CS131" i="3"/>
  <c r="CT131" i="3" s="1"/>
  <c r="CP131" i="3"/>
  <c r="CJ131" i="3"/>
  <c r="CM131" i="3" s="1"/>
  <c r="CG131" i="3"/>
  <c r="CF131" i="3"/>
  <c r="CE131" i="3"/>
  <c r="CD131" i="3"/>
  <c r="CC131" i="3"/>
  <c r="CA131" i="3"/>
  <c r="CB131" i="3" s="1"/>
  <c r="BT131" i="3"/>
  <c r="BP131" i="3"/>
  <c r="BO131" i="3"/>
  <c r="BN131" i="3"/>
  <c r="BM131" i="3"/>
  <c r="BL131" i="3"/>
  <c r="AY131" i="3"/>
  <c r="AX131" i="3"/>
  <c r="AW131" i="3"/>
  <c r="DT130" i="3"/>
  <c r="DR130" i="3"/>
  <c r="DQ130" i="3"/>
  <c r="DK130" i="3"/>
  <c r="DI130" i="3"/>
  <c r="DH130" i="3"/>
  <c r="CU130" i="3"/>
  <c r="CV130" i="3" s="1"/>
  <c r="CS130" i="3"/>
  <c r="CT130" i="3" s="1"/>
  <c r="CP130" i="3"/>
  <c r="CJ130" i="3"/>
  <c r="CM130" i="3" s="1"/>
  <c r="CF130" i="3"/>
  <c r="CE130" i="3"/>
  <c r="CD130" i="3"/>
  <c r="CC130" i="3"/>
  <c r="CA130" i="3"/>
  <c r="CB130" i="3" s="1"/>
  <c r="CG130" i="3" s="1"/>
  <c r="BT130" i="3"/>
  <c r="BP130" i="3"/>
  <c r="BO130" i="3"/>
  <c r="BN130" i="3"/>
  <c r="BM130" i="3"/>
  <c r="BL130" i="3"/>
  <c r="AY130" i="3"/>
  <c r="AX130" i="3"/>
  <c r="AW130" i="3"/>
  <c r="DT129" i="3"/>
  <c r="DR129" i="3"/>
  <c r="DQ129" i="3"/>
  <c r="DK129" i="3"/>
  <c r="DI129" i="3"/>
  <c r="DH129" i="3"/>
  <c r="CU129" i="3"/>
  <c r="CV129" i="3" s="1"/>
  <c r="CT129" i="3"/>
  <c r="CS129" i="3"/>
  <c r="CP129" i="3"/>
  <c r="CM129" i="3"/>
  <c r="CJ129" i="3"/>
  <c r="CF129" i="3"/>
  <c r="CE129" i="3"/>
  <c r="CD129" i="3"/>
  <c r="CC129" i="3"/>
  <c r="CB129" i="3"/>
  <c r="CG129" i="3" s="1"/>
  <c r="CH129" i="3" s="1"/>
  <c r="CA129" i="3"/>
  <c r="BT129" i="3"/>
  <c r="BR129" i="3"/>
  <c r="BQ129" i="3"/>
  <c r="BP129" i="3"/>
  <c r="BO129" i="3"/>
  <c r="BN129" i="3"/>
  <c r="BM129" i="3"/>
  <c r="BS129" i="3" s="1"/>
  <c r="BL129" i="3"/>
  <c r="AY129" i="3"/>
  <c r="AX129" i="3"/>
  <c r="AW129" i="3"/>
  <c r="DT128" i="3"/>
  <c r="DS128" i="3"/>
  <c r="DR128" i="3"/>
  <c r="DQ128" i="3"/>
  <c r="DK128" i="3"/>
  <c r="DI128" i="3"/>
  <c r="DH128" i="3"/>
  <c r="CV128" i="3"/>
  <c r="CU128" i="3"/>
  <c r="CT128" i="3"/>
  <c r="CS128" i="3"/>
  <c r="CP128" i="3"/>
  <c r="CM128" i="3"/>
  <c r="CJ128" i="3"/>
  <c r="CG128" i="3"/>
  <c r="CH128" i="3" s="1"/>
  <c r="CF128" i="3"/>
  <c r="CE128" i="3"/>
  <c r="CD128" i="3"/>
  <c r="CC128" i="3"/>
  <c r="CB128" i="3"/>
  <c r="CA128" i="3"/>
  <c r="BT128" i="3"/>
  <c r="BS128" i="3"/>
  <c r="BR128" i="3"/>
  <c r="BQ128" i="3"/>
  <c r="BP128" i="3"/>
  <c r="BO128" i="3"/>
  <c r="BN128" i="3"/>
  <c r="BM128" i="3"/>
  <c r="BL128" i="3"/>
  <c r="AY128" i="3"/>
  <c r="AX128" i="3"/>
  <c r="AW128" i="3"/>
  <c r="DT127" i="3"/>
  <c r="DR127" i="3"/>
  <c r="DQ127" i="3"/>
  <c r="DK127" i="3"/>
  <c r="DI127" i="3"/>
  <c r="DH127" i="3"/>
  <c r="CV127" i="3"/>
  <c r="CU127" i="3"/>
  <c r="CS127" i="3"/>
  <c r="CT127" i="3" s="1"/>
  <c r="CP127" i="3"/>
  <c r="CJ127" i="3"/>
  <c r="CM127" i="3" s="1"/>
  <c r="CG127" i="3"/>
  <c r="CF127" i="3"/>
  <c r="CE127" i="3"/>
  <c r="CD127" i="3"/>
  <c r="CC127" i="3"/>
  <c r="CA127" i="3"/>
  <c r="CB127" i="3" s="1"/>
  <c r="BT127" i="3"/>
  <c r="BS127" i="3"/>
  <c r="BP127" i="3"/>
  <c r="BO127" i="3"/>
  <c r="BN127" i="3"/>
  <c r="BM127" i="3"/>
  <c r="BL127" i="3"/>
  <c r="AY127" i="3"/>
  <c r="AX127" i="3"/>
  <c r="AW127" i="3"/>
  <c r="DT126" i="3"/>
  <c r="DR126" i="3"/>
  <c r="DQ126" i="3"/>
  <c r="DK126" i="3"/>
  <c r="DI126" i="3"/>
  <c r="DH126" i="3"/>
  <c r="CU126" i="3"/>
  <c r="CV126" i="3" s="1"/>
  <c r="CS126" i="3"/>
  <c r="CT126" i="3" s="1"/>
  <c r="CP126" i="3"/>
  <c r="CJ126" i="3"/>
  <c r="CM126" i="3" s="1"/>
  <c r="CF126" i="3"/>
  <c r="CE126" i="3"/>
  <c r="CD126" i="3"/>
  <c r="CC126" i="3"/>
  <c r="CA126" i="3"/>
  <c r="CB126" i="3" s="1"/>
  <c r="CG126" i="3" s="1"/>
  <c r="BT126" i="3"/>
  <c r="BP126" i="3"/>
  <c r="BO126" i="3"/>
  <c r="BN126" i="3"/>
  <c r="BM126" i="3"/>
  <c r="BL126" i="3"/>
  <c r="AY126" i="3"/>
  <c r="AX126" i="3"/>
  <c r="AW126" i="3"/>
  <c r="DT125" i="3"/>
  <c r="DR125" i="3"/>
  <c r="DQ125" i="3"/>
  <c r="DK125" i="3"/>
  <c r="DI125" i="3"/>
  <c r="DH125" i="3"/>
  <c r="CU125" i="3"/>
  <c r="CV125" i="3" s="1"/>
  <c r="CT125" i="3"/>
  <c r="CS125" i="3"/>
  <c r="CP125" i="3"/>
  <c r="CM125" i="3"/>
  <c r="CJ125" i="3"/>
  <c r="CF125" i="3"/>
  <c r="CE125" i="3"/>
  <c r="CD125" i="3"/>
  <c r="CC125" i="3"/>
  <c r="CB125" i="3"/>
  <c r="CG125" i="3" s="1"/>
  <c r="CH125" i="3" s="1"/>
  <c r="CA125" i="3"/>
  <c r="BT125" i="3"/>
  <c r="BR125" i="3"/>
  <c r="BQ125" i="3"/>
  <c r="BP125" i="3"/>
  <c r="BO125" i="3"/>
  <c r="BN125" i="3"/>
  <c r="BM125" i="3"/>
  <c r="BS125" i="3" s="1"/>
  <c r="BL125" i="3"/>
  <c r="AY125" i="3"/>
  <c r="AX125" i="3"/>
  <c r="AW125" i="3"/>
  <c r="DT124" i="3"/>
  <c r="DS124" i="3"/>
  <c r="DR124" i="3"/>
  <c r="DQ124" i="3"/>
  <c r="DK124" i="3"/>
  <c r="DI124" i="3"/>
  <c r="DH124" i="3"/>
  <c r="CV124" i="3"/>
  <c r="CU124" i="3"/>
  <c r="CT124" i="3"/>
  <c r="CS124" i="3"/>
  <c r="CP124" i="3"/>
  <c r="CM124" i="3"/>
  <c r="CJ124" i="3"/>
  <c r="CG124" i="3"/>
  <c r="CH124" i="3" s="1"/>
  <c r="CF124" i="3"/>
  <c r="CE124" i="3"/>
  <c r="CD124" i="3"/>
  <c r="CC124" i="3"/>
  <c r="CB124" i="3"/>
  <c r="CA124" i="3"/>
  <c r="BT124" i="3"/>
  <c r="BS124" i="3"/>
  <c r="BQ124" i="3"/>
  <c r="BP124" i="3"/>
  <c r="BO124" i="3"/>
  <c r="BN124" i="3"/>
  <c r="BM124" i="3"/>
  <c r="BR124" i="3" s="1"/>
  <c r="BL124" i="3"/>
  <c r="AY124" i="3"/>
  <c r="AX124" i="3"/>
  <c r="AW124" i="3"/>
  <c r="DT123" i="3"/>
  <c r="DR123" i="3"/>
  <c r="DQ123" i="3"/>
  <c r="DK123" i="3"/>
  <c r="DI123" i="3"/>
  <c r="DH123" i="3"/>
  <c r="CV123" i="3"/>
  <c r="CU123" i="3"/>
  <c r="CS123" i="3"/>
  <c r="CT123" i="3" s="1"/>
  <c r="CP123" i="3"/>
  <c r="CJ123" i="3"/>
  <c r="CM123" i="3" s="1"/>
  <c r="CG123" i="3"/>
  <c r="CF123" i="3"/>
  <c r="CE123" i="3"/>
  <c r="CD123" i="3"/>
  <c r="CC123" i="3"/>
  <c r="CA123" i="3"/>
  <c r="CB123" i="3" s="1"/>
  <c r="BT123" i="3"/>
  <c r="BS123" i="3"/>
  <c r="BP123" i="3"/>
  <c r="BO123" i="3"/>
  <c r="BN123" i="3"/>
  <c r="BM123" i="3"/>
  <c r="BL123" i="3"/>
  <c r="AY123" i="3"/>
  <c r="AX123" i="3"/>
  <c r="AW123" i="3"/>
  <c r="DT122" i="3"/>
  <c r="DR122" i="3"/>
  <c r="DQ122" i="3"/>
  <c r="DK122" i="3"/>
  <c r="DI122" i="3"/>
  <c r="DH122" i="3"/>
  <c r="CU122" i="3"/>
  <c r="CV122" i="3" s="1"/>
  <c r="CS122" i="3"/>
  <c r="CT122" i="3" s="1"/>
  <c r="CP122" i="3"/>
  <c r="CJ122" i="3"/>
  <c r="CM122" i="3" s="1"/>
  <c r="CF122" i="3"/>
  <c r="CE122" i="3"/>
  <c r="CD122" i="3"/>
  <c r="CC122" i="3"/>
  <c r="CA122" i="3"/>
  <c r="CB122" i="3" s="1"/>
  <c r="CG122" i="3" s="1"/>
  <c r="BT122" i="3"/>
  <c r="BP122" i="3"/>
  <c r="BO122" i="3"/>
  <c r="BN122" i="3"/>
  <c r="BM122" i="3"/>
  <c r="BL122" i="3"/>
  <c r="AY122" i="3"/>
  <c r="AX122" i="3"/>
  <c r="AW122" i="3"/>
  <c r="DT121" i="3"/>
  <c r="DR121" i="3"/>
  <c r="DQ121" i="3"/>
  <c r="DK121" i="3"/>
  <c r="DI121" i="3"/>
  <c r="DH121" i="3"/>
  <c r="CU121" i="3"/>
  <c r="CV121" i="3" s="1"/>
  <c r="CT121" i="3"/>
  <c r="CS121" i="3"/>
  <c r="CP121" i="3"/>
  <c r="CM121" i="3"/>
  <c r="CJ121" i="3"/>
  <c r="CF121" i="3"/>
  <c r="CE121" i="3"/>
  <c r="CD121" i="3"/>
  <c r="CC121" i="3"/>
  <c r="CB121" i="3"/>
  <c r="CG121" i="3" s="1"/>
  <c r="CH121" i="3" s="1"/>
  <c r="CA121" i="3"/>
  <c r="BT121" i="3"/>
  <c r="BR121" i="3"/>
  <c r="BQ121" i="3"/>
  <c r="BP121" i="3"/>
  <c r="BO121" i="3"/>
  <c r="BN121" i="3"/>
  <c r="BM121" i="3"/>
  <c r="BS121" i="3" s="1"/>
  <c r="BL121" i="3"/>
  <c r="AY121" i="3"/>
  <c r="AX121" i="3"/>
  <c r="AW121" i="3"/>
  <c r="DT120" i="3"/>
  <c r="DS120" i="3"/>
  <c r="DR120" i="3"/>
  <c r="DQ120" i="3"/>
  <c r="DK120" i="3"/>
  <c r="DI120" i="3"/>
  <c r="DH120" i="3"/>
  <c r="CV120" i="3"/>
  <c r="CU120" i="3"/>
  <c r="CT120" i="3"/>
  <c r="CS120" i="3"/>
  <c r="CP120" i="3"/>
  <c r="CM120" i="3"/>
  <c r="CJ120" i="3"/>
  <c r="CG120" i="3"/>
  <c r="CH120" i="3" s="1"/>
  <c r="CF120" i="3"/>
  <c r="CE120" i="3"/>
  <c r="CD120" i="3"/>
  <c r="CC120" i="3"/>
  <c r="CB120" i="3"/>
  <c r="CA120" i="3"/>
  <c r="BT120" i="3"/>
  <c r="BS120" i="3"/>
  <c r="BQ120" i="3"/>
  <c r="BP120" i="3"/>
  <c r="BO120" i="3"/>
  <c r="BN120" i="3"/>
  <c r="BM120" i="3"/>
  <c r="BR120" i="3" s="1"/>
  <c r="BL120" i="3"/>
  <c r="AY120" i="3"/>
  <c r="AX120" i="3"/>
  <c r="AW120" i="3"/>
  <c r="DT119" i="3"/>
  <c r="DR119" i="3"/>
  <c r="DQ119" i="3"/>
  <c r="DK119" i="3"/>
  <c r="DI119" i="3"/>
  <c r="DH119" i="3"/>
  <c r="CV119" i="3"/>
  <c r="CU119" i="3"/>
  <c r="CS119" i="3"/>
  <c r="CT119" i="3" s="1"/>
  <c r="CP119" i="3"/>
  <c r="CJ119" i="3"/>
  <c r="CM119" i="3" s="1"/>
  <c r="CF119" i="3"/>
  <c r="CE119" i="3"/>
  <c r="CD119" i="3"/>
  <c r="CC119" i="3"/>
  <c r="CA119" i="3"/>
  <c r="CB119" i="3" s="1"/>
  <c r="CG119" i="3" s="1"/>
  <c r="BT119" i="3"/>
  <c r="BS119" i="3"/>
  <c r="BP119" i="3"/>
  <c r="BO119" i="3"/>
  <c r="BN119" i="3"/>
  <c r="BM119" i="3"/>
  <c r="BL119" i="3"/>
  <c r="AY119" i="3"/>
  <c r="AX119" i="3"/>
  <c r="AW119" i="3"/>
  <c r="DT118" i="3"/>
  <c r="DR118" i="3"/>
  <c r="DQ118" i="3"/>
  <c r="DK118" i="3"/>
  <c r="DI118" i="3"/>
  <c r="DH118" i="3"/>
  <c r="CU118" i="3"/>
  <c r="CV118" i="3" s="1"/>
  <c r="CS118" i="3"/>
  <c r="CT118" i="3" s="1"/>
  <c r="CP118" i="3"/>
  <c r="CJ118" i="3"/>
  <c r="CM118" i="3" s="1"/>
  <c r="CF118" i="3"/>
  <c r="CE118" i="3"/>
  <c r="CD118" i="3"/>
  <c r="CC118" i="3"/>
  <c r="CA118" i="3"/>
  <c r="CB118" i="3" s="1"/>
  <c r="CG118" i="3" s="1"/>
  <c r="BT118" i="3"/>
  <c r="BP118" i="3"/>
  <c r="BO118" i="3"/>
  <c r="BN118" i="3"/>
  <c r="BM118" i="3"/>
  <c r="BL118" i="3"/>
  <c r="AY118" i="3"/>
  <c r="AX118" i="3"/>
  <c r="AW118" i="3"/>
  <c r="DT117" i="3"/>
  <c r="DR117" i="3"/>
  <c r="DQ117" i="3"/>
  <c r="DK117" i="3"/>
  <c r="DI117" i="3"/>
  <c r="DH117" i="3"/>
  <c r="CU117" i="3"/>
  <c r="CV117" i="3" s="1"/>
  <c r="CT117" i="3"/>
  <c r="CS117" i="3"/>
  <c r="CP117" i="3"/>
  <c r="CM117" i="3"/>
  <c r="CJ117" i="3"/>
  <c r="CF117" i="3"/>
  <c r="CE117" i="3"/>
  <c r="CD117" i="3"/>
  <c r="CC117" i="3"/>
  <c r="CB117" i="3"/>
  <c r="CG117" i="3" s="1"/>
  <c r="CH117" i="3" s="1"/>
  <c r="CA117" i="3"/>
  <c r="BT117" i="3"/>
  <c r="BR117" i="3"/>
  <c r="BQ117" i="3"/>
  <c r="BP117" i="3"/>
  <c r="BO117" i="3"/>
  <c r="BN117" i="3"/>
  <c r="BM117" i="3"/>
  <c r="BS117" i="3" s="1"/>
  <c r="BL117" i="3"/>
  <c r="AY117" i="3"/>
  <c r="AX117" i="3"/>
  <c r="AW117" i="3"/>
  <c r="DT116" i="3"/>
  <c r="DS116" i="3"/>
  <c r="DR116" i="3"/>
  <c r="DQ116" i="3"/>
  <c r="DK116" i="3"/>
  <c r="DI116" i="3"/>
  <c r="DH116" i="3"/>
  <c r="CV116" i="3"/>
  <c r="CU116" i="3"/>
  <c r="CT116" i="3"/>
  <c r="CS116" i="3"/>
  <c r="CP116" i="3"/>
  <c r="CM116" i="3"/>
  <c r="CJ116" i="3"/>
  <c r="CG116" i="3"/>
  <c r="CH116" i="3" s="1"/>
  <c r="CF116" i="3"/>
  <c r="CE116" i="3"/>
  <c r="CD116" i="3"/>
  <c r="CC116" i="3"/>
  <c r="CB116" i="3"/>
  <c r="CA116" i="3"/>
  <c r="BT116" i="3"/>
  <c r="BS116" i="3"/>
  <c r="BQ116" i="3"/>
  <c r="BP116" i="3"/>
  <c r="BO116" i="3"/>
  <c r="BN116" i="3"/>
  <c r="BM116" i="3"/>
  <c r="BR116" i="3" s="1"/>
  <c r="BL116" i="3"/>
  <c r="AY116" i="3"/>
  <c r="AX116" i="3"/>
  <c r="AW116" i="3"/>
  <c r="DT115" i="3"/>
  <c r="DR115" i="3"/>
  <c r="DQ115" i="3"/>
  <c r="DK115" i="3"/>
  <c r="DI115" i="3"/>
  <c r="DH115" i="3"/>
  <c r="CU115" i="3"/>
  <c r="CV115" i="3" s="1"/>
  <c r="CS115" i="3"/>
  <c r="CT115" i="3" s="1"/>
  <c r="CP115" i="3"/>
  <c r="CM115" i="3"/>
  <c r="CJ115" i="3"/>
  <c r="CF115" i="3"/>
  <c r="CE115" i="3"/>
  <c r="CD115" i="3"/>
  <c r="CC115" i="3"/>
  <c r="CA115" i="3"/>
  <c r="CB115" i="3" s="1"/>
  <c r="CG115" i="3" s="1"/>
  <c r="BT115" i="3"/>
  <c r="BS115" i="3"/>
  <c r="BR115" i="3"/>
  <c r="BP115" i="3"/>
  <c r="BO115" i="3"/>
  <c r="BN115" i="3"/>
  <c r="BM115" i="3"/>
  <c r="BQ115" i="3" s="1"/>
  <c r="BL115" i="3"/>
  <c r="AY115" i="3"/>
  <c r="AX115" i="3"/>
  <c r="AW115" i="3"/>
  <c r="DT114" i="3"/>
  <c r="DR114" i="3"/>
  <c r="DQ114" i="3"/>
  <c r="DK114" i="3"/>
  <c r="DI114" i="3"/>
  <c r="DH114" i="3"/>
  <c r="CU114" i="3"/>
  <c r="CV114" i="3" s="1"/>
  <c r="CS114" i="3"/>
  <c r="CT114" i="3" s="1"/>
  <c r="CP114" i="3"/>
  <c r="CJ114" i="3"/>
  <c r="CM114" i="3" s="1"/>
  <c r="CH114" i="3"/>
  <c r="CF114" i="3"/>
  <c r="CE114" i="3"/>
  <c r="CD114" i="3"/>
  <c r="CC114" i="3"/>
  <c r="CA114" i="3"/>
  <c r="CB114" i="3" s="1"/>
  <c r="CG114" i="3" s="1"/>
  <c r="BT114" i="3"/>
  <c r="BP114" i="3"/>
  <c r="BO114" i="3"/>
  <c r="BN114" i="3"/>
  <c r="BM114" i="3"/>
  <c r="BL114" i="3"/>
  <c r="AY114" i="3"/>
  <c r="AX114" i="3"/>
  <c r="AW114" i="3"/>
  <c r="DT113" i="3"/>
  <c r="DR113" i="3"/>
  <c r="DQ113" i="3"/>
  <c r="DK113" i="3"/>
  <c r="DI113" i="3"/>
  <c r="DH113" i="3"/>
  <c r="CU113" i="3"/>
  <c r="CV113" i="3" s="1"/>
  <c r="CT113" i="3"/>
  <c r="CS113" i="3"/>
  <c r="CP113" i="3"/>
  <c r="CM113" i="3"/>
  <c r="CJ113" i="3"/>
  <c r="CF113" i="3"/>
  <c r="CE113" i="3"/>
  <c r="CD113" i="3"/>
  <c r="CC113" i="3"/>
  <c r="CB113" i="3"/>
  <c r="CG113" i="3" s="1"/>
  <c r="CH113" i="3" s="1"/>
  <c r="CA113" i="3"/>
  <c r="BT113" i="3"/>
  <c r="BR113" i="3"/>
  <c r="BQ113" i="3"/>
  <c r="BP113" i="3"/>
  <c r="BO113" i="3"/>
  <c r="BN113" i="3"/>
  <c r="BM113" i="3"/>
  <c r="BS113" i="3" s="1"/>
  <c r="BL113" i="3"/>
  <c r="AY113" i="3"/>
  <c r="AX113" i="3"/>
  <c r="AW113" i="3"/>
  <c r="DT112" i="3"/>
  <c r="DR112" i="3"/>
  <c r="DS112" i="3" s="1"/>
  <c r="DQ112" i="3"/>
  <c r="DK112" i="3"/>
  <c r="DI112" i="3"/>
  <c r="DH112" i="3"/>
  <c r="CV112" i="3"/>
  <c r="CU112" i="3"/>
  <c r="CS112" i="3"/>
  <c r="CT112" i="3" s="1"/>
  <c r="CP112" i="3"/>
  <c r="CM112" i="3"/>
  <c r="CJ112" i="3"/>
  <c r="CG112" i="3"/>
  <c r="CH112" i="3" s="1"/>
  <c r="CF112" i="3"/>
  <c r="CE112" i="3"/>
  <c r="CD112" i="3"/>
  <c r="CC112" i="3"/>
  <c r="CB112" i="3"/>
  <c r="CA112" i="3"/>
  <c r="BT112" i="3"/>
  <c r="BS112" i="3"/>
  <c r="BQ112" i="3"/>
  <c r="BP112" i="3"/>
  <c r="BO112" i="3"/>
  <c r="BN112" i="3"/>
  <c r="BM112" i="3"/>
  <c r="BR112" i="3" s="1"/>
  <c r="BL112" i="3"/>
  <c r="AY112" i="3"/>
  <c r="AX112" i="3"/>
  <c r="AW112" i="3"/>
  <c r="DT111" i="3"/>
  <c r="DR111" i="3"/>
  <c r="DQ111" i="3"/>
  <c r="DK111" i="3"/>
  <c r="DI111" i="3"/>
  <c r="DH111" i="3"/>
  <c r="CU111" i="3"/>
  <c r="CV111" i="3" s="1"/>
  <c r="CS111" i="3"/>
  <c r="CT111" i="3" s="1"/>
  <c r="CP111" i="3"/>
  <c r="CM111" i="3"/>
  <c r="CJ111" i="3"/>
  <c r="CF111" i="3"/>
  <c r="CE111" i="3"/>
  <c r="CD111" i="3"/>
  <c r="CC111" i="3"/>
  <c r="CA111" i="3"/>
  <c r="CB111" i="3" s="1"/>
  <c r="CG111" i="3" s="1"/>
  <c r="BT111" i="3"/>
  <c r="BP111" i="3"/>
  <c r="BO111" i="3"/>
  <c r="BN111" i="3"/>
  <c r="BM111" i="3"/>
  <c r="BL111" i="3"/>
  <c r="AY111" i="3"/>
  <c r="AX111" i="3"/>
  <c r="AW111" i="3"/>
  <c r="DT110" i="3"/>
  <c r="DR110" i="3"/>
  <c r="DQ110" i="3"/>
  <c r="DK110" i="3"/>
  <c r="DI110" i="3"/>
  <c r="DH110" i="3"/>
  <c r="CU110" i="3"/>
  <c r="CV110" i="3" s="1"/>
  <c r="CS110" i="3"/>
  <c r="CT110" i="3" s="1"/>
  <c r="CP110" i="3"/>
  <c r="CJ110" i="3"/>
  <c r="CM110" i="3" s="1"/>
  <c r="CH110" i="3"/>
  <c r="CF110" i="3"/>
  <c r="CE110" i="3"/>
  <c r="CD110" i="3"/>
  <c r="CC110" i="3"/>
  <c r="CA110" i="3"/>
  <c r="CB110" i="3" s="1"/>
  <c r="CG110" i="3" s="1"/>
  <c r="BT110" i="3"/>
  <c r="BR110" i="3"/>
  <c r="BP110" i="3"/>
  <c r="BO110" i="3"/>
  <c r="BN110" i="3"/>
  <c r="BM110" i="3"/>
  <c r="BL110" i="3"/>
  <c r="AY110" i="3"/>
  <c r="AX110" i="3"/>
  <c r="AW110" i="3"/>
  <c r="DT109" i="3"/>
  <c r="DR109" i="3"/>
  <c r="DQ109" i="3"/>
  <c r="DK109" i="3"/>
  <c r="DI109" i="3"/>
  <c r="DH109" i="3"/>
  <c r="CU109" i="3"/>
  <c r="CV109" i="3" s="1"/>
  <c r="CT109" i="3"/>
  <c r="CS109" i="3"/>
  <c r="CP109" i="3"/>
  <c r="CM109" i="3"/>
  <c r="CJ109" i="3"/>
  <c r="CF109" i="3"/>
  <c r="CE109" i="3"/>
  <c r="CD109" i="3"/>
  <c r="CC109" i="3"/>
  <c r="CB109" i="3"/>
  <c r="CG109" i="3" s="1"/>
  <c r="CH109" i="3" s="1"/>
  <c r="CA109" i="3"/>
  <c r="BT109" i="3"/>
  <c r="BR109" i="3"/>
  <c r="BQ109" i="3"/>
  <c r="BP109" i="3"/>
  <c r="BO109" i="3"/>
  <c r="BN109" i="3"/>
  <c r="BM109" i="3"/>
  <c r="BS109" i="3" s="1"/>
  <c r="BL109" i="3"/>
  <c r="AY109" i="3"/>
  <c r="AX109" i="3"/>
  <c r="AW109" i="3"/>
  <c r="DT108" i="3"/>
  <c r="DR108" i="3"/>
  <c r="DS108" i="3" s="1"/>
  <c r="DQ108" i="3"/>
  <c r="DK108" i="3"/>
  <c r="DI108" i="3"/>
  <c r="DH108" i="3"/>
  <c r="CV108" i="3"/>
  <c r="CU108" i="3"/>
  <c r="CS108" i="3"/>
  <c r="CT108" i="3" s="1"/>
  <c r="CP108" i="3"/>
  <c r="CM108" i="3"/>
  <c r="CJ108" i="3"/>
  <c r="CG108" i="3"/>
  <c r="CH108" i="3" s="1"/>
  <c r="CF108" i="3"/>
  <c r="CE108" i="3"/>
  <c r="CD108" i="3"/>
  <c r="CC108" i="3"/>
  <c r="CB108" i="3"/>
  <c r="CA108" i="3"/>
  <c r="BT108" i="3"/>
  <c r="BS108" i="3"/>
  <c r="BQ108" i="3"/>
  <c r="BP108" i="3"/>
  <c r="BO108" i="3"/>
  <c r="BN108" i="3"/>
  <c r="BM108" i="3"/>
  <c r="BR108" i="3" s="1"/>
  <c r="BL108" i="3"/>
  <c r="AY108" i="3"/>
  <c r="AX108" i="3"/>
  <c r="AW108" i="3"/>
  <c r="DT107" i="3"/>
  <c r="DR107" i="3"/>
  <c r="DQ107" i="3"/>
  <c r="DK107" i="3"/>
  <c r="DI107" i="3"/>
  <c r="DH107" i="3"/>
  <c r="CU107" i="3"/>
  <c r="CV107" i="3" s="1"/>
  <c r="CS107" i="3"/>
  <c r="CT107" i="3" s="1"/>
  <c r="CP107" i="3"/>
  <c r="CM107" i="3"/>
  <c r="CJ107" i="3"/>
  <c r="CF107" i="3"/>
  <c r="CE107" i="3"/>
  <c r="CD107" i="3"/>
  <c r="CC107" i="3"/>
  <c r="CB107" i="3"/>
  <c r="CG107" i="3" s="1"/>
  <c r="CA107" i="3"/>
  <c r="BT107" i="3"/>
  <c r="BR107" i="3"/>
  <c r="BQ107" i="3"/>
  <c r="BP107" i="3"/>
  <c r="BO107" i="3"/>
  <c r="BN107" i="3"/>
  <c r="BM107" i="3"/>
  <c r="BS107" i="3" s="1"/>
  <c r="BL107" i="3"/>
  <c r="AY107" i="3"/>
  <c r="AX107" i="3"/>
  <c r="AW107" i="3"/>
  <c r="DT106" i="3"/>
  <c r="DS106" i="3"/>
  <c r="DR106" i="3"/>
  <c r="DQ106" i="3"/>
  <c r="DK106" i="3"/>
  <c r="DI106" i="3"/>
  <c r="DH106" i="3"/>
  <c r="CV106" i="3"/>
  <c r="CU106" i="3"/>
  <c r="CT106" i="3"/>
  <c r="CS106" i="3"/>
  <c r="CP106" i="3"/>
  <c r="CM106" i="3"/>
  <c r="CJ106" i="3"/>
  <c r="CG106" i="3"/>
  <c r="CH106" i="3" s="1"/>
  <c r="CF106" i="3"/>
  <c r="CE106" i="3"/>
  <c r="CD106" i="3"/>
  <c r="CC106" i="3"/>
  <c r="CB106" i="3"/>
  <c r="CA106" i="3"/>
  <c r="BT106" i="3"/>
  <c r="BS106" i="3"/>
  <c r="BR106" i="3"/>
  <c r="BQ106" i="3"/>
  <c r="BP106" i="3"/>
  <c r="BO106" i="3"/>
  <c r="BN106" i="3"/>
  <c r="BM106" i="3"/>
  <c r="BL106" i="3"/>
  <c r="AY106" i="3"/>
  <c r="AX106" i="3"/>
  <c r="AW106" i="3"/>
  <c r="DT105" i="3"/>
  <c r="DR105" i="3"/>
  <c r="DQ105" i="3"/>
  <c r="DK105" i="3"/>
  <c r="DI105" i="3"/>
  <c r="DH105" i="3"/>
  <c r="CU105" i="3"/>
  <c r="CV105" i="3" s="1"/>
  <c r="CT105" i="3"/>
  <c r="CS105" i="3"/>
  <c r="CP105" i="3"/>
  <c r="CJ105" i="3"/>
  <c r="CM105" i="3" s="1"/>
  <c r="CG105" i="3"/>
  <c r="CF105" i="3"/>
  <c r="CE105" i="3"/>
  <c r="CD105" i="3"/>
  <c r="CC105" i="3"/>
  <c r="CA105" i="3"/>
  <c r="CB105" i="3" s="1"/>
  <c r="BT105" i="3"/>
  <c r="BS105" i="3"/>
  <c r="BR105" i="3"/>
  <c r="BP105" i="3"/>
  <c r="BO105" i="3"/>
  <c r="BN105" i="3"/>
  <c r="BM105" i="3"/>
  <c r="BQ105" i="3" s="1"/>
  <c r="BL105" i="3"/>
  <c r="AY105" i="3"/>
  <c r="AX105" i="3"/>
  <c r="AW105" i="3"/>
  <c r="DT104" i="3"/>
  <c r="DR104" i="3"/>
  <c r="DQ104" i="3"/>
  <c r="DK104" i="3"/>
  <c r="DI104" i="3"/>
  <c r="DH104" i="3"/>
  <c r="CV104" i="3"/>
  <c r="CU104" i="3"/>
  <c r="CS104" i="3"/>
  <c r="CT104" i="3" s="1"/>
  <c r="CP104" i="3"/>
  <c r="CJ104" i="3"/>
  <c r="CM104" i="3" s="1"/>
  <c r="CH104" i="3"/>
  <c r="CF104" i="3"/>
  <c r="CE104" i="3"/>
  <c r="CD104" i="3"/>
  <c r="CC104" i="3"/>
  <c r="CA104" i="3"/>
  <c r="CB104" i="3" s="1"/>
  <c r="CG104" i="3" s="1"/>
  <c r="DS104" i="3" s="1"/>
  <c r="BT104" i="3"/>
  <c r="BP104" i="3"/>
  <c r="BO104" i="3"/>
  <c r="BN104" i="3"/>
  <c r="BM104" i="3"/>
  <c r="BL104" i="3"/>
  <c r="AY104" i="3"/>
  <c r="AX104" i="3"/>
  <c r="AW104" i="3"/>
  <c r="DT103" i="3"/>
  <c r="DR103" i="3"/>
  <c r="DQ103" i="3"/>
  <c r="DK103" i="3"/>
  <c r="DI103" i="3"/>
  <c r="DH103" i="3"/>
  <c r="CU103" i="3"/>
  <c r="CV103" i="3" s="1"/>
  <c r="CT103" i="3"/>
  <c r="CS103" i="3"/>
  <c r="CP103" i="3"/>
  <c r="CM103" i="3"/>
  <c r="CJ103" i="3"/>
  <c r="CF103" i="3"/>
  <c r="CE103" i="3"/>
  <c r="CD103" i="3"/>
  <c r="CC103" i="3"/>
  <c r="CB103" i="3"/>
  <c r="CG103" i="3" s="1"/>
  <c r="CA103" i="3"/>
  <c r="BT103" i="3"/>
  <c r="BR103" i="3"/>
  <c r="BQ103" i="3"/>
  <c r="BP103" i="3"/>
  <c r="BO103" i="3"/>
  <c r="BN103" i="3"/>
  <c r="BM103" i="3"/>
  <c r="BS103" i="3" s="1"/>
  <c r="BL103" i="3"/>
  <c r="AY103" i="3"/>
  <c r="AX103" i="3"/>
  <c r="AW103" i="3"/>
  <c r="DT102" i="3"/>
  <c r="DR102" i="3"/>
  <c r="DS102" i="3" s="1"/>
  <c r="DQ102" i="3"/>
  <c r="DK102" i="3"/>
  <c r="DI102" i="3"/>
  <c r="DH102" i="3"/>
  <c r="CV102" i="3"/>
  <c r="CU102" i="3"/>
  <c r="CS102" i="3"/>
  <c r="CT102" i="3" s="1"/>
  <c r="CP102" i="3"/>
  <c r="CM102" i="3"/>
  <c r="CJ102" i="3"/>
  <c r="CG102" i="3"/>
  <c r="CH102" i="3" s="1"/>
  <c r="CF102" i="3"/>
  <c r="CE102" i="3"/>
  <c r="CD102" i="3"/>
  <c r="CC102" i="3"/>
  <c r="CB102" i="3"/>
  <c r="CA102" i="3"/>
  <c r="BT102" i="3"/>
  <c r="BS102" i="3"/>
  <c r="BR102" i="3"/>
  <c r="BQ102" i="3"/>
  <c r="BP102" i="3"/>
  <c r="BO102" i="3"/>
  <c r="BN102" i="3"/>
  <c r="BM102" i="3"/>
  <c r="BL102" i="3"/>
  <c r="AY102" i="3"/>
  <c r="AX102" i="3"/>
  <c r="AW102" i="3"/>
  <c r="DT101" i="3"/>
  <c r="DR101" i="3"/>
  <c r="DQ101" i="3"/>
  <c r="DK101" i="3"/>
  <c r="DI101" i="3"/>
  <c r="DH101" i="3"/>
  <c r="CV101" i="3"/>
  <c r="CU101" i="3"/>
  <c r="CT101" i="3"/>
  <c r="CS101" i="3"/>
  <c r="CP101" i="3"/>
  <c r="CJ101" i="3"/>
  <c r="CM101" i="3" s="1"/>
  <c r="CF101" i="3"/>
  <c r="CE101" i="3"/>
  <c r="CD101" i="3"/>
  <c r="CC101" i="3"/>
  <c r="CA101" i="3"/>
  <c r="CB101" i="3" s="1"/>
  <c r="CG101" i="3" s="1"/>
  <c r="BT101" i="3"/>
  <c r="BS101" i="3"/>
  <c r="BR101" i="3"/>
  <c r="BP101" i="3"/>
  <c r="BO101" i="3"/>
  <c r="BN101" i="3"/>
  <c r="BM101" i="3"/>
  <c r="BQ101" i="3" s="1"/>
  <c r="BL101" i="3"/>
  <c r="AY101" i="3"/>
  <c r="AX101" i="3"/>
  <c r="AW101" i="3"/>
  <c r="DT100" i="3"/>
  <c r="DR100" i="3"/>
  <c r="DQ100" i="3"/>
  <c r="DK100" i="3"/>
  <c r="DI100" i="3"/>
  <c r="DH100" i="3"/>
  <c r="CV100" i="3"/>
  <c r="CU100" i="3"/>
  <c r="CS100" i="3"/>
  <c r="CT100" i="3" s="1"/>
  <c r="CP100" i="3"/>
  <c r="CJ100" i="3"/>
  <c r="CM100" i="3" s="1"/>
  <c r="CH100" i="3"/>
  <c r="CF100" i="3"/>
  <c r="CE100" i="3"/>
  <c r="CD100" i="3"/>
  <c r="CC100" i="3"/>
  <c r="CA100" i="3"/>
  <c r="CB100" i="3" s="1"/>
  <c r="CG100" i="3" s="1"/>
  <c r="DS100" i="3" s="1"/>
  <c r="BT100" i="3"/>
  <c r="BP100" i="3"/>
  <c r="BO100" i="3"/>
  <c r="BN100" i="3"/>
  <c r="BM100" i="3"/>
  <c r="BL100" i="3"/>
  <c r="AY100" i="3"/>
  <c r="AX100" i="3"/>
  <c r="AW100" i="3"/>
  <c r="DT99" i="3"/>
  <c r="DR99" i="3"/>
  <c r="DQ99" i="3"/>
  <c r="DK99" i="3"/>
  <c r="DI99" i="3"/>
  <c r="DH99" i="3"/>
  <c r="CU99" i="3"/>
  <c r="CV99" i="3" s="1"/>
  <c r="CT99" i="3"/>
  <c r="CS99" i="3"/>
  <c r="CP99" i="3"/>
  <c r="CM99" i="3"/>
  <c r="CJ99" i="3"/>
  <c r="CF99" i="3"/>
  <c r="CE99" i="3"/>
  <c r="CD99" i="3"/>
  <c r="CC99" i="3"/>
  <c r="CB99" i="3"/>
  <c r="CG99" i="3" s="1"/>
  <c r="CA99" i="3"/>
  <c r="BT99" i="3"/>
  <c r="BR99" i="3"/>
  <c r="BQ99" i="3"/>
  <c r="BP99" i="3"/>
  <c r="BO99" i="3"/>
  <c r="BN99" i="3"/>
  <c r="BM99" i="3"/>
  <c r="BS99" i="3" s="1"/>
  <c r="BL99" i="3"/>
  <c r="AY99" i="3"/>
  <c r="AX99" i="3"/>
  <c r="AW99" i="3"/>
  <c r="DT98" i="3"/>
  <c r="DR98" i="3"/>
  <c r="DS98" i="3" s="1"/>
  <c r="DQ98" i="3"/>
  <c r="DK98" i="3"/>
  <c r="DI98" i="3"/>
  <c r="DH98" i="3"/>
  <c r="CV98" i="3"/>
  <c r="CU98" i="3"/>
  <c r="CS98" i="3"/>
  <c r="CT98" i="3" s="1"/>
  <c r="CP98" i="3"/>
  <c r="CM98" i="3"/>
  <c r="CJ98" i="3"/>
  <c r="CG98" i="3"/>
  <c r="CH98" i="3" s="1"/>
  <c r="CF98" i="3"/>
  <c r="CE98" i="3"/>
  <c r="CD98" i="3"/>
  <c r="CC98" i="3"/>
  <c r="CB98" i="3"/>
  <c r="CA98" i="3"/>
  <c r="BT98" i="3"/>
  <c r="BS98" i="3"/>
  <c r="BR98" i="3"/>
  <c r="BQ98" i="3"/>
  <c r="BP98" i="3"/>
  <c r="BO98" i="3"/>
  <c r="BN98" i="3"/>
  <c r="BM98" i="3"/>
  <c r="BL98" i="3"/>
  <c r="AY98" i="3"/>
  <c r="AX98" i="3"/>
  <c r="AW98" i="3"/>
  <c r="DT97" i="3"/>
  <c r="DR97" i="3"/>
  <c r="DQ97" i="3"/>
  <c r="DK97" i="3"/>
  <c r="DI97" i="3"/>
  <c r="DH97" i="3"/>
  <c r="CV97" i="3"/>
  <c r="CU97" i="3"/>
  <c r="CT97" i="3"/>
  <c r="CS97" i="3"/>
  <c r="CP97" i="3"/>
  <c r="CJ97" i="3"/>
  <c r="CM97" i="3" s="1"/>
  <c r="CF97" i="3"/>
  <c r="CE97" i="3"/>
  <c r="CD97" i="3"/>
  <c r="CC97" i="3"/>
  <c r="CA97" i="3"/>
  <c r="CB97" i="3" s="1"/>
  <c r="CG97" i="3" s="1"/>
  <c r="BT97" i="3"/>
  <c r="BS97" i="3"/>
  <c r="BR97" i="3"/>
  <c r="BP97" i="3"/>
  <c r="BO97" i="3"/>
  <c r="BN97" i="3"/>
  <c r="BM97" i="3"/>
  <c r="BQ97" i="3" s="1"/>
  <c r="BL97" i="3"/>
  <c r="AY97" i="3"/>
  <c r="AX97" i="3"/>
  <c r="AW97" i="3"/>
  <c r="DT96" i="3"/>
  <c r="DR96" i="3"/>
  <c r="DQ96" i="3"/>
  <c r="DK96" i="3"/>
  <c r="DI96" i="3"/>
  <c r="DH96" i="3"/>
  <c r="CV96" i="3"/>
  <c r="CU96" i="3"/>
  <c r="CS96" i="3"/>
  <c r="CT96" i="3" s="1"/>
  <c r="CP96" i="3"/>
  <c r="CJ96" i="3"/>
  <c r="CM96" i="3" s="1"/>
  <c r="CF96" i="3"/>
  <c r="CE96" i="3"/>
  <c r="CD96" i="3"/>
  <c r="CC96" i="3"/>
  <c r="CA96" i="3"/>
  <c r="CB96" i="3" s="1"/>
  <c r="CG96" i="3" s="1"/>
  <c r="DS96" i="3" s="1"/>
  <c r="BT96" i="3"/>
  <c r="BP96" i="3"/>
  <c r="BO96" i="3"/>
  <c r="BN96" i="3"/>
  <c r="BM96" i="3"/>
  <c r="BL96" i="3"/>
  <c r="AY96" i="3"/>
  <c r="AX96" i="3"/>
  <c r="AW96" i="3"/>
  <c r="DT95" i="3"/>
  <c r="DR95" i="3"/>
  <c r="DQ95" i="3"/>
  <c r="DK95" i="3"/>
  <c r="DI95" i="3"/>
  <c r="DH95" i="3"/>
  <c r="CU95" i="3"/>
  <c r="CV95" i="3" s="1"/>
  <c r="CT95" i="3"/>
  <c r="CS95" i="3"/>
  <c r="CP95" i="3"/>
  <c r="CM95" i="3"/>
  <c r="CJ95" i="3"/>
  <c r="CF95" i="3"/>
  <c r="CE95" i="3"/>
  <c r="CD95" i="3"/>
  <c r="CC95" i="3"/>
  <c r="CB95" i="3"/>
  <c r="CG95" i="3" s="1"/>
  <c r="CA95" i="3"/>
  <c r="BT95" i="3"/>
  <c r="BR95" i="3"/>
  <c r="BQ95" i="3"/>
  <c r="BP95" i="3"/>
  <c r="BO95" i="3"/>
  <c r="BN95" i="3"/>
  <c r="BM95" i="3"/>
  <c r="BS95" i="3" s="1"/>
  <c r="BL95" i="3"/>
  <c r="AY95" i="3"/>
  <c r="AX95" i="3"/>
  <c r="AW95" i="3"/>
  <c r="DT94" i="3"/>
  <c r="DS94" i="3"/>
  <c r="DR94" i="3"/>
  <c r="DQ94" i="3"/>
  <c r="DK94" i="3"/>
  <c r="DI94" i="3"/>
  <c r="DH94" i="3"/>
  <c r="CV94" i="3"/>
  <c r="CU94" i="3"/>
  <c r="CT94" i="3"/>
  <c r="CS94" i="3"/>
  <c r="CP94" i="3"/>
  <c r="CM94" i="3"/>
  <c r="CJ94" i="3"/>
  <c r="CG94" i="3"/>
  <c r="CH94" i="3" s="1"/>
  <c r="CF94" i="3"/>
  <c r="CE94" i="3"/>
  <c r="CD94" i="3"/>
  <c r="CC94" i="3"/>
  <c r="CB94" i="3"/>
  <c r="CA94" i="3"/>
  <c r="BT94" i="3"/>
  <c r="BS94" i="3"/>
  <c r="BR94" i="3"/>
  <c r="BQ94" i="3"/>
  <c r="BP94" i="3"/>
  <c r="BO94" i="3"/>
  <c r="BN94" i="3"/>
  <c r="BM94" i="3"/>
  <c r="BL94" i="3"/>
  <c r="AY94" i="3"/>
  <c r="AX94" i="3"/>
  <c r="AW94" i="3"/>
  <c r="DT93" i="3"/>
  <c r="DR93" i="3"/>
  <c r="DQ93" i="3"/>
  <c r="DK93" i="3"/>
  <c r="DI93" i="3"/>
  <c r="DH93" i="3"/>
  <c r="CU93" i="3"/>
  <c r="CV93" i="3" s="1"/>
  <c r="CT93" i="3"/>
  <c r="CS93" i="3"/>
  <c r="CP93" i="3"/>
  <c r="CJ93" i="3"/>
  <c r="CM93" i="3" s="1"/>
  <c r="CG93" i="3"/>
  <c r="CF93" i="3"/>
  <c r="CE93" i="3"/>
  <c r="CD93" i="3"/>
  <c r="CC93" i="3"/>
  <c r="CA93" i="3"/>
  <c r="CB93" i="3" s="1"/>
  <c r="BT93" i="3"/>
  <c r="BS93" i="3"/>
  <c r="BR93" i="3"/>
  <c r="BP93" i="3"/>
  <c r="BO93" i="3"/>
  <c r="BN93" i="3"/>
  <c r="BM93" i="3"/>
  <c r="BQ93" i="3" s="1"/>
  <c r="BL93" i="3"/>
  <c r="AY93" i="3"/>
  <c r="AX93" i="3"/>
  <c r="AW93" i="3"/>
  <c r="DT92" i="3"/>
  <c r="DR92" i="3"/>
  <c r="DQ92" i="3"/>
  <c r="DK92" i="3"/>
  <c r="DI92" i="3"/>
  <c r="DH92" i="3"/>
  <c r="CV92" i="3"/>
  <c r="CU92" i="3"/>
  <c r="CS92" i="3"/>
  <c r="CT92" i="3" s="1"/>
  <c r="CP92" i="3"/>
  <c r="CJ92" i="3"/>
  <c r="CM92" i="3" s="1"/>
  <c r="CF92" i="3"/>
  <c r="CE92" i="3"/>
  <c r="CD92" i="3"/>
  <c r="CC92" i="3"/>
  <c r="CA92" i="3"/>
  <c r="CB92" i="3" s="1"/>
  <c r="CG92" i="3" s="1"/>
  <c r="DS92" i="3" s="1"/>
  <c r="BT92" i="3"/>
  <c r="BP92" i="3"/>
  <c r="BO92" i="3"/>
  <c r="BN92" i="3"/>
  <c r="BM92" i="3"/>
  <c r="BL92" i="3"/>
  <c r="AY92" i="3"/>
  <c r="AX92" i="3"/>
  <c r="AW92" i="3"/>
  <c r="DT91" i="3"/>
  <c r="DR91" i="3"/>
  <c r="DQ91" i="3"/>
  <c r="DK91" i="3"/>
  <c r="DI91" i="3"/>
  <c r="DH91" i="3"/>
  <c r="CU91" i="3"/>
  <c r="CV91" i="3" s="1"/>
  <c r="CT91" i="3"/>
  <c r="CS91" i="3"/>
  <c r="CP91" i="3"/>
  <c r="CM91" i="3"/>
  <c r="CJ91" i="3"/>
  <c r="CF91" i="3"/>
  <c r="CE91" i="3"/>
  <c r="CD91" i="3"/>
  <c r="CC91" i="3"/>
  <c r="CB91" i="3"/>
  <c r="CG91" i="3" s="1"/>
  <c r="CA91" i="3"/>
  <c r="BT91" i="3"/>
  <c r="BR91" i="3"/>
  <c r="BQ91" i="3"/>
  <c r="BP91" i="3"/>
  <c r="BO91" i="3"/>
  <c r="BN91" i="3"/>
  <c r="BM91" i="3"/>
  <c r="BS91" i="3" s="1"/>
  <c r="BL91" i="3"/>
  <c r="AY91" i="3"/>
  <c r="AX91" i="3"/>
  <c r="AW91" i="3"/>
  <c r="DT90" i="3"/>
  <c r="DS90" i="3"/>
  <c r="DR90" i="3"/>
  <c r="DQ90" i="3"/>
  <c r="DK90" i="3"/>
  <c r="DI90" i="3"/>
  <c r="DH90" i="3"/>
  <c r="CV90" i="3"/>
  <c r="CU90" i="3"/>
  <c r="CT90" i="3"/>
  <c r="CS90" i="3"/>
  <c r="CP90" i="3"/>
  <c r="CM90" i="3"/>
  <c r="CJ90" i="3"/>
  <c r="CG90" i="3"/>
  <c r="CH90" i="3" s="1"/>
  <c r="CF90" i="3"/>
  <c r="CE90" i="3"/>
  <c r="CD90" i="3"/>
  <c r="CC90" i="3"/>
  <c r="CB90" i="3"/>
  <c r="CA90" i="3"/>
  <c r="BT90" i="3"/>
  <c r="BS90" i="3"/>
  <c r="BR90" i="3"/>
  <c r="BQ90" i="3"/>
  <c r="BP90" i="3"/>
  <c r="BO90" i="3"/>
  <c r="BN90" i="3"/>
  <c r="BM90" i="3"/>
  <c r="BL90" i="3"/>
  <c r="AY90" i="3"/>
  <c r="AX90" i="3"/>
  <c r="AW90" i="3"/>
  <c r="DT89" i="3"/>
  <c r="DR89" i="3"/>
  <c r="DQ89" i="3"/>
  <c r="DK89" i="3"/>
  <c r="DI89" i="3"/>
  <c r="DH89" i="3"/>
  <c r="CU89" i="3"/>
  <c r="CV89" i="3" s="1"/>
  <c r="CT89" i="3"/>
  <c r="CS89" i="3"/>
  <c r="CP89" i="3"/>
  <c r="CJ89" i="3"/>
  <c r="CM89" i="3" s="1"/>
  <c r="CG89" i="3"/>
  <c r="CF89" i="3"/>
  <c r="CE89" i="3"/>
  <c r="CD89" i="3"/>
  <c r="CC89" i="3"/>
  <c r="CA89" i="3"/>
  <c r="CB89" i="3" s="1"/>
  <c r="BT89" i="3"/>
  <c r="BS89" i="3"/>
  <c r="BR89" i="3"/>
  <c r="BP89" i="3"/>
  <c r="BO89" i="3"/>
  <c r="BN89" i="3"/>
  <c r="BM89" i="3"/>
  <c r="BQ89" i="3" s="1"/>
  <c r="BL89" i="3"/>
  <c r="AY89" i="3"/>
  <c r="AX89" i="3"/>
  <c r="AW89" i="3"/>
  <c r="DT88" i="3"/>
  <c r="DR88" i="3"/>
  <c r="DQ88" i="3"/>
  <c r="DK88" i="3"/>
  <c r="DI88" i="3"/>
  <c r="DH88" i="3"/>
  <c r="CV88" i="3"/>
  <c r="CU88" i="3"/>
  <c r="CS88" i="3"/>
  <c r="CT88" i="3" s="1"/>
  <c r="CP88" i="3"/>
  <c r="CJ88" i="3"/>
  <c r="CM88" i="3" s="1"/>
  <c r="CH88" i="3"/>
  <c r="CF88" i="3"/>
  <c r="CE88" i="3"/>
  <c r="CD88" i="3"/>
  <c r="CC88" i="3"/>
  <c r="CA88" i="3"/>
  <c r="CB88" i="3" s="1"/>
  <c r="CG88" i="3" s="1"/>
  <c r="DS88" i="3" s="1"/>
  <c r="BT88" i="3"/>
  <c r="BP88" i="3"/>
  <c r="BO88" i="3"/>
  <c r="BN88" i="3"/>
  <c r="BM88" i="3"/>
  <c r="BL88" i="3"/>
  <c r="AY88" i="3"/>
  <c r="AX88" i="3"/>
  <c r="AW88" i="3"/>
  <c r="DT87" i="3"/>
  <c r="DR87" i="3"/>
  <c r="DQ87" i="3"/>
  <c r="DK87" i="3"/>
  <c r="DI87" i="3"/>
  <c r="DH87" i="3"/>
  <c r="CU87" i="3"/>
  <c r="CV87" i="3" s="1"/>
  <c r="CT87" i="3"/>
  <c r="CS87" i="3"/>
  <c r="CP87" i="3"/>
  <c r="CM87" i="3"/>
  <c r="CJ87" i="3"/>
  <c r="CF87" i="3"/>
  <c r="CE87" i="3"/>
  <c r="CD87" i="3"/>
  <c r="CC87" i="3"/>
  <c r="CB87" i="3"/>
  <c r="CG87" i="3" s="1"/>
  <c r="CA87" i="3"/>
  <c r="BT87" i="3"/>
  <c r="BR87" i="3"/>
  <c r="BQ87" i="3"/>
  <c r="BP87" i="3"/>
  <c r="BO87" i="3"/>
  <c r="BN87" i="3"/>
  <c r="BM87" i="3"/>
  <c r="BS87" i="3" s="1"/>
  <c r="BL87" i="3"/>
  <c r="AY87" i="3"/>
  <c r="AX87" i="3"/>
  <c r="AW87" i="3"/>
  <c r="DT86" i="3"/>
  <c r="DS86" i="3"/>
  <c r="DR86" i="3"/>
  <c r="DQ86" i="3"/>
  <c r="DK86" i="3"/>
  <c r="DI86" i="3"/>
  <c r="DH86" i="3"/>
  <c r="CV86" i="3"/>
  <c r="CU86" i="3"/>
  <c r="CT86" i="3"/>
  <c r="CS86" i="3"/>
  <c r="CP86" i="3"/>
  <c r="CM86" i="3"/>
  <c r="CJ86" i="3"/>
  <c r="CG86" i="3"/>
  <c r="CH86" i="3" s="1"/>
  <c r="CF86" i="3"/>
  <c r="CE86" i="3"/>
  <c r="CD86" i="3"/>
  <c r="CC86" i="3"/>
  <c r="CB86" i="3"/>
  <c r="CA86" i="3"/>
  <c r="BT86" i="3"/>
  <c r="BS86" i="3"/>
  <c r="BR86" i="3"/>
  <c r="BQ86" i="3"/>
  <c r="BP86" i="3"/>
  <c r="BO86" i="3"/>
  <c r="BN86" i="3"/>
  <c r="BM86" i="3"/>
  <c r="BL86" i="3"/>
  <c r="AY86" i="3"/>
  <c r="AX86" i="3"/>
  <c r="AW86" i="3"/>
  <c r="DT85" i="3"/>
  <c r="DR85" i="3"/>
  <c r="DQ85" i="3"/>
  <c r="DK85" i="3"/>
  <c r="DI85" i="3"/>
  <c r="DH85" i="3"/>
  <c r="CV85" i="3"/>
  <c r="CU85" i="3"/>
  <c r="CT85" i="3"/>
  <c r="CS85" i="3"/>
  <c r="CP85" i="3"/>
  <c r="CJ85" i="3"/>
  <c r="CM85" i="3" s="1"/>
  <c r="CF85" i="3"/>
  <c r="CE85" i="3"/>
  <c r="CD85" i="3"/>
  <c r="CC85" i="3"/>
  <c r="CA85" i="3"/>
  <c r="CB85" i="3" s="1"/>
  <c r="CG85" i="3" s="1"/>
  <c r="BT85" i="3"/>
  <c r="BS85" i="3"/>
  <c r="BR85" i="3"/>
  <c r="BP85" i="3"/>
  <c r="BO85" i="3"/>
  <c r="BN85" i="3"/>
  <c r="BM85" i="3"/>
  <c r="BQ85" i="3" s="1"/>
  <c r="BL85" i="3"/>
  <c r="AY85" i="3"/>
  <c r="AX85" i="3"/>
  <c r="AW85" i="3"/>
  <c r="DT84" i="3"/>
  <c r="DR84" i="3"/>
  <c r="DQ84" i="3"/>
  <c r="DK84" i="3"/>
  <c r="DI84" i="3"/>
  <c r="DH84" i="3"/>
  <c r="CV84" i="3"/>
  <c r="CU84" i="3"/>
  <c r="CS84" i="3"/>
  <c r="CT84" i="3" s="1"/>
  <c r="CP84" i="3"/>
  <c r="CJ84" i="3"/>
  <c r="CM84" i="3" s="1"/>
  <c r="CF84" i="3"/>
  <c r="CE84" i="3"/>
  <c r="CD84" i="3"/>
  <c r="CC84" i="3"/>
  <c r="CA84" i="3"/>
  <c r="CB84" i="3" s="1"/>
  <c r="CG84" i="3" s="1"/>
  <c r="DS84" i="3" s="1"/>
  <c r="BT84" i="3"/>
  <c r="BP84" i="3"/>
  <c r="BO84" i="3"/>
  <c r="BN84" i="3"/>
  <c r="BM84" i="3"/>
  <c r="BL84" i="3"/>
  <c r="AY84" i="3"/>
  <c r="AX84" i="3"/>
  <c r="AW84" i="3"/>
  <c r="DT83" i="3"/>
  <c r="DR83" i="3"/>
  <c r="DQ83" i="3"/>
  <c r="DK83" i="3"/>
  <c r="DI83" i="3"/>
  <c r="DH83" i="3"/>
  <c r="CU83" i="3"/>
  <c r="CV83" i="3" s="1"/>
  <c r="CT83" i="3"/>
  <c r="CS83" i="3"/>
  <c r="CP83" i="3"/>
  <c r="CM83" i="3"/>
  <c r="CJ83" i="3"/>
  <c r="CF83" i="3"/>
  <c r="CE83" i="3"/>
  <c r="CD83" i="3"/>
  <c r="CC83" i="3"/>
  <c r="CB83" i="3"/>
  <c r="CG83" i="3" s="1"/>
  <c r="CA83" i="3"/>
  <c r="BT83" i="3"/>
  <c r="BQ83" i="3"/>
  <c r="BP83" i="3"/>
  <c r="BO83" i="3"/>
  <c r="BN83" i="3"/>
  <c r="BM83" i="3"/>
  <c r="BS83" i="3" s="1"/>
  <c r="BL83" i="3"/>
  <c r="AY83" i="3"/>
  <c r="AX83" i="3"/>
  <c r="AW83" i="3"/>
  <c r="DT82" i="3"/>
  <c r="DR82" i="3"/>
  <c r="DS82" i="3" s="1"/>
  <c r="DQ82" i="3"/>
  <c r="DK82" i="3"/>
  <c r="DI82" i="3"/>
  <c r="DH82" i="3"/>
  <c r="CV82" i="3"/>
  <c r="CU82" i="3"/>
  <c r="CS82" i="3"/>
  <c r="CT82" i="3" s="1"/>
  <c r="CP82" i="3"/>
  <c r="CM82" i="3"/>
  <c r="CJ82" i="3"/>
  <c r="CG82" i="3"/>
  <c r="CH82" i="3" s="1"/>
  <c r="CF82" i="3"/>
  <c r="CE82" i="3"/>
  <c r="CD82" i="3"/>
  <c r="CC82" i="3"/>
  <c r="CB82" i="3"/>
  <c r="CA82" i="3"/>
  <c r="BT82" i="3"/>
  <c r="BS82" i="3"/>
  <c r="BR82" i="3"/>
  <c r="BQ82" i="3"/>
  <c r="BP82" i="3"/>
  <c r="BO82" i="3"/>
  <c r="BN82" i="3"/>
  <c r="BM82" i="3"/>
  <c r="BL82" i="3"/>
  <c r="AY82" i="3"/>
  <c r="AX82" i="3"/>
  <c r="AW82" i="3"/>
  <c r="DT81" i="3"/>
  <c r="DR81" i="3"/>
  <c r="DQ81" i="3"/>
  <c r="DK81" i="3"/>
  <c r="DI81" i="3"/>
  <c r="DH81" i="3"/>
  <c r="CV81" i="3"/>
  <c r="CU81" i="3"/>
  <c r="CT81" i="3"/>
  <c r="CS81" i="3"/>
  <c r="CP81" i="3"/>
  <c r="CJ81" i="3"/>
  <c r="CM81" i="3" s="1"/>
  <c r="CF81" i="3"/>
  <c r="CE81" i="3"/>
  <c r="CD81" i="3"/>
  <c r="CC81" i="3"/>
  <c r="CA81" i="3"/>
  <c r="CB81" i="3" s="1"/>
  <c r="CG81" i="3" s="1"/>
  <c r="BT81" i="3"/>
  <c r="BS81" i="3"/>
  <c r="BR81" i="3"/>
  <c r="BP81" i="3"/>
  <c r="BO81" i="3"/>
  <c r="BN81" i="3"/>
  <c r="BM81" i="3"/>
  <c r="BQ81" i="3" s="1"/>
  <c r="BL81" i="3"/>
  <c r="AY81" i="3"/>
  <c r="AX81" i="3"/>
  <c r="AW81" i="3"/>
  <c r="DT80" i="3"/>
  <c r="DR80" i="3"/>
  <c r="DQ80" i="3"/>
  <c r="DK80" i="3"/>
  <c r="DI80" i="3"/>
  <c r="DH80" i="3"/>
  <c r="CV80" i="3"/>
  <c r="CU80" i="3"/>
  <c r="CS80" i="3"/>
  <c r="CT80" i="3" s="1"/>
  <c r="CP80" i="3"/>
  <c r="CJ80" i="3"/>
  <c r="CM80" i="3" s="1"/>
  <c r="CF80" i="3"/>
  <c r="CE80" i="3"/>
  <c r="CD80" i="3"/>
  <c r="CC80" i="3"/>
  <c r="CA80" i="3"/>
  <c r="CB80" i="3" s="1"/>
  <c r="CG80" i="3" s="1"/>
  <c r="DS80" i="3" s="1"/>
  <c r="BT80" i="3"/>
  <c r="BP80" i="3"/>
  <c r="BO80" i="3"/>
  <c r="BN80" i="3"/>
  <c r="BM80" i="3"/>
  <c r="BL80" i="3"/>
  <c r="AY80" i="3"/>
  <c r="AX80" i="3"/>
  <c r="AW80" i="3"/>
  <c r="DT79" i="3"/>
  <c r="DR79" i="3"/>
  <c r="DQ79" i="3"/>
  <c r="DK79" i="3"/>
  <c r="DI79" i="3"/>
  <c r="DH79" i="3"/>
  <c r="CU79" i="3"/>
  <c r="CV79" i="3" s="1"/>
  <c r="CT79" i="3"/>
  <c r="CS79" i="3"/>
  <c r="CP79" i="3"/>
  <c r="CM79" i="3"/>
  <c r="CJ79" i="3"/>
  <c r="CF79" i="3"/>
  <c r="CE79" i="3"/>
  <c r="CD79" i="3"/>
  <c r="CC79" i="3"/>
  <c r="CB79" i="3"/>
  <c r="CG79" i="3" s="1"/>
  <c r="CA79" i="3"/>
  <c r="BT79" i="3"/>
  <c r="BQ79" i="3"/>
  <c r="BP79" i="3"/>
  <c r="BO79" i="3"/>
  <c r="BN79" i="3"/>
  <c r="BM79" i="3"/>
  <c r="BS79" i="3" s="1"/>
  <c r="BL79" i="3"/>
  <c r="AY79" i="3"/>
  <c r="AX79" i="3"/>
  <c r="AW79" i="3"/>
  <c r="DT78" i="3"/>
  <c r="DR78" i="3"/>
  <c r="DS78" i="3" s="1"/>
  <c r="DQ78" i="3"/>
  <c r="DK78" i="3"/>
  <c r="DI78" i="3"/>
  <c r="DH78" i="3"/>
  <c r="CV78" i="3"/>
  <c r="CU78" i="3"/>
  <c r="CS78" i="3"/>
  <c r="CT78" i="3" s="1"/>
  <c r="CP78" i="3"/>
  <c r="CM78" i="3"/>
  <c r="CJ78" i="3"/>
  <c r="CG78" i="3"/>
  <c r="CH78" i="3" s="1"/>
  <c r="CF78" i="3"/>
  <c r="CE78" i="3"/>
  <c r="CD78" i="3"/>
  <c r="CC78" i="3"/>
  <c r="CB78" i="3"/>
  <c r="CA78" i="3"/>
  <c r="BT78" i="3"/>
  <c r="BS78" i="3"/>
  <c r="BR78" i="3"/>
  <c r="BQ78" i="3"/>
  <c r="BP78" i="3"/>
  <c r="BO78" i="3"/>
  <c r="BN78" i="3"/>
  <c r="BM78" i="3"/>
  <c r="BL78" i="3"/>
  <c r="AY78" i="3"/>
  <c r="AX78" i="3"/>
  <c r="AW78" i="3"/>
  <c r="DT77" i="3"/>
  <c r="DR77" i="3"/>
  <c r="DQ77" i="3"/>
  <c r="DK77" i="3"/>
  <c r="DI77" i="3"/>
  <c r="DH77" i="3"/>
  <c r="CV77" i="3"/>
  <c r="CU77" i="3"/>
  <c r="CT77" i="3"/>
  <c r="CS77" i="3"/>
  <c r="CP77" i="3"/>
  <c r="CJ77" i="3"/>
  <c r="CM77" i="3" s="1"/>
  <c r="CF77" i="3"/>
  <c r="CE77" i="3"/>
  <c r="CD77" i="3"/>
  <c r="CC77" i="3"/>
  <c r="CA77" i="3"/>
  <c r="CB77" i="3" s="1"/>
  <c r="CG77" i="3" s="1"/>
  <c r="BT77" i="3"/>
  <c r="BS77" i="3"/>
  <c r="BR77" i="3"/>
  <c r="BP77" i="3"/>
  <c r="BO77" i="3"/>
  <c r="BN77" i="3"/>
  <c r="BM77" i="3"/>
  <c r="BQ77" i="3" s="1"/>
  <c r="BL77" i="3"/>
  <c r="AY77" i="3"/>
  <c r="AX77" i="3"/>
  <c r="AW77" i="3"/>
  <c r="DT76" i="3"/>
  <c r="DR76" i="3"/>
  <c r="DQ76" i="3"/>
  <c r="DK76" i="3"/>
  <c r="DI76" i="3"/>
  <c r="DH76" i="3"/>
  <c r="CV76" i="3"/>
  <c r="CU76" i="3"/>
  <c r="CS76" i="3"/>
  <c r="CT76" i="3" s="1"/>
  <c r="CP76" i="3"/>
  <c r="CJ76" i="3"/>
  <c r="CM76" i="3" s="1"/>
  <c r="CF76" i="3"/>
  <c r="CE76" i="3"/>
  <c r="CD76" i="3"/>
  <c r="CC76" i="3"/>
  <c r="CA76" i="3"/>
  <c r="CB76" i="3" s="1"/>
  <c r="CG76" i="3" s="1"/>
  <c r="DS76" i="3" s="1"/>
  <c r="BT76" i="3"/>
  <c r="BP76" i="3"/>
  <c r="BO76" i="3"/>
  <c r="BN76" i="3"/>
  <c r="BM76" i="3"/>
  <c r="BL76" i="3"/>
  <c r="AY76" i="3"/>
  <c r="AX76" i="3"/>
  <c r="AW76" i="3"/>
  <c r="DT75" i="3"/>
  <c r="DR75" i="3"/>
  <c r="DQ75" i="3"/>
  <c r="DK75" i="3"/>
  <c r="DI75" i="3"/>
  <c r="DH75" i="3"/>
  <c r="CU75" i="3"/>
  <c r="CV75" i="3" s="1"/>
  <c r="CT75" i="3"/>
  <c r="CS75" i="3"/>
  <c r="CP75" i="3"/>
  <c r="CM75" i="3"/>
  <c r="CJ75" i="3"/>
  <c r="CF75" i="3"/>
  <c r="CE75" i="3"/>
  <c r="CD75" i="3"/>
  <c r="CC75" i="3"/>
  <c r="CB75" i="3"/>
  <c r="CG75" i="3" s="1"/>
  <c r="CA75" i="3"/>
  <c r="BT75" i="3"/>
  <c r="BQ75" i="3"/>
  <c r="BP75" i="3"/>
  <c r="BO75" i="3"/>
  <c r="BN75" i="3"/>
  <c r="BM75" i="3"/>
  <c r="BS75" i="3" s="1"/>
  <c r="BL75" i="3"/>
  <c r="AY75" i="3"/>
  <c r="AX75" i="3"/>
  <c r="AW75" i="3"/>
  <c r="DT74" i="3"/>
  <c r="DR74" i="3"/>
  <c r="DS74" i="3" s="1"/>
  <c r="DQ74" i="3"/>
  <c r="DK74" i="3"/>
  <c r="DI74" i="3"/>
  <c r="DH74" i="3"/>
  <c r="CV74" i="3"/>
  <c r="CU74" i="3"/>
  <c r="CS74" i="3"/>
  <c r="CT74" i="3" s="1"/>
  <c r="CP74" i="3"/>
  <c r="CM74" i="3"/>
  <c r="CJ74" i="3"/>
  <c r="CG74" i="3"/>
  <c r="CH74" i="3" s="1"/>
  <c r="CF74" i="3"/>
  <c r="CE74" i="3"/>
  <c r="CD74" i="3"/>
  <c r="CC74" i="3"/>
  <c r="CB74" i="3"/>
  <c r="CA74" i="3"/>
  <c r="BT74" i="3"/>
  <c r="BS74" i="3"/>
  <c r="BR74" i="3"/>
  <c r="BQ74" i="3"/>
  <c r="BP74" i="3"/>
  <c r="BO74" i="3"/>
  <c r="BN74" i="3"/>
  <c r="BM74" i="3"/>
  <c r="BL74" i="3"/>
  <c r="AY74" i="3"/>
  <c r="AX74" i="3"/>
  <c r="AW74" i="3"/>
  <c r="DT73" i="3"/>
  <c r="DR73" i="3"/>
  <c r="DQ73" i="3"/>
  <c r="DK73" i="3"/>
  <c r="DI73" i="3"/>
  <c r="DH73" i="3"/>
  <c r="CV73" i="3"/>
  <c r="CU73" i="3"/>
  <c r="CS73" i="3"/>
  <c r="CT73" i="3" s="1"/>
  <c r="CP73" i="3"/>
  <c r="CJ73" i="3"/>
  <c r="CM73" i="3" s="1"/>
  <c r="CG73" i="3"/>
  <c r="CF73" i="3"/>
  <c r="CE73" i="3"/>
  <c r="CD73" i="3"/>
  <c r="CC73" i="3"/>
  <c r="CA73" i="3"/>
  <c r="CB73" i="3" s="1"/>
  <c r="BT73" i="3"/>
  <c r="BS73" i="3"/>
  <c r="BR73" i="3"/>
  <c r="BP73" i="3"/>
  <c r="BO73" i="3"/>
  <c r="BN73" i="3"/>
  <c r="BM73" i="3"/>
  <c r="BQ73" i="3" s="1"/>
  <c r="BL73" i="3"/>
  <c r="AY73" i="3"/>
  <c r="AX73" i="3"/>
  <c r="AW73" i="3"/>
  <c r="DT72" i="3"/>
  <c r="DR72" i="3"/>
  <c r="DQ72" i="3"/>
  <c r="DK72" i="3"/>
  <c r="DI72" i="3"/>
  <c r="DH72" i="3"/>
  <c r="CU72" i="3"/>
  <c r="CV72" i="3" s="1"/>
  <c r="CS72" i="3"/>
  <c r="CT72" i="3" s="1"/>
  <c r="CP72" i="3"/>
  <c r="CJ72" i="3"/>
  <c r="CM72" i="3" s="1"/>
  <c r="CH72" i="3"/>
  <c r="CF72" i="3"/>
  <c r="CE72" i="3"/>
  <c r="CD72" i="3"/>
  <c r="CC72" i="3"/>
  <c r="CA72" i="3"/>
  <c r="CB72" i="3" s="1"/>
  <c r="CG72" i="3" s="1"/>
  <c r="DS72" i="3" s="1"/>
  <c r="BT72" i="3"/>
  <c r="BP72" i="3"/>
  <c r="BO72" i="3"/>
  <c r="BN72" i="3"/>
  <c r="BM72" i="3"/>
  <c r="BL72" i="3"/>
  <c r="AY72" i="3"/>
  <c r="AX72" i="3"/>
  <c r="AW72" i="3"/>
  <c r="DT71" i="3"/>
  <c r="DR71" i="3"/>
  <c r="DQ71" i="3"/>
  <c r="DK71" i="3"/>
  <c r="DI71" i="3"/>
  <c r="DH71" i="3"/>
  <c r="CU71" i="3"/>
  <c r="CV71" i="3" s="1"/>
  <c r="CT71" i="3"/>
  <c r="CS71" i="3"/>
  <c r="CP71" i="3"/>
  <c r="CM71" i="3"/>
  <c r="CJ71" i="3"/>
  <c r="CF71" i="3"/>
  <c r="CE71" i="3"/>
  <c r="CD71" i="3"/>
  <c r="CC71" i="3"/>
  <c r="CB71" i="3"/>
  <c r="CG71" i="3" s="1"/>
  <c r="CA71" i="3"/>
  <c r="BT71" i="3"/>
  <c r="BQ71" i="3"/>
  <c r="BP71" i="3"/>
  <c r="BO71" i="3"/>
  <c r="BN71" i="3"/>
  <c r="BM71" i="3"/>
  <c r="BS71" i="3" s="1"/>
  <c r="BL71" i="3"/>
  <c r="AY71" i="3"/>
  <c r="AX71" i="3"/>
  <c r="AW71" i="3"/>
  <c r="DT70" i="3"/>
  <c r="DS70" i="3"/>
  <c r="DR70" i="3"/>
  <c r="DQ70" i="3"/>
  <c r="DK70" i="3"/>
  <c r="DI70" i="3"/>
  <c r="DH70" i="3"/>
  <c r="CV70" i="3"/>
  <c r="CU70" i="3"/>
  <c r="CT70" i="3"/>
  <c r="CS70" i="3"/>
  <c r="CP70" i="3"/>
  <c r="CM70" i="3"/>
  <c r="CJ70" i="3"/>
  <c r="CG70" i="3"/>
  <c r="CH70" i="3" s="1"/>
  <c r="CF70" i="3"/>
  <c r="CE70" i="3"/>
  <c r="CD70" i="3"/>
  <c r="CC70" i="3"/>
  <c r="CB70" i="3"/>
  <c r="CA70" i="3"/>
  <c r="BT70" i="3"/>
  <c r="BS70" i="3"/>
  <c r="BR70" i="3"/>
  <c r="BQ70" i="3"/>
  <c r="BP70" i="3"/>
  <c r="BO70" i="3"/>
  <c r="BN70" i="3"/>
  <c r="BM70" i="3"/>
  <c r="BL70" i="3"/>
  <c r="AY70" i="3"/>
  <c r="AX70" i="3"/>
  <c r="AW70" i="3"/>
  <c r="DT69" i="3"/>
  <c r="DR69" i="3"/>
  <c r="DQ69" i="3"/>
  <c r="DK69" i="3"/>
  <c r="DI69" i="3"/>
  <c r="DH69" i="3"/>
  <c r="CU69" i="3"/>
  <c r="CV69" i="3" s="1"/>
  <c r="CS69" i="3"/>
  <c r="CT69" i="3" s="1"/>
  <c r="CP69" i="3"/>
  <c r="CJ69" i="3"/>
  <c r="CM69" i="3" s="1"/>
  <c r="CF69" i="3"/>
  <c r="CE69" i="3"/>
  <c r="CD69" i="3"/>
  <c r="CC69" i="3"/>
  <c r="CA69" i="3"/>
  <c r="CB69" i="3" s="1"/>
  <c r="CG69" i="3" s="1"/>
  <c r="BT69" i="3"/>
  <c r="BS69" i="3"/>
  <c r="BR69" i="3"/>
  <c r="BP69" i="3"/>
  <c r="BO69" i="3"/>
  <c r="BN69" i="3"/>
  <c r="BM69" i="3"/>
  <c r="BQ69" i="3" s="1"/>
  <c r="BL69" i="3"/>
  <c r="AY69" i="3"/>
  <c r="AX69" i="3"/>
  <c r="AW69" i="3"/>
  <c r="DT68" i="3"/>
  <c r="DR68" i="3"/>
  <c r="DQ68" i="3"/>
  <c r="DK68" i="3"/>
  <c r="DI68" i="3"/>
  <c r="DH68" i="3"/>
  <c r="CU68" i="3"/>
  <c r="CV68" i="3" s="1"/>
  <c r="CS68" i="3"/>
  <c r="CT68" i="3" s="1"/>
  <c r="CP68" i="3"/>
  <c r="CJ68" i="3"/>
  <c r="CM68" i="3" s="1"/>
  <c r="CF68" i="3"/>
  <c r="CE68" i="3"/>
  <c r="CD68" i="3"/>
  <c r="CC68" i="3"/>
  <c r="CA68" i="3"/>
  <c r="CB68" i="3" s="1"/>
  <c r="CG68" i="3" s="1"/>
  <c r="DS68" i="3" s="1"/>
  <c r="BT68" i="3"/>
  <c r="BP68" i="3"/>
  <c r="BO68" i="3"/>
  <c r="BN68" i="3"/>
  <c r="BM68" i="3"/>
  <c r="BL68" i="3"/>
  <c r="AY68" i="3"/>
  <c r="AX68" i="3"/>
  <c r="AW68" i="3"/>
  <c r="DT67" i="3"/>
  <c r="DR67" i="3"/>
  <c r="DQ67" i="3"/>
  <c r="DK67" i="3"/>
  <c r="DI67" i="3"/>
  <c r="DH67" i="3"/>
  <c r="CU67" i="3"/>
  <c r="CV67" i="3" s="1"/>
  <c r="CT67" i="3"/>
  <c r="CS67" i="3"/>
  <c r="CP67" i="3"/>
  <c r="CM67" i="3"/>
  <c r="CJ67" i="3"/>
  <c r="CF67" i="3"/>
  <c r="CE67" i="3"/>
  <c r="CD67" i="3"/>
  <c r="CC67" i="3"/>
  <c r="CB67" i="3"/>
  <c r="CG67" i="3" s="1"/>
  <c r="CA67" i="3"/>
  <c r="BT67" i="3"/>
  <c r="BQ67" i="3"/>
  <c r="BP67" i="3"/>
  <c r="BO67" i="3"/>
  <c r="BN67" i="3"/>
  <c r="BM67" i="3"/>
  <c r="BS67" i="3" s="1"/>
  <c r="BL67" i="3"/>
  <c r="AY67" i="3"/>
  <c r="AX67" i="3"/>
  <c r="AW67" i="3"/>
  <c r="DT66" i="3"/>
  <c r="DR66" i="3"/>
  <c r="DS66" i="3" s="1"/>
  <c r="DQ66" i="3"/>
  <c r="DK66" i="3"/>
  <c r="DI66" i="3"/>
  <c r="DH66" i="3"/>
  <c r="CV66" i="3"/>
  <c r="CU66" i="3"/>
  <c r="CS66" i="3"/>
  <c r="CT66" i="3" s="1"/>
  <c r="CP66" i="3"/>
  <c r="CM66" i="3"/>
  <c r="CJ66" i="3"/>
  <c r="CG66" i="3"/>
  <c r="CH66" i="3" s="1"/>
  <c r="CF66" i="3"/>
  <c r="CE66" i="3"/>
  <c r="CD66" i="3"/>
  <c r="CC66" i="3"/>
  <c r="CB66" i="3"/>
  <c r="CA66" i="3"/>
  <c r="BT66" i="3"/>
  <c r="BS66" i="3"/>
  <c r="BR66" i="3"/>
  <c r="BQ66" i="3"/>
  <c r="BP66" i="3"/>
  <c r="BO66" i="3"/>
  <c r="BN66" i="3"/>
  <c r="BM66" i="3"/>
  <c r="BL66" i="3"/>
  <c r="AY66" i="3"/>
  <c r="AX66" i="3"/>
  <c r="AW66" i="3"/>
  <c r="DT65" i="3"/>
  <c r="DR65" i="3"/>
  <c r="DQ65" i="3"/>
  <c r="DK65" i="3"/>
  <c r="DI65" i="3"/>
  <c r="DH65" i="3"/>
  <c r="CV65" i="3"/>
  <c r="CU65" i="3"/>
  <c r="CS65" i="3"/>
  <c r="CT65" i="3" s="1"/>
  <c r="CP65" i="3"/>
  <c r="CJ65" i="3"/>
  <c r="CM65" i="3" s="1"/>
  <c r="CG65" i="3"/>
  <c r="CF65" i="3"/>
  <c r="CE65" i="3"/>
  <c r="CD65" i="3"/>
  <c r="CC65" i="3"/>
  <c r="CA65" i="3"/>
  <c r="CB65" i="3" s="1"/>
  <c r="BT65" i="3"/>
  <c r="BS65" i="3"/>
  <c r="BR65" i="3"/>
  <c r="BP65" i="3"/>
  <c r="BO65" i="3"/>
  <c r="BN65" i="3"/>
  <c r="BM65" i="3"/>
  <c r="BQ65" i="3" s="1"/>
  <c r="BL65" i="3"/>
  <c r="AY65" i="3"/>
  <c r="AX65" i="3"/>
  <c r="AW65" i="3"/>
  <c r="DT64" i="3"/>
  <c r="DR64" i="3"/>
  <c r="DQ64" i="3"/>
  <c r="DK64" i="3"/>
  <c r="DI64" i="3"/>
  <c r="DH64" i="3"/>
  <c r="CU64" i="3"/>
  <c r="CV64" i="3" s="1"/>
  <c r="CS64" i="3"/>
  <c r="CT64" i="3" s="1"/>
  <c r="CP64" i="3"/>
  <c r="CJ64" i="3"/>
  <c r="CM64" i="3" s="1"/>
  <c r="CF64" i="3"/>
  <c r="CE64" i="3"/>
  <c r="CD64" i="3"/>
  <c r="CC64" i="3"/>
  <c r="CA64" i="3"/>
  <c r="CB64" i="3" s="1"/>
  <c r="CG64" i="3" s="1"/>
  <c r="DS64" i="3" s="1"/>
  <c r="BT64" i="3"/>
  <c r="BP64" i="3"/>
  <c r="BO64" i="3"/>
  <c r="BN64" i="3"/>
  <c r="BM64" i="3"/>
  <c r="BL64" i="3"/>
  <c r="AY64" i="3"/>
  <c r="AX64" i="3"/>
  <c r="AW64" i="3"/>
  <c r="DT63" i="3"/>
  <c r="DR63" i="3"/>
  <c r="DQ63" i="3"/>
  <c r="DK63" i="3"/>
  <c r="DI63" i="3"/>
  <c r="DH63" i="3"/>
  <c r="CU63" i="3"/>
  <c r="CV63" i="3" s="1"/>
  <c r="CT63" i="3"/>
  <c r="CS63" i="3"/>
  <c r="CP63" i="3"/>
  <c r="CM63" i="3"/>
  <c r="CJ63" i="3"/>
  <c r="CF63" i="3"/>
  <c r="CE63" i="3"/>
  <c r="CD63" i="3"/>
  <c r="CC63" i="3"/>
  <c r="CB63" i="3"/>
  <c r="CG63" i="3" s="1"/>
  <c r="CA63" i="3"/>
  <c r="BT63" i="3"/>
  <c r="BR63" i="3"/>
  <c r="BQ63" i="3"/>
  <c r="BP63" i="3"/>
  <c r="BO63" i="3"/>
  <c r="BN63" i="3"/>
  <c r="BM63" i="3"/>
  <c r="BS63" i="3" s="1"/>
  <c r="BL63" i="3"/>
  <c r="AY63" i="3"/>
  <c r="AX63" i="3"/>
  <c r="AW63" i="3"/>
  <c r="DT62" i="3"/>
  <c r="DS62" i="3"/>
  <c r="DR62" i="3"/>
  <c r="DQ62" i="3"/>
  <c r="DK62" i="3"/>
  <c r="DI62" i="3"/>
  <c r="DH62" i="3"/>
  <c r="CV62" i="3"/>
  <c r="CU62" i="3"/>
  <c r="CT62" i="3"/>
  <c r="CS62" i="3"/>
  <c r="CP62" i="3"/>
  <c r="CM62" i="3"/>
  <c r="CJ62" i="3"/>
  <c r="CG62" i="3"/>
  <c r="CH62" i="3" s="1"/>
  <c r="CF62" i="3"/>
  <c r="CE62" i="3"/>
  <c r="CD62" i="3"/>
  <c r="CC62" i="3"/>
  <c r="CB62" i="3"/>
  <c r="CA62" i="3"/>
  <c r="BT62" i="3"/>
  <c r="BS62" i="3"/>
  <c r="BR62" i="3"/>
  <c r="BQ62" i="3"/>
  <c r="BP62" i="3"/>
  <c r="BO62" i="3"/>
  <c r="BN62" i="3"/>
  <c r="BM62" i="3"/>
  <c r="BL62" i="3"/>
  <c r="AY62" i="3"/>
  <c r="AX62" i="3"/>
  <c r="AW62" i="3"/>
  <c r="DT61" i="3"/>
  <c r="DR61" i="3"/>
  <c r="DQ61" i="3"/>
  <c r="DK61" i="3"/>
  <c r="DI61" i="3"/>
  <c r="DH61" i="3"/>
  <c r="CU61" i="3"/>
  <c r="CV61" i="3" s="1"/>
  <c r="CS61" i="3"/>
  <c r="CT61" i="3" s="1"/>
  <c r="CP61" i="3"/>
  <c r="CJ61" i="3"/>
  <c r="CM61" i="3" s="1"/>
  <c r="CF61" i="3"/>
  <c r="CE61" i="3"/>
  <c r="CD61" i="3"/>
  <c r="CC61" i="3"/>
  <c r="CA61" i="3"/>
  <c r="CB61" i="3" s="1"/>
  <c r="CG61" i="3" s="1"/>
  <c r="BT61" i="3"/>
  <c r="BS61" i="3"/>
  <c r="BR61" i="3"/>
  <c r="BP61" i="3"/>
  <c r="BO61" i="3"/>
  <c r="BN61" i="3"/>
  <c r="BM61" i="3"/>
  <c r="BQ61" i="3" s="1"/>
  <c r="BL61" i="3"/>
  <c r="AY61" i="3"/>
  <c r="AX61" i="3"/>
  <c r="AW61" i="3"/>
  <c r="DT60" i="3"/>
  <c r="DR60" i="3"/>
  <c r="DQ60" i="3"/>
  <c r="DK60" i="3"/>
  <c r="DI60" i="3"/>
  <c r="DH60" i="3"/>
  <c r="CU60" i="3"/>
  <c r="CV60" i="3" s="1"/>
  <c r="CS60" i="3"/>
  <c r="CT60" i="3" s="1"/>
  <c r="CP60" i="3"/>
  <c r="CJ60" i="3"/>
  <c r="CM60" i="3" s="1"/>
  <c r="CF60" i="3"/>
  <c r="CE60" i="3"/>
  <c r="CD60" i="3"/>
  <c r="CC60" i="3"/>
  <c r="CA60" i="3"/>
  <c r="CB60" i="3" s="1"/>
  <c r="CG60" i="3" s="1"/>
  <c r="DS60" i="3" s="1"/>
  <c r="BT60" i="3"/>
  <c r="BP60" i="3"/>
  <c r="BO60" i="3"/>
  <c r="BN60" i="3"/>
  <c r="BM60" i="3"/>
  <c r="BL60" i="3"/>
  <c r="AY60" i="3"/>
  <c r="AX60" i="3"/>
  <c r="AW60" i="3"/>
  <c r="DT59" i="3"/>
  <c r="DR59" i="3"/>
  <c r="DQ59" i="3"/>
  <c r="DK59" i="3"/>
  <c r="DI59" i="3"/>
  <c r="DH59" i="3"/>
  <c r="CU59" i="3"/>
  <c r="CV59" i="3" s="1"/>
  <c r="CT59" i="3"/>
  <c r="CS59" i="3"/>
  <c r="CP59" i="3"/>
  <c r="CM59" i="3"/>
  <c r="CJ59" i="3"/>
  <c r="CF59" i="3"/>
  <c r="CE59" i="3"/>
  <c r="CD59" i="3"/>
  <c r="CC59" i="3"/>
  <c r="CB59" i="3"/>
  <c r="CG59" i="3" s="1"/>
  <c r="CA59" i="3"/>
  <c r="BT59" i="3"/>
  <c r="BR59" i="3"/>
  <c r="BQ59" i="3"/>
  <c r="BP59" i="3"/>
  <c r="BO59" i="3"/>
  <c r="BN59" i="3"/>
  <c r="BM59" i="3"/>
  <c r="BS59" i="3" s="1"/>
  <c r="BL59" i="3"/>
  <c r="AY59" i="3"/>
  <c r="AX59" i="3"/>
  <c r="AW59" i="3"/>
  <c r="DT58" i="3"/>
  <c r="DS58" i="3"/>
  <c r="DR58" i="3"/>
  <c r="DQ58" i="3"/>
  <c r="DK58" i="3"/>
  <c r="DI58" i="3"/>
  <c r="DH58" i="3"/>
  <c r="CV58" i="3"/>
  <c r="CU58" i="3"/>
  <c r="CT58" i="3"/>
  <c r="CS58" i="3"/>
  <c r="CP58" i="3"/>
  <c r="CM58" i="3"/>
  <c r="CJ58" i="3"/>
  <c r="CG58" i="3"/>
  <c r="CH58" i="3" s="1"/>
  <c r="CF58" i="3"/>
  <c r="CE58" i="3"/>
  <c r="CD58" i="3"/>
  <c r="CC58" i="3"/>
  <c r="CB58" i="3"/>
  <c r="CA58" i="3"/>
  <c r="BT58" i="3"/>
  <c r="BS58" i="3"/>
  <c r="BR58" i="3"/>
  <c r="BQ58" i="3"/>
  <c r="BP58" i="3"/>
  <c r="BO58" i="3"/>
  <c r="BN58" i="3"/>
  <c r="BM58" i="3"/>
  <c r="BL58" i="3"/>
  <c r="AY58" i="3"/>
  <c r="AX58" i="3"/>
  <c r="AW58" i="3"/>
  <c r="DT57" i="3"/>
  <c r="DR57" i="3"/>
  <c r="DQ57" i="3"/>
  <c r="DK57" i="3"/>
  <c r="DI57" i="3"/>
  <c r="DH57" i="3"/>
  <c r="CU57" i="3"/>
  <c r="CV57" i="3" s="1"/>
  <c r="CS57" i="3"/>
  <c r="CT57" i="3" s="1"/>
  <c r="CP57" i="3"/>
  <c r="CJ57" i="3"/>
  <c r="CM57" i="3" s="1"/>
  <c r="CF57" i="3"/>
  <c r="CE57" i="3"/>
  <c r="CD57" i="3"/>
  <c r="CC57" i="3"/>
  <c r="CA57" i="3"/>
  <c r="CB57" i="3" s="1"/>
  <c r="CG57" i="3" s="1"/>
  <c r="BT57" i="3"/>
  <c r="BS57" i="3"/>
  <c r="BR57" i="3"/>
  <c r="BP57" i="3"/>
  <c r="BO57" i="3"/>
  <c r="BN57" i="3"/>
  <c r="BM57" i="3"/>
  <c r="BQ57" i="3" s="1"/>
  <c r="BL57" i="3"/>
  <c r="AY57" i="3"/>
  <c r="AX57" i="3"/>
  <c r="AW57" i="3"/>
  <c r="DT56" i="3"/>
  <c r="DR56" i="3"/>
  <c r="DQ56" i="3"/>
  <c r="DK56" i="3"/>
  <c r="DI56" i="3"/>
  <c r="DH56" i="3"/>
  <c r="CU56" i="3"/>
  <c r="CV56" i="3" s="1"/>
  <c r="CS56" i="3"/>
  <c r="CT56" i="3" s="1"/>
  <c r="CP56" i="3"/>
  <c r="CJ56" i="3"/>
  <c r="CM56" i="3" s="1"/>
  <c r="CF56" i="3"/>
  <c r="CE56" i="3"/>
  <c r="CD56" i="3"/>
  <c r="CC56" i="3"/>
  <c r="CA56" i="3"/>
  <c r="CB56" i="3" s="1"/>
  <c r="CG56" i="3" s="1"/>
  <c r="DS56" i="3" s="1"/>
  <c r="BT56" i="3"/>
  <c r="BP56" i="3"/>
  <c r="BO56" i="3"/>
  <c r="BN56" i="3"/>
  <c r="BM56" i="3"/>
  <c r="BL56" i="3"/>
  <c r="AY56" i="3"/>
  <c r="AX56" i="3"/>
  <c r="AW56" i="3"/>
  <c r="DT55" i="3"/>
  <c r="DR55" i="3"/>
  <c r="DQ55" i="3"/>
  <c r="DK55" i="3"/>
  <c r="DI55" i="3"/>
  <c r="DH55" i="3"/>
  <c r="CU55" i="3"/>
  <c r="CV55" i="3" s="1"/>
  <c r="CT55" i="3"/>
  <c r="CS55" i="3"/>
  <c r="CP55" i="3"/>
  <c r="CM55" i="3"/>
  <c r="CJ55" i="3"/>
  <c r="CF55" i="3"/>
  <c r="CE55" i="3"/>
  <c r="CD55" i="3"/>
  <c r="CC55" i="3"/>
  <c r="CB55" i="3"/>
  <c r="CG55" i="3" s="1"/>
  <c r="CA55" i="3"/>
  <c r="BT55" i="3"/>
  <c r="BR55" i="3"/>
  <c r="BQ55" i="3"/>
  <c r="BP55" i="3"/>
  <c r="BO55" i="3"/>
  <c r="BN55" i="3"/>
  <c r="BM55" i="3"/>
  <c r="BS55" i="3" s="1"/>
  <c r="BL55" i="3"/>
  <c r="AY55" i="3"/>
  <c r="AX55" i="3"/>
  <c r="AW55" i="3"/>
  <c r="DT54" i="3"/>
  <c r="DR54" i="3"/>
  <c r="DS54" i="3" s="1"/>
  <c r="DQ54" i="3"/>
  <c r="DK54" i="3"/>
  <c r="DI54" i="3"/>
  <c r="DH54" i="3"/>
  <c r="CV54" i="3"/>
  <c r="CU54" i="3"/>
  <c r="CS54" i="3"/>
  <c r="CT54" i="3" s="1"/>
  <c r="CP54" i="3"/>
  <c r="CM54" i="3"/>
  <c r="CJ54" i="3"/>
  <c r="CG54" i="3"/>
  <c r="CH54" i="3" s="1"/>
  <c r="CF54" i="3"/>
  <c r="CE54" i="3"/>
  <c r="CD54" i="3"/>
  <c r="CC54" i="3"/>
  <c r="CB54" i="3"/>
  <c r="CA54" i="3"/>
  <c r="BT54" i="3"/>
  <c r="BS54" i="3"/>
  <c r="BR54" i="3"/>
  <c r="BQ54" i="3"/>
  <c r="BP54" i="3"/>
  <c r="BO54" i="3"/>
  <c r="BN54" i="3"/>
  <c r="BM54" i="3"/>
  <c r="BL54" i="3"/>
  <c r="AY54" i="3"/>
  <c r="AX54" i="3"/>
  <c r="AW54" i="3"/>
  <c r="DT53" i="3"/>
  <c r="DR53" i="3"/>
  <c r="DQ53" i="3"/>
  <c r="DK53" i="3"/>
  <c r="DI53" i="3"/>
  <c r="DH53" i="3"/>
  <c r="CU53" i="3"/>
  <c r="CV53" i="3" s="1"/>
  <c r="CS53" i="3"/>
  <c r="CT53" i="3" s="1"/>
  <c r="CP53" i="3"/>
  <c r="CJ53" i="3"/>
  <c r="CM53" i="3" s="1"/>
  <c r="CF53" i="3"/>
  <c r="CE53" i="3"/>
  <c r="CD53" i="3"/>
  <c r="CC53" i="3"/>
  <c r="CA53" i="3"/>
  <c r="CB53" i="3" s="1"/>
  <c r="CG53" i="3" s="1"/>
  <c r="BT53" i="3"/>
  <c r="BS53" i="3"/>
  <c r="BR53" i="3"/>
  <c r="BP53" i="3"/>
  <c r="BO53" i="3"/>
  <c r="BN53" i="3"/>
  <c r="BM53" i="3"/>
  <c r="BQ53" i="3" s="1"/>
  <c r="BL53" i="3"/>
  <c r="AY53" i="3"/>
  <c r="AX53" i="3"/>
  <c r="AW53" i="3"/>
  <c r="DT52" i="3"/>
  <c r="DR52" i="3"/>
  <c r="DQ52" i="3"/>
  <c r="DK52" i="3"/>
  <c r="DI52" i="3"/>
  <c r="DH52" i="3"/>
  <c r="CU52" i="3"/>
  <c r="CV52" i="3" s="1"/>
  <c r="CS52" i="3"/>
  <c r="CT52" i="3" s="1"/>
  <c r="CP52" i="3"/>
  <c r="CJ52" i="3"/>
  <c r="CM52" i="3" s="1"/>
  <c r="CH52" i="3"/>
  <c r="CF52" i="3"/>
  <c r="CE52" i="3"/>
  <c r="CD52" i="3"/>
  <c r="CC52" i="3"/>
  <c r="CA52" i="3"/>
  <c r="CB52" i="3" s="1"/>
  <c r="CG52" i="3" s="1"/>
  <c r="DS52" i="3" s="1"/>
  <c r="BT52" i="3"/>
  <c r="BP52" i="3"/>
  <c r="BO52" i="3"/>
  <c r="BN52" i="3"/>
  <c r="BM52" i="3"/>
  <c r="BL52" i="3"/>
  <c r="AY52" i="3"/>
  <c r="AX52" i="3"/>
  <c r="AW52" i="3"/>
  <c r="DT51" i="3"/>
  <c r="DR51" i="3"/>
  <c r="DQ51" i="3"/>
  <c r="DK51" i="3"/>
  <c r="DI51" i="3"/>
  <c r="DH51" i="3"/>
  <c r="CU51" i="3"/>
  <c r="CV51" i="3" s="1"/>
  <c r="CT51" i="3"/>
  <c r="CS51" i="3"/>
  <c r="CP51" i="3"/>
  <c r="CM51" i="3"/>
  <c r="CJ51" i="3"/>
  <c r="CF51" i="3"/>
  <c r="CE51" i="3"/>
  <c r="CD51" i="3"/>
  <c r="CC51" i="3"/>
  <c r="CB51" i="3"/>
  <c r="CG51" i="3" s="1"/>
  <c r="CA51" i="3"/>
  <c r="BT51" i="3"/>
  <c r="BR51" i="3"/>
  <c r="BQ51" i="3"/>
  <c r="BP51" i="3"/>
  <c r="BO51" i="3"/>
  <c r="BN51" i="3"/>
  <c r="BM51" i="3"/>
  <c r="BS51" i="3" s="1"/>
  <c r="BL51" i="3"/>
  <c r="AY51" i="3"/>
  <c r="AX51" i="3"/>
  <c r="AW51" i="3"/>
  <c r="DT50" i="3"/>
  <c r="DR50" i="3"/>
  <c r="DS50" i="3" s="1"/>
  <c r="DQ50" i="3"/>
  <c r="DK50" i="3"/>
  <c r="DI50" i="3"/>
  <c r="DH50" i="3"/>
  <c r="CV50" i="3"/>
  <c r="CU50" i="3"/>
  <c r="CS50" i="3"/>
  <c r="CT50" i="3" s="1"/>
  <c r="CP50" i="3"/>
  <c r="CM50" i="3"/>
  <c r="CJ50" i="3"/>
  <c r="CG50" i="3"/>
  <c r="CH50" i="3" s="1"/>
  <c r="CF50" i="3"/>
  <c r="CE50" i="3"/>
  <c r="CD50" i="3"/>
  <c r="CC50" i="3"/>
  <c r="CB50" i="3"/>
  <c r="CA50" i="3"/>
  <c r="BT50" i="3"/>
  <c r="BS50" i="3"/>
  <c r="BR50" i="3"/>
  <c r="BQ50" i="3"/>
  <c r="BP50" i="3"/>
  <c r="BO50" i="3"/>
  <c r="BN50" i="3"/>
  <c r="BM50" i="3"/>
  <c r="BL50" i="3"/>
  <c r="AY50" i="3"/>
  <c r="AX50" i="3"/>
  <c r="AW50" i="3"/>
  <c r="DT49" i="3"/>
  <c r="DR49" i="3"/>
  <c r="DQ49" i="3"/>
  <c r="DK49" i="3"/>
  <c r="DI49" i="3"/>
  <c r="DH49" i="3"/>
  <c r="CV49" i="3"/>
  <c r="CU49" i="3"/>
  <c r="CS49" i="3"/>
  <c r="CT49" i="3" s="1"/>
  <c r="CP49" i="3"/>
  <c r="CJ49" i="3"/>
  <c r="CM49" i="3" s="1"/>
  <c r="CG49" i="3"/>
  <c r="CF49" i="3"/>
  <c r="CE49" i="3"/>
  <c r="CD49" i="3"/>
  <c r="CC49" i="3"/>
  <c r="CA49" i="3"/>
  <c r="CB49" i="3" s="1"/>
  <c r="BT49" i="3"/>
  <c r="BS49" i="3"/>
  <c r="BR49" i="3"/>
  <c r="BP49" i="3"/>
  <c r="BO49" i="3"/>
  <c r="BN49" i="3"/>
  <c r="BM49" i="3"/>
  <c r="BQ49" i="3" s="1"/>
  <c r="BL49" i="3"/>
  <c r="AY49" i="3"/>
  <c r="AX49" i="3"/>
  <c r="AW49" i="3"/>
  <c r="DT48" i="3"/>
  <c r="DR48" i="3"/>
  <c r="DQ48" i="3"/>
  <c r="DK48" i="3"/>
  <c r="DI48" i="3"/>
  <c r="DH48" i="3"/>
  <c r="CU48" i="3"/>
  <c r="CV48" i="3" s="1"/>
  <c r="CS48" i="3"/>
  <c r="CT48" i="3" s="1"/>
  <c r="CP48" i="3"/>
  <c r="CJ48" i="3"/>
  <c r="CM48" i="3" s="1"/>
  <c r="CH48" i="3"/>
  <c r="CF48" i="3"/>
  <c r="CE48" i="3"/>
  <c r="CD48" i="3"/>
  <c r="CC48" i="3"/>
  <c r="CA48" i="3"/>
  <c r="CB48" i="3" s="1"/>
  <c r="CG48" i="3" s="1"/>
  <c r="DS48" i="3" s="1"/>
  <c r="BT48" i="3"/>
  <c r="BP48" i="3"/>
  <c r="BO48" i="3"/>
  <c r="BN48" i="3"/>
  <c r="BM48" i="3"/>
  <c r="BL48" i="3"/>
  <c r="AY48" i="3"/>
  <c r="AX48" i="3"/>
  <c r="AW48" i="3"/>
  <c r="DT47" i="3"/>
  <c r="DR47" i="3"/>
  <c r="DQ47" i="3"/>
  <c r="DK47" i="3"/>
  <c r="DI47" i="3"/>
  <c r="DH47" i="3"/>
  <c r="CU47" i="3"/>
  <c r="CV47" i="3" s="1"/>
  <c r="CT47" i="3"/>
  <c r="CS47" i="3"/>
  <c r="CP47" i="3"/>
  <c r="CM47" i="3"/>
  <c r="CJ47" i="3"/>
  <c r="CF47" i="3"/>
  <c r="CE47" i="3"/>
  <c r="CD47" i="3"/>
  <c r="CC47" i="3"/>
  <c r="CB47" i="3"/>
  <c r="CG47" i="3" s="1"/>
  <c r="CA47" i="3"/>
  <c r="BT47" i="3"/>
  <c r="BQ47" i="3"/>
  <c r="BP47" i="3"/>
  <c r="BO47" i="3"/>
  <c r="BN47" i="3"/>
  <c r="BM47" i="3"/>
  <c r="BS47" i="3" s="1"/>
  <c r="BL47" i="3"/>
  <c r="AY47" i="3"/>
  <c r="AX47" i="3"/>
  <c r="AW47" i="3"/>
  <c r="DT46" i="3"/>
  <c r="DS46" i="3"/>
  <c r="DR46" i="3"/>
  <c r="DQ46" i="3"/>
  <c r="DK46" i="3"/>
  <c r="DI46" i="3"/>
  <c r="DH46" i="3"/>
  <c r="CV46" i="3"/>
  <c r="CU46" i="3"/>
  <c r="CT46" i="3"/>
  <c r="CS46" i="3"/>
  <c r="CP46" i="3"/>
  <c r="CM46" i="3"/>
  <c r="CJ46" i="3"/>
  <c r="CG46" i="3"/>
  <c r="CH46" i="3" s="1"/>
  <c r="CF46" i="3"/>
  <c r="CE46" i="3"/>
  <c r="CD46" i="3"/>
  <c r="CC46" i="3"/>
  <c r="CB46" i="3"/>
  <c r="CA46" i="3"/>
  <c r="BT46" i="3"/>
  <c r="BS46" i="3"/>
  <c r="BR46" i="3"/>
  <c r="BQ46" i="3"/>
  <c r="BP46" i="3"/>
  <c r="BO46" i="3"/>
  <c r="BN46" i="3"/>
  <c r="BM46" i="3"/>
  <c r="BL46" i="3"/>
  <c r="AY46" i="3"/>
  <c r="AX46" i="3"/>
  <c r="AW46" i="3"/>
  <c r="DT45" i="3"/>
  <c r="DR45" i="3"/>
  <c r="DQ45" i="3"/>
  <c r="DK45" i="3"/>
  <c r="DI45" i="3"/>
  <c r="DH45" i="3"/>
  <c r="CU45" i="3"/>
  <c r="CV45" i="3" s="1"/>
  <c r="CS45" i="3"/>
  <c r="CT45" i="3" s="1"/>
  <c r="CP45" i="3"/>
  <c r="CJ45" i="3"/>
  <c r="CM45" i="3" s="1"/>
  <c r="CF45" i="3"/>
  <c r="CE45" i="3"/>
  <c r="CD45" i="3"/>
  <c r="CC45" i="3"/>
  <c r="CA45" i="3"/>
  <c r="CB45" i="3" s="1"/>
  <c r="CG45" i="3" s="1"/>
  <c r="BT45" i="3"/>
  <c r="BS45" i="3"/>
  <c r="BR45" i="3"/>
  <c r="BP45" i="3"/>
  <c r="BO45" i="3"/>
  <c r="BN45" i="3"/>
  <c r="BM45" i="3"/>
  <c r="BQ45" i="3" s="1"/>
  <c r="BL45" i="3"/>
  <c r="AY45" i="3"/>
  <c r="AX45" i="3"/>
  <c r="AW45" i="3"/>
  <c r="DT44" i="3"/>
  <c r="DR44" i="3"/>
  <c r="DQ44" i="3"/>
  <c r="DK44" i="3"/>
  <c r="DI44" i="3"/>
  <c r="DH44" i="3"/>
  <c r="CU44" i="3"/>
  <c r="CV44" i="3" s="1"/>
  <c r="CS44" i="3"/>
  <c r="CT44" i="3" s="1"/>
  <c r="CP44" i="3"/>
  <c r="CJ44" i="3"/>
  <c r="CM44" i="3" s="1"/>
  <c r="CF44" i="3"/>
  <c r="CE44" i="3"/>
  <c r="CD44" i="3"/>
  <c r="CC44" i="3"/>
  <c r="CA44" i="3"/>
  <c r="CB44" i="3" s="1"/>
  <c r="CG44" i="3" s="1"/>
  <c r="DS44" i="3" s="1"/>
  <c r="BT44" i="3"/>
  <c r="BP44" i="3"/>
  <c r="BO44" i="3"/>
  <c r="BN44" i="3"/>
  <c r="BM44" i="3"/>
  <c r="BL44" i="3"/>
  <c r="AY44" i="3"/>
  <c r="AX44" i="3"/>
  <c r="AW44" i="3"/>
  <c r="DT43" i="3"/>
  <c r="DR43" i="3"/>
  <c r="DQ43" i="3"/>
  <c r="DK43" i="3"/>
  <c r="DI43" i="3"/>
  <c r="DH43" i="3"/>
  <c r="CU43" i="3"/>
  <c r="CV43" i="3" s="1"/>
  <c r="CT43" i="3"/>
  <c r="CS43" i="3"/>
  <c r="CP43" i="3"/>
  <c r="CM43" i="3"/>
  <c r="CJ43" i="3"/>
  <c r="CF43" i="3"/>
  <c r="CE43" i="3"/>
  <c r="CD43" i="3"/>
  <c r="CC43" i="3"/>
  <c r="CB43" i="3"/>
  <c r="CG43" i="3" s="1"/>
  <c r="CA43" i="3"/>
  <c r="BT43" i="3"/>
  <c r="BQ43" i="3"/>
  <c r="BP43" i="3"/>
  <c r="BO43" i="3"/>
  <c r="BN43" i="3"/>
  <c r="BM43" i="3"/>
  <c r="BS43" i="3" s="1"/>
  <c r="BL43" i="3"/>
  <c r="AY43" i="3"/>
  <c r="AX43" i="3"/>
  <c r="AW43" i="3"/>
  <c r="DT42" i="3"/>
  <c r="DR42" i="3"/>
  <c r="DS42" i="3" s="1"/>
  <c r="DQ42" i="3"/>
  <c r="DK42" i="3"/>
  <c r="DI42" i="3"/>
  <c r="DH42" i="3"/>
  <c r="CV42" i="3"/>
  <c r="CU42" i="3"/>
  <c r="CS42" i="3"/>
  <c r="CT42" i="3" s="1"/>
  <c r="CP42" i="3"/>
  <c r="CM42" i="3"/>
  <c r="CJ42" i="3"/>
  <c r="CG42" i="3"/>
  <c r="CH42" i="3" s="1"/>
  <c r="CF42" i="3"/>
  <c r="CE42" i="3"/>
  <c r="CD42" i="3"/>
  <c r="CC42" i="3"/>
  <c r="CB42" i="3"/>
  <c r="CA42" i="3"/>
  <c r="BT42" i="3"/>
  <c r="BS42" i="3"/>
  <c r="BR42" i="3"/>
  <c r="BQ42" i="3"/>
  <c r="BP42" i="3"/>
  <c r="BO42" i="3"/>
  <c r="BN42" i="3"/>
  <c r="BM42" i="3"/>
  <c r="BL42" i="3"/>
  <c r="AY42" i="3"/>
  <c r="AX42" i="3"/>
  <c r="AW42" i="3"/>
  <c r="DT41" i="3"/>
  <c r="DR41" i="3"/>
  <c r="DQ41" i="3"/>
  <c r="DK41" i="3"/>
  <c r="DI41" i="3"/>
  <c r="DH41" i="3"/>
  <c r="CV41" i="3"/>
  <c r="CU41" i="3"/>
  <c r="CS41" i="3"/>
  <c r="CT41" i="3" s="1"/>
  <c r="CP41" i="3"/>
  <c r="CJ41" i="3"/>
  <c r="CM41" i="3" s="1"/>
  <c r="CG41" i="3"/>
  <c r="CF41" i="3"/>
  <c r="CE41" i="3"/>
  <c r="CD41" i="3"/>
  <c r="CC41" i="3"/>
  <c r="CA41" i="3"/>
  <c r="CB41" i="3" s="1"/>
  <c r="BT41" i="3"/>
  <c r="BS41" i="3"/>
  <c r="BR41" i="3"/>
  <c r="BP41" i="3"/>
  <c r="BO41" i="3"/>
  <c r="BN41" i="3"/>
  <c r="BM41" i="3"/>
  <c r="BQ41" i="3" s="1"/>
  <c r="BL41" i="3"/>
  <c r="AY41" i="3"/>
  <c r="AX41" i="3"/>
  <c r="AW41" i="3"/>
  <c r="DT40" i="3"/>
  <c r="DR40" i="3"/>
  <c r="DQ40" i="3"/>
  <c r="DK40" i="3"/>
  <c r="DI40" i="3"/>
  <c r="DH40" i="3"/>
  <c r="CU40" i="3"/>
  <c r="CV40" i="3" s="1"/>
  <c r="CS40" i="3"/>
  <c r="CT40" i="3" s="1"/>
  <c r="CP40" i="3"/>
  <c r="CJ40" i="3"/>
  <c r="CM40" i="3" s="1"/>
  <c r="CF40" i="3"/>
  <c r="CE40" i="3"/>
  <c r="CD40" i="3"/>
  <c r="CC40" i="3"/>
  <c r="CA40" i="3"/>
  <c r="CB40" i="3" s="1"/>
  <c r="CG40" i="3" s="1"/>
  <c r="DS40" i="3" s="1"/>
  <c r="BT40" i="3"/>
  <c r="BP40" i="3"/>
  <c r="BO40" i="3"/>
  <c r="BN40" i="3"/>
  <c r="BM40" i="3"/>
  <c r="BL40" i="3"/>
  <c r="AY40" i="3"/>
  <c r="AX40" i="3"/>
  <c r="AW40" i="3"/>
  <c r="DT39" i="3"/>
  <c r="DR39" i="3"/>
  <c r="DQ39" i="3"/>
  <c r="DK39" i="3"/>
  <c r="DI39" i="3"/>
  <c r="DH39" i="3"/>
  <c r="CU39" i="3"/>
  <c r="CV39" i="3" s="1"/>
  <c r="CT39" i="3"/>
  <c r="CS39" i="3"/>
  <c r="CP39" i="3"/>
  <c r="CM39" i="3"/>
  <c r="CJ39" i="3"/>
  <c r="CF39" i="3"/>
  <c r="CE39" i="3"/>
  <c r="CD39" i="3"/>
  <c r="CC39" i="3"/>
  <c r="CB39" i="3"/>
  <c r="CG39" i="3" s="1"/>
  <c r="CA39" i="3"/>
  <c r="BT39" i="3"/>
  <c r="BQ39" i="3"/>
  <c r="BP39" i="3"/>
  <c r="BO39" i="3"/>
  <c r="BN39" i="3"/>
  <c r="BM39" i="3"/>
  <c r="BS39" i="3" s="1"/>
  <c r="BL39" i="3"/>
  <c r="AY39" i="3"/>
  <c r="AX39" i="3"/>
  <c r="AW39" i="3"/>
  <c r="DT38" i="3"/>
  <c r="DS38" i="3"/>
  <c r="DR38" i="3"/>
  <c r="DQ38" i="3"/>
  <c r="DK38" i="3"/>
  <c r="DI38" i="3"/>
  <c r="DH38" i="3"/>
  <c r="CV38" i="3"/>
  <c r="CU38" i="3"/>
  <c r="CT38" i="3"/>
  <c r="CS38" i="3"/>
  <c r="CP38" i="3"/>
  <c r="CM38" i="3"/>
  <c r="CJ38" i="3"/>
  <c r="CG38" i="3"/>
  <c r="CH38" i="3" s="1"/>
  <c r="CF38" i="3"/>
  <c r="CE38" i="3"/>
  <c r="CD38" i="3"/>
  <c r="CC38" i="3"/>
  <c r="CB38" i="3"/>
  <c r="CA38" i="3"/>
  <c r="BT38" i="3"/>
  <c r="BS38" i="3"/>
  <c r="BR38" i="3"/>
  <c r="BQ38" i="3"/>
  <c r="BP38" i="3"/>
  <c r="BO38" i="3"/>
  <c r="BN38" i="3"/>
  <c r="BM38" i="3"/>
  <c r="BL38" i="3"/>
  <c r="AY38" i="3"/>
  <c r="AX38" i="3"/>
  <c r="AW38" i="3"/>
  <c r="DT37" i="3"/>
  <c r="DR37" i="3"/>
  <c r="DQ37" i="3"/>
  <c r="DK37" i="3"/>
  <c r="DI37" i="3"/>
  <c r="DH37" i="3"/>
  <c r="CU37" i="3"/>
  <c r="CV37" i="3" s="1"/>
  <c r="CS37" i="3"/>
  <c r="CT37" i="3" s="1"/>
  <c r="CP37" i="3"/>
  <c r="CJ37" i="3"/>
  <c r="CM37" i="3" s="1"/>
  <c r="CF37" i="3"/>
  <c r="CE37" i="3"/>
  <c r="CD37" i="3"/>
  <c r="CC37" i="3"/>
  <c r="CA37" i="3"/>
  <c r="CB37" i="3" s="1"/>
  <c r="CG37" i="3" s="1"/>
  <c r="BT37" i="3"/>
  <c r="BS37" i="3"/>
  <c r="BR37" i="3"/>
  <c r="BP37" i="3"/>
  <c r="BO37" i="3"/>
  <c r="BN37" i="3"/>
  <c r="BM37" i="3"/>
  <c r="BQ37" i="3" s="1"/>
  <c r="BL37" i="3"/>
  <c r="AY37" i="3"/>
  <c r="AX37" i="3"/>
  <c r="AW37" i="3"/>
  <c r="DT36" i="3"/>
  <c r="DR36" i="3"/>
  <c r="DQ36" i="3"/>
  <c r="DK36" i="3"/>
  <c r="DI36" i="3"/>
  <c r="DH36" i="3"/>
  <c r="CU36" i="3"/>
  <c r="CV36" i="3" s="1"/>
  <c r="CS36" i="3"/>
  <c r="CT36" i="3" s="1"/>
  <c r="CP36" i="3"/>
  <c r="CJ36" i="3"/>
  <c r="CM36" i="3" s="1"/>
  <c r="CF36" i="3"/>
  <c r="CE36" i="3"/>
  <c r="CD36" i="3"/>
  <c r="CC36" i="3"/>
  <c r="CA36" i="3"/>
  <c r="CB36" i="3" s="1"/>
  <c r="CG36" i="3" s="1"/>
  <c r="DS36" i="3" s="1"/>
  <c r="BT36" i="3"/>
  <c r="BP36" i="3"/>
  <c r="BO36" i="3"/>
  <c r="BN36" i="3"/>
  <c r="BM36" i="3"/>
  <c r="BL36" i="3"/>
  <c r="AY36" i="3"/>
  <c r="AX36" i="3"/>
  <c r="AW36" i="3"/>
  <c r="DT35" i="3"/>
  <c r="DR35" i="3"/>
  <c r="DQ35" i="3"/>
  <c r="DK35" i="3"/>
  <c r="DI35" i="3"/>
  <c r="DH35" i="3"/>
  <c r="CU35" i="3"/>
  <c r="CV35" i="3" s="1"/>
  <c r="CT35" i="3"/>
  <c r="CS35" i="3"/>
  <c r="CP35" i="3"/>
  <c r="CM35" i="3"/>
  <c r="CJ35" i="3"/>
  <c r="CF35" i="3"/>
  <c r="CE35" i="3"/>
  <c r="CD35" i="3"/>
  <c r="CC35" i="3"/>
  <c r="CB35" i="3"/>
  <c r="CG35" i="3" s="1"/>
  <c r="CA35" i="3"/>
  <c r="BT35" i="3"/>
  <c r="BQ35" i="3"/>
  <c r="BP35" i="3"/>
  <c r="BO35" i="3"/>
  <c r="BN35" i="3"/>
  <c r="BM35" i="3"/>
  <c r="BS35" i="3" s="1"/>
  <c r="BL35" i="3"/>
  <c r="AY35" i="3"/>
  <c r="AX35" i="3"/>
  <c r="AW35" i="3"/>
  <c r="DT34" i="3"/>
  <c r="DR34" i="3"/>
  <c r="DS34" i="3" s="1"/>
  <c r="DQ34" i="3"/>
  <c r="DK34" i="3"/>
  <c r="DI34" i="3"/>
  <c r="DH34" i="3"/>
  <c r="CV34" i="3"/>
  <c r="CU34" i="3"/>
  <c r="CS34" i="3"/>
  <c r="CT34" i="3" s="1"/>
  <c r="CP34" i="3"/>
  <c r="CM34" i="3"/>
  <c r="CJ34" i="3"/>
  <c r="CG34" i="3"/>
  <c r="CH34" i="3" s="1"/>
  <c r="CF34" i="3"/>
  <c r="CE34" i="3"/>
  <c r="CD34" i="3"/>
  <c r="CC34" i="3"/>
  <c r="CB34" i="3"/>
  <c r="CA34" i="3"/>
  <c r="BT34" i="3"/>
  <c r="BS34" i="3"/>
  <c r="BR34" i="3"/>
  <c r="BQ34" i="3"/>
  <c r="BP34" i="3"/>
  <c r="BO34" i="3"/>
  <c r="BN34" i="3"/>
  <c r="BM34" i="3"/>
  <c r="BL34" i="3"/>
  <c r="AY34" i="3"/>
  <c r="AX34" i="3"/>
  <c r="AW34" i="3"/>
  <c r="DT33" i="3"/>
  <c r="DR33" i="3"/>
  <c r="DQ33" i="3"/>
  <c r="DK33" i="3"/>
  <c r="DI33" i="3"/>
  <c r="DH33" i="3"/>
  <c r="CV33" i="3"/>
  <c r="CU33" i="3"/>
  <c r="CS33" i="3"/>
  <c r="CT33" i="3" s="1"/>
  <c r="CP33" i="3"/>
  <c r="CJ33" i="3"/>
  <c r="CM33" i="3" s="1"/>
  <c r="CG33" i="3"/>
  <c r="CF33" i="3"/>
  <c r="CE33" i="3"/>
  <c r="CD33" i="3"/>
  <c r="CC33" i="3"/>
  <c r="CA33" i="3"/>
  <c r="CB33" i="3" s="1"/>
  <c r="BT33" i="3"/>
  <c r="BS33" i="3"/>
  <c r="BR33" i="3"/>
  <c r="BP33" i="3"/>
  <c r="BO33" i="3"/>
  <c r="BN33" i="3"/>
  <c r="BM33" i="3"/>
  <c r="BQ33" i="3" s="1"/>
  <c r="BL33" i="3"/>
  <c r="AY33" i="3"/>
  <c r="AX33" i="3"/>
  <c r="AW33" i="3"/>
  <c r="DT32" i="3"/>
  <c r="CE32" i="3" s="1"/>
  <c r="DR32" i="3"/>
  <c r="DK32" i="3"/>
  <c r="DI32" i="3"/>
  <c r="DH32" i="3"/>
  <c r="CU32" i="3"/>
  <c r="CV32" i="3" s="1"/>
  <c r="CS32" i="3"/>
  <c r="CT32" i="3" s="1"/>
  <c r="CJ32" i="3"/>
  <c r="CM32" i="3" s="1"/>
  <c r="CF32" i="3"/>
  <c r="CD32" i="3"/>
  <c r="CC32" i="3"/>
  <c r="BP32" i="3"/>
  <c r="AY32" i="3"/>
  <c r="AX32" i="3"/>
  <c r="AW32" i="3"/>
  <c r="DT31" i="3"/>
  <c r="BL31" i="3" s="1"/>
  <c r="DR31" i="3"/>
  <c r="DK31" i="3"/>
  <c r="DI31" i="3"/>
  <c r="DH31" i="3"/>
  <c r="CU31" i="3"/>
  <c r="CV31" i="3" s="1"/>
  <c r="CT31" i="3"/>
  <c r="CS31" i="3"/>
  <c r="CM31" i="3"/>
  <c r="CP31" i="3" s="1"/>
  <c r="CJ31" i="3"/>
  <c r="CF31" i="3"/>
  <c r="CD31" i="3"/>
  <c r="CC31" i="3"/>
  <c r="BP31" i="3"/>
  <c r="BO31" i="3"/>
  <c r="BN31" i="3"/>
  <c r="BM31" i="3" s="1"/>
  <c r="AY31" i="3"/>
  <c r="AX31" i="3"/>
  <c r="AW31" i="3"/>
  <c r="DT30" i="3"/>
  <c r="DR30" i="3"/>
  <c r="DK30" i="3"/>
  <c r="DI30" i="3"/>
  <c r="DH30" i="3"/>
  <c r="CU30" i="3"/>
  <c r="CV30" i="3" s="1"/>
  <c r="CS30" i="3"/>
  <c r="CT30" i="3" s="1"/>
  <c r="CM30" i="3"/>
  <c r="CJ30" i="3"/>
  <c r="CF30" i="3"/>
  <c r="CE30" i="3"/>
  <c r="CD30" i="3"/>
  <c r="CC30" i="3"/>
  <c r="BP30" i="3"/>
  <c r="BO30" i="3"/>
  <c r="BN30" i="3"/>
  <c r="BL30" i="3"/>
  <c r="AY30" i="3"/>
  <c r="AX30" i="3"/>
  <c r="AW30" i="3"/>
  <c r="DT29" i="3"/>
  <c r="DR29" i="3"/>
  <c r="DK29" i="3"/>
  <c r="DI29" i="3"/>
  <c r="DH29" i="3"/>
  <c r="CU29" i="3"/>
  <c r="CV29" i="3" s="1"/>
  <c r="CS29" i="3"/>
  <c r="CT29" i="3" s="1"/>
  <c r="CM29" i="3"/>
  <c r="D37" i="5" s="1"/>
  <c r="CJ29" i="3"/>
  <c r="CF29" i="3"/>
  <c r="CD29" i="3"/>
  <c r="CC29" i="3"/>
  <c r="BP29" i="3"/>
  <c r="BO29" i="3"/>
  <c r="BN29" i="3"/>
  <c r="BM29" i="3" s="1"/>
  <c r="BS29" i="3" s="1"/>
  <c r="AY29" i="3"/>
  <c r="AX29" i="3"/>
  <c r="AW29" i="3"/>
  <c r="DT28" i="3"/>
  <c r="DR28" i="3"/>
  <c r="DK28" i="3"/>
  <c r="DI28" i="3"/>
  <c r="DH28" i="3"/>
  <c r="CU28" i="3"/>
  <c r="CV28" i="3" s="1"/>
  <c r="CS28" i="3"/>
  <c r="CT28" i="3" s="1"/>
  <c r="CJ28" i="3"/>
  <c r="CM28" i="3" s="1"/>
  <c r="CF28" i="3"/>
  <c r="CD28" i="3"/>
  <c r="CC28" i="3"/>
  <c r="BP28" i="3"/>
  <c r="BM28" i="3" s="1"/>
  <c r="BO28" i="3"/>
  <c r="BN28" i="3"/>
  <c r="BL28" i="3"/>
  <c r="AY28" i="3"/>
  <c r="AX28" i="3"/>
  <c r="AW28" i="3"/>
  <c r="DT27" i="3"/>
  <c r="DR27" i="3"/>
  <c r="DK27" i="3"/>
  <c r="DI27" i="3"/>
  <c r="DH27" i="3"/>
  <c r="CU27" i="3"/>
  <c r="CV27" i="3" s="1"/>
  <c r="CS27" i="3"/>
  <c r="CT27" i="3" s="1"/>
  <c r="CM27" i="3"/>
  <c r="CJ27" i="3"/>
  <c r="CF27" i="3"/>
  <c r="CD27" i="3"/>
  <c r="CC27" i="3"/>
  <c r="BP27" i="3"/>
  <c r="BO27" i="3"/>
  <c r="BN27" i="3"/>
  <c r="BM27" i="3" s="1"/>
  <c r="BL27" i="3"/>
  <c r="AY27" i="3"/>
  <c r="AX27" i="3"/>
  <c r="AW27" i="3"/>
  <c r="DT26" i="3"/>
  <c r="DR26" i="3"/>
  <c r="DK26" i="3"/>
  <c r="DI26" i="3"/>
  <c r="DH26" i="3"/>
  <c r="CU26" i="3"/>
  <c r="CV26" i="3" s="1"/>
  <c r="CT26" i="3"/>
  <c r="CS26" i="3"/>
  <c r="CM26" i="3"/>
  <c r="CJ26" i="3"/>
  <c r="CF26" i="3"/>
  <c r="CD26" i="3"/>
  <c r="CC26" i="3"/>
  <c r="BP26" i="3"/>
  <c r="BO26" i="3"/>
  <c r="BN26" i="3"/>
  <c r="AY26" i="3"/>
  <c r="AX26" i="3"/>
  <c r="AW26" i="3"/>
  <c r="DT25" i="3"/>
  <c r="DR25" i="3"/>
  <c r="DK25" i="3"/>
  <c r="DI25" i="3"/>
  <c r="DH25" i="3"/>
  <c r="CV25" i="3"/>
  <c r="CU25" i="3"/>
  <c r="CS25" i="3"/>
  <c r="CT25" i="3" s="1"/>
  <c r="CM25" i="3"/>
  <c r="CJ25" i="3"/>
  <c r="CF25" i="3"/>
  <c r="CD25" i="3"/>
  <c r="CC25" i="3"/>
  <c r="BP25" i="3"/>
  <c r="AY25" i="3"/>
  <c r="AX25" i="3"/>
  <c r="AW25" i="3"/>
  <c r="DT24" i="3"/>
  <c r="BL24" i="3" s="1"/>
  <c r="DR24" i="3"/>
  <c r="DK24" i="3"/>
  <c r="DI24" i="3"/>
  <c r="DH24" i="3"/>
  <c r="CU24" i="3"/>
  <c r="CV24" i="3" s="1"/>
  <c r="CS24" i="3"/>
  <c r="CT24" i="3" s="1"/>
  <c r="CM24" i="3"/>
  <c r="CJ24" i="3"/>
  <c r="CF24" i="3"/>
  <c r="CD24" i="3"/>
  <c r="CC24" i="3"/>
  <c r="BP24" i="3"/>
  <c r="BO24" i="3"/>
  <c r="BN24" i="3"/>
  <c r="BM24" i="3" s="1"/>
  <c r="AY24" i="3"/>
  <c r="AX24" i="3"/>
  <c r="AW24" i="3"/>
  <c r="DT23" i="3"/>
  <c r="DR23" i="3"/>
  <c r="DK23" i="3"/>
  <c r="DI23" i="3"/>
  <c r="DH23" i="3"/>
  <c r="CU23" i="3"/>
  <c r="CV23" i="3" s="1"/>
  <c r="CS23" i="3"/>
  <c r="CT23" i="3" s="1"/>
  <c r="CM23" i="3"/>
  <c r="CJ23" i="3"/>
  <c r="CF23" i="3"/>
  <c r="CD23" i="3"/>
  <c r="CC23" i="3"/>
  <c r="BP23" i="3"/>
  <c r="BO23" i="3"/>
  <c r="AY23" i="3"/>
  <c r="AX23" i="3"/>
  <c r="AW23" i="3"/>
  <c r="DT22" i="3"/>
  <c r="DR22" i="3"/>
  <c r="DK22" i="3"/>
  <c r="DI22" i="3"/>
  <c r="DH22" i="3"/>
  <c r="CU22" i="3"/>
  <c r="CV22" i="3" s="1"/>
  <c r="CS22" i="3"/>
  <c r="CT22" i="3" s="1"/>
  <c r="CM22" i="3"/>
  <c r="CJ22" i="3"/>
  <c r="CF22" i="3"/>
  <c r="CD22" i="3"/>
  <c r="CC22" i="3"/>
  <c r="BP22" i="3"/>
  <c r="BN22" i="3"/>
  <c r="AY22" i="3"/>
  <c r="AX22" i="3"/>
  <c r="AW22" i="3"/>
  <c r="DT21" i="3"/>
  <c r="BL26" i="3" s="1"/>
  <c r="DR21" i="3"/>
  <c r="DK21" i="3"/>
  <c r="DI21" i="3"/>
  <c r="DH21" i="3"/>
  <c r="CU21" i="3"/>
  <c r="CV21" i="3" s="1"/>
  <c r="CS21" i="3"/>
  <c r="CT21" i="3" s="1"/>
  <c r="CM21" i="3"/>
  <c r="CJ21" i="3"/>
  <c r="CF21" i="3"/>
  <c r="CE21" i="3"/>
  <c r="CD21" i="3"/>
  <c r="CC21" i="3"/>
  <c r="BP21" i="3"/>
  <c r="BO21" i="3"/>
  <c r="BN21" i="3"/>
  <c r="BM21" i="3" s="1"/>
  <c r="AY21" i="3"/>
  <c r="AX21" i="3"/>
  <c r="AW21" i="3"/>
  <c r="DT20" i="3"/>
  <c r="DR20" i="3"/>
  <c r="DK20" i="3"/>
  <c r="DI20" i="3"/>
  <c r="DH20" i="3"/>
  <c r="CU20" i="3"/>
  <c r="CV20" i="3" s="1"/>
  <c r="CS20" i="3"/>
  <c r="CT20" i="3" s="1"/>
  <c r="CJ20" i="3"/>
  <c r="CM20" i="3" s="1"/>
  <c r="CF20" i="3"/>
  <c r="CE20" i="3"/>
  <c r="CD20" i="3"/>
  <c r="CC20" i="3"/>
  <c r="BP20" i="3"/>
  <c r="BO20" i="3"/>
  <c r="BN20" i="3"/>
  <c r="BM20" i="3" s="1"/>
  <c r="AY20" i="3"/>
  <c r="AX20" i="3"/>
  <c r="AW20" i="3"/>
  <c r="DT19" i="3"/>
  <c r="DR19" i="3"/>
  <c r="DK19" i="3"/>
  <c r="DI19" i="3"/>
  <c r="DH19" i="3"/>
  <c r="CU19" i="3"/>
  <c r="CV19" i="3" s="1"/>
  <c r="CS19" i="3"/>
  <c r="CT19" i="3" s="1"/>
  <c r="CM19" i="3"/>
  <c r="CJ19" i="3"/>
  <c r="CF19" i="3"/>
  <c r="CE19" i="3"/>
  <c r="CD19" i="3"/>
  <c r="CC19" i="3"/>
  <c r="BP19" i="3"/>
  <c r="BO19" i="3"/>
  <c r="AY19" i="3"/>
  <c r="AX19" i="3"/>
  <c r="AW19" i="3"/>
  <c r="DT18" i="3"/>
  <c r="BL20" i="3" s="1"/>
  <c r="DR18" i="3"/>
  <c r="DK18" i="3"/>
  <c r="DI18" i="3"/>
  <c r="DH18" i="3"/>
  <c r="CV18" i="3"/>
  <c r="CU18" i="3"/>
  <c r="CS18" i="3"/>
  <c r="CT18" i="3" s="1"/>
  <c r="CM18" i="3"/>
  <c r="CJ18" i="3"/>
  <c r="CF18" i="3"/>
  <c r="CE18" i="3"/>
  <c r="CD18" i="3"/>
  <c r="CC18" i="3"/>
  <c r="BP18" i="3"/>
  <c r="BN18" i="3"/>
  <c r="AY18" i="3"/>
  <c r="AX18" i="3"/>
  <c r="AW18" i="3"/>
  <c r="DT17" i="3"/>
  <c r="DR17" i="3"/>
  <c r="DK17" i="3"/>
  <c r="DI17" i="3"/>
  <c r="DH17" i="3"/>
  <c r="CV17" i="3"/>
  <c r="CU17" i="3"/>
  <c r="CS17" i="3"/>
  <c r="CT17" i="3" s="1"/>
  <c r="CM17" i="3"/>
  <c r="CJ17" i="3"/>
  <c r="CF17" i="3"/>
  <c r="CE17" i="3"/>
  <c r="CD17" i="3"/>
  <c r="CC17" i="3"/>
  <c r="BP17" i="3"/>
  <c r="BO17" i="3"/>
  <c r="AY17" i="3"/>
  <c r="AX17" i="3"/>
  <c r="AW17" i="3"/>
  <c r="DT16" i="3"/>
  <c r="DR16" i="3"/>
  <c r="DK16" i="3"/>
  <c r="DI16" i="3"/>
  <c r="DH16" i="3"/>
  <c r="CU16" i="3"/>
  <c r="CV16" i="3" s="1"/>
  <c r="CS16" i="3"/>
  <c r="CT16" i="3" s="1"/>
  <c r="CM16" i="3"/>
  <c r="CJ16" i="3"/>
  <c r="CF16" i="3"/>
  <c r="CE16" i="3"/>
  <c r="CD16" i="3"/>
  <c r="CC16" i="3"/>
  <c r="BP16" i="3"/>
  <c r="BO16" i="3"/>
  <c r="AY16" i="3"/>
  <c r="AX16" i="3"/>
  <c r="AW16" i="3"/>
  <c r="DT15" i="3"/>
  <c r="BL17" i="3" s="1"/>
  <c r="DR15" i="3"/>
  <c r="DK15" i="3"/>
  <c r="DI15" i="3"/>
  <c r="DH15" i="3"/>
  <c r="CU15" i="3"/>
  <c r="CV15" i="3" s="1"/>
  <c r="CT15" i="3"/>
  <c r="CS15" i="3"/>
  <c r="CM15" i="3"/>
  <c r="CJ15" i="3"/>
  <c r="CF15" i="3"/>
  <c r="CE15" i="3"/>
  <c r="CD15" i="3"/>
  <c r="CC15" i="3"/>
  <c r="BP15" i="3"/>
  <c r="BO15" i="3"/>
  <c r="AY15" i="3"/>
  <c r="AX15" i="3"/>
  <c r="AW15" i="3"/>
  <c r="DT14" i="3"/>
  <c r="BO14" i="3" s="1"/>
  <c r="DR14" i="3"/>
  <c r="DK14" i="3"/>
  <c r="DI14" i="3"/>
  <c r="DH14" i="3"/>
  <c r="CV14" i="3"/>
  <c r="CU14" i="3"/>
  <c r="CS14" i="3"/>
  <c r="CT14" i="3" s="1"/>
  <c r="CM14" i="3"/>
  <c r="CJ14" i="3"/>
  <c r="CF14" i="3"/>
  <c r="CE14" i="3"/>
  <c r="CD14" i="3"/>
  <c r="CC14" i="3"/>
  <c r="BP14" i="3"/>
  <c r="AY14" i="3"/>
  <c r="AX14" i="3"/>
  <c r="AW14" i="3"/>
  <c r="DT13" i="3"/>
  <c r="DR13" i="3"/>
  <c r="DK13" i="3"/>
  <c r="DI13" i="3"/>
  <c r="DH13" i="3"/>
  <c r="CU13" i="3"/>
  <c r="CV13" i="3" s="1"/>
  <c r="CT13" i="3"/>
  <c r="CS13" i="3"/>
  <c r="CJ13" i="3"/>
  <c r="CM13" i="3" s="1"/>
  <c r="CF13" i="3"/>
  <c r="CE13" i="3"/>
  <c r="CD13" i="3"/>
  <c r="CC13" i="3"/>
  <c r="BP13" i="3"/>
  <c r="BL13" i="3"/>
  <c r="AY13" i="3"/>
  <c r="AX13" i="3"/>
  <c r="AW13" i="3"/>
  <c r="DT12" i="3"/>
  <c r="BN14" i="3" s="1"/>
  <c r="BM14" i="3" s="1"/>
  <c r="DR12" i="3"/>
  <c r="DK12" i="3"/>
  <c r="DI12" i="3"/>
  <c r="DH12" i="3"/>
  <c r="CU12" i="3"/>
  <c r="CV12" i="3" s="1"/>
  <c r="CS12" i="3"/>
  <c r="CT12" i="3" s="1"/>
  <c r="CM12" i="3"/>
  <c r="CJ12" i="3"/>
  <c r="CF12" i="3"/>
  <c r="CE12" i="3"/>
  <c r="CD12" i="3"/>
  <c r="CC12" i="3"/>
  <c r="BP12" i="3"/>
  <c r="BO12" i="3"/>
  <c r="BN12" i="3"/>
  <c r="BM12" i="3" s="1"/>
  <c r="BL12" i="3"/>
  <c r="AY12" i="3"/>
  <c r="AX12" i="3"/>
  <c r="AW12" i="3"/>
  <c r="BT12" i="3" l="1"/>
  <c r="BS12" i="3"/>
  <c r="BR12" i="3"/>
  <c r="BQ12" i="3"/>
  <c r="DS69" i="3"/>
  <c r="CH69" i="3"/>
  <c r="DS77" i="3"/>
  <c r="CH77" i="3"/>
  <c r="DS81" i="3"/>
  <c r="CH81" i="3"/>
  <c r="DS85" i="3"/>
  <c r="CH85" i="3"/>
  <c r="CP12" i="3"/>
  <c r="DS45" i="3"/>
  <c r="CH45" i="3"/>
  <c r="DS97" i="3"/>
  <c r="CH97" i="3"/>
  <c r="DS111" i="3"/>
  <c r="CH111" i="3"/>
  <c r="DS57" i="3"/>
  <c r="CH57" i="3"/>
  <c r="DS61" i="3"/>
  <c r="CH61" i="3"/>
  <c r="CP20" i="3"/>
  <c r="BS24" i="3"/>
  <c r="BQ24" i="3"/>
  <c r="BR24" i="3"/>
  <c r="BT24" i="3"/>
  <c r="CA24" i="3" s="1"/>
  <c r="BS20" i="3"/>
  <c r="BQ20" i="3"/>
  <c r="BT20" i="3"/>
  <c r="CA20" i="3" s="1"/>
  <c r="BR20" i="3"/>
  <c r="DS53" i="3"/>
  <c r="CH53" i="3"/>
  <c r="DS37" i="3"/>
  <c r="CH37" i="3"/>
  <c r="DS101" i="3"/>
  <c r="CH101" i="3"/>
  <c r="CP14" i="3"/>
  <c r="BQ21" i="3"/>
  <c r="BR21" i="3"/>
  <c r="BS21" i="3"/>
  <c r="BT21" i="3"/>
  <c r="BR14" i="3"/>
  <c r="BQ14" i="3"/>
  <c r="BS14" i="3"/>
  <c r="BT14" i="3"/>
  <c r="BS28" i="3"/>
  <c r="BQ28" i="3"/>
  <c r="BT28" i="3"/>
  <c r="CA28" i="3" s="1"/>
  <c r="BR28" i="3"/>
  <c r="BS27" i="3"/>
  <c r="BQ27" i="3"/>
  <c r="DS119" i="3"/>
  <c r="CH119" i="3"/>
  <c r="CH181" i="3"/>
  <c r="DS181" i="3"/>
  <c r="CH269" i="3"/>
  <c r="DS269" i="3"/>
  <c r="DS274" i="3"/>
  <c r="CH274" i="3"/>
  <c r="B97" i="4"/>
  <c r="B96" i="4"/>
  <c r="BS84" i="3"/>
  <c r="BR84" i="3"/>
  <c r="BQ84" i="3"/>
  <c r="CH87" i="3"/>
  <c r="DS87" i="3"/>
  <c r="DS93" i="3"/>
  <c r="CH93" i="3"/>
  <c r="BL14" i="3"/>
  <c r="BN17" i="3"/>
  <c r="BM17" i="3" s="1"/>
  <c r="BL19" i="3"/>
  <c r="BL23" i="3"/>
  <c r="CE29" i="3"/>
  <c r="BL29" i="3"/>
  <c r="CH47" i="3"/>
  <c r="DS47" i="3"/>
  <c r="BS52" i="3"/>
  <c r="BR52" i="3"/>
  <c r="BQ52" i="3"/>
  <c r="CH60" i="3"/>
  <c r="CH71" i="3"/>
  <c r="DS71" i="3"/>
  <c r="CH96" i="3"/>
  <c r="BS104" i="3"/>
  <c r="BR104" i="3"/>
  <c r="BQ104" i="3"/>
  <c r="DS107" i="3"/>
  <c r="CH107" i="3"/>
  <c r="DS115" i="3"/>
  <c r="CH115" i="3"/>
  <c r="CH170" i="3"/>
  <c r="DS170" i="3"/>
  <c r="CH174" i="3"/>
  <c r="DS174" i="3"/>
  <c r="BS215" i="3"/>
  <c r="BR215" i="3"/>
  <c r="BQ215" i="3"/>
  <c r="CH221" i="3"/>
  <c r="DS221" i="3"/>
  <c r="BS36" i="3"/>
  <c r="BR36" i="3"/>
  <c r="BQ36" i="3"/>
  <c r="DS183" i="3"/>
  <c r="CH183" i="3"/>
  <c r="BN13" i="3"/>
  <c r="BO13" i="3"/>
  <c r="BN19" i="3"/>
  <c r="BM19" i="3" s="1"/>
  <c r="BO18" i="3"/>
  <c r="BO25" i="3"/>
  <c r="BL21" i="3"/>
  <c r="BN23" i="3"/>
  <c r="BM23" i="3" s="1"/>
  <c r="BR29" i="3"/>
  <c r="BL32" i="3"/>
  <c r="CH36" i="3"/>
  <c r="BS40" i="3"/>
  <c r="BR40" i="3"/>
  <c r="BQ40" i="3"/>
  <c r="CH59" i="3"/>
  <c r="DS59" i="3"/>
  <c r="BS64" i="3"/>
  <c r="BR64" i="3"/>
  <c r="BQ64" i="3"/>
  <c r="CH76" i="3"/>
  <c r="CH84" i="3"/>
  <c r="BS92" i="3"/>
  <c r="BR92" i="3"/>
  <c r="BQ92" i="3"/>
  <c r="CH95" i="3"/>
  <c r="DS95" i="3"/>
  <c r="DS159" i="3"/>
  <c r="CH159" i="3"/>
  <c r="DS163" i="3"/>
  <c r="CH163" i="3"/>
  <c r="DS167" i="3"/>
  <c r="CH167" i="3"/>
  <c r="DS171" i="3"/>
  <c r="CH171" i="3"/>
  <c r="DS175" i="3"/>
  <c r="CH175" i="3"/>
  <c r="DS211" i="3"/>
  <c r="CH211" i="3"/>
  <c r="D33" i="5"/>
  <c r="BS76" i="3"/>
  <c r="BR76" i="3"/>
  <c r="BQ76" i="3"/>
  <c r="BL15" i="3"/>
  <c r="BL16" i="3"/>
  <c r="D35" i="5"/>
  <c r="CP21" i="3"/>
  <c r="BL25" i="3"/>
  <c r="BR27" i="3"/>
  <c r="DS33" i="3"/>
  <c r="CH33" i="3"/>
  <c r="CH35" i="3"/>
  <c r="DS35" i="3"/>
  <c r="DS49" i="3"/>
  <c r="CH49" i="3"/>
  <c r="DS73" i="3"/>
  <c r="CH73" i="3"/>
  <c r="CH75" i="3"/>
  <c r="DS75" i="3"/>
  <c r="CH83" i="3"/>
  <c r="DS83" i="3"/>
  <c r="DS89" i="3"/>
  <c r="CH89" i="3"/>
  <c r="DS109" i="3"/>
  <c r="BQ111" i="3"/>
  <c r="BS111" i="3"/>
  <c r="BR111" i="3"/>
  <c r="DS113" i="3"/>
  <c r="BS130" i="3"/>
  <c r="BR130" i="3"/>
  <c r="BQ130" i="3"/>
  <c r="BR131" i="3"/>
  <c r="BQ131" i="3"/>
  <c r="BS131" i="3"/>
  <c r="CH132" i="3"/>
  <c r="DS132" i="3"/>
  <c r="DS210" i="3"/>
  <c r="CH210" i="3"/>
  <c r="C34" i="5"/>
  <c r="CP24" i="3"/>
  <c r="BN32" i="3"/>
  <c r="C32" i="5"/>
  <c r="BL18" i="3"/>
  <c r="BN25" i="3"/>
  <c r="BM25" i="3" s="1"/>
  <c r="BT27" i="3"/>
  <c r="CA27" i="3" s="1"/>
  <c r="CP27" i="3"/>
  <c r="C38" i="5"/>
  <c r="CP28" i="3"/>
  <c r="E38" i="5" s="1"/>
  <c r="BT31" i="3"/>
  <c r="CA31" i="3" s="1"/>
  <c r="BS31" i="3"/>
  <c r="BR31" i="3"/>
  <c r="BQ31" i="3"/>
  <c r="CH40" i="3"/>
  <c r="BS44" i="3"/>
  <c r="BR44" i="3"/>
  <c r="BQ44" i="3"/>
  <c r="CH51" i="3"/>
  <c r="DS51" i="3"/>
  <c r="BS56" i="3"/>
  <c r="BR56" i="3"/>
  <c r="BQ56" i="3"/>
  <c r="CH64" i="3"/>
  <c r="BS68" i="3"/>
  <c r="BR68" i="3"/>
  <c r="BQ68" i="3"/>
  <c r="BS80" i="3"/>
  <c r="BR80" i="3"/>
  <c r="BQ80" i="3"/>
  <c r="CH92" i="3"/>
  <c r="BS100" i="3"/>
  <c r="BR100" i="3"/>
  <c r="BQ100" i="3"/>
  <c r="CH103" i="3"/>
  <c r="DS103" i="3"/>
  <c r="DS123" i="3"/>
  <c r="CH123" i="3"/>
  <c r="DS125" i="3"/>
  <c r="CH145" i="3"/>
  <c r="DS145" i="3"/>
  <c r="DS147" i="3"/>
  <c r="CH147" i="3"/>
  <c r="BS158" i="3"/>
  <c r="BR158" i="3"/>
  <c r="BQ158" i="3"/>
  <c r="BS162" i="3"/>
  <c r="BR162" i="3"/>
  <c r="BQ162" i="3"/>
  <c r="CH202" i="3"/>
  <c r="DS202" i="3"/>
  <c r="CH206" i="3"/>
  <c r="DS206" i="3"/>
  <c r="BM26" i="3"/>
  <c r="CH39" i="3"/>
  <c r="DS39" i="3"/>
  <c r="CH63" i="3"/>
  <c r="DS63" i="3"/>
  <c r="BS88" i="3"/>
  <c r="BR88" i="3"/>
  <c r="BQ88" i="3"/>
  <c r="CH91" i="3"/>
  <c r="DS91" i="3"/>
  <c r="DS127" i="3"/>
  <c r="CH127" i="3"/>
  <c r="CH149" i="3"/>
  <c r="DS149" i="3"/>
  <c r="DS151" i="3"/>
  <c r="CH151" i="3"/>
  <c r="DS191" i="3"/>
  <c r="CH191" i="3"/>
  <c r="DS195" i="3"/>
  <c r="CH195" i="3"/>
  <c r="DS199" i="3"/>
  <c r="CH199" i="3"/>
  <c r="DS203" i="3"/>
  <c r="CH203" i="3"/>
  <c r="DS207" i="3"/>
  <c r="CH207" i="3"/>
  <c r="BN15" i="3"/>
  <c r="BM15" i="3" s="1"/>
  <c r="BN16" i="3"/>
  <c r="BM16" i="3" s="1"/>
  <c r="BM18" i="3"/>
  <c r="J26" i="5"/>
  <c r="N24" i="5"/>
  <c r="G23" i="5"/>
  <c r="K21" i="5"/>
  <c r="H26" i="5"/>
  <c r="L24" i="5"/>
  <c r="C23" i="5"/>
  <c r="I21" i="5"/>
  <c r="M27" i="5"/>
  <c r="D26" i="5"/>
  <c r="J24" i="5"/>
  <c r="N22" i="5"/>
  <c r="E21" i="5"/>
  <c r="K27" i="5"/>
  <c r="F24" i="5"/>
  <c r="L22" i="5"/>
  <c r="C21" i="5"/>
  <c r="G27" i="5"/>
  <c r="M25" i="5"/>
  <c r="D24" i="5"/>
  <c r="H22" i="5"/>
  <c r="E27" i="5"/>
  <c r="I25" i="5"/>
  <c r="F22" i="5"/>
  <c r="C27" i="5"/>
  <c r="G25" i="5"/>
  <c r="K23" i="5"/>
  <c r="D22" i="5"/>
  <c r="L26" i="5"/>
  <c r="E25" i="5"/>
  <c r="I23" i="5"/>
  <c r="M21" i="5"/>
  <c r="BM30" i="3"/>
  <c r="CH44" i="3"/>
  <c r="BS48" i="3"/>
  <c r="BR48" i="3"/>
  <c r="BQ48" i="3"/>
  <c r="CH56" i="3"/>
  <c r="CH68" i="3"/>
  <c r="BS72" i="3"/>
  <c r="BR72" i="3"/>
  <c r="BQ72" i="3"/>
  <c r="CH80" i="3"/>
  <c r="CH138" i="3"/>
  <c r="DS138" i="3"/>
  <c r="CH142" i="3"/>
  <c r="DS142" i="3"/>
  <c r="BO22" i="3"/>
  <c r="BM22" i="3" s="1"/>
  <c r="BO32" i="3"/>
  <c r="BL22" i="3"/>
  <c r="BQ29" i="3"/>
  <c r="BT29" i="3"/>
  <c r="CA29" i="3" s="1"/>
  <c r="DS41" i="3"/>
  <c r="CH41" i="3"/>
  <c r="CH43" i="3"/>
  <c r="DS43" i="3"/>
  <c r="CH55" i="3"/>
  <c r="DS55" i="3"/>
  <c r="BS60" i="3"/>
  <c r="BR60" i="3"/>
  <c r="BQ60" i="3"/>
  <c r="DS65" i="3"/>
  <c r="CH65" i="3"/>
  <c r="CH67" i="3"/>
  <c r="DS67" i="3"/>
  <c r="CH79" i="3"/>
  <c r="DS79" i="3"/>
  <c r="BS96" i="3"/>
  <c r="BR96" i="3"/>
  <c r="BQ96" i="3"/>
  <c r="CH99" i="3"/>
  <c r="DS99" i="3"/>
  <c r="DS105" i="3"/>
  <c r="CH105" i="3"/>
  <c r="CH118" i="3"/>
  <c r="DS118" i="3"/>
  <c r="DS135" i="3"/>
  <c r="CH135" i="3"/>
  <c r="DS139" i="3"/>
  <c r="CH139" i="3"/>
  <c r="DS143" i="3"/>
  <c r="CH143" i="3"/>
  <c r="CH177" i="3"/>
  <c r="DS177" i="3"/>
  <c r="DS179" i="3"/>
  <c r="CH179" i="3"/>
  <c r="BS190" i="3"/>
  <c r="BR190" i="3"/>
  <c r="BQ190" i="3"/>
  <c r="BS194" i="3"/>
  <c r="BR194" i="3"/>
  <c r="BQ194" i="3"/>
  <c r="CH122" i="3"/>
  <c r="DS122" i="3"/>
  <c r="DS129" i="3"/>
  <c r="BS134" i="3"/>
  <c r="BR134" i="3"/>
  <c r="BQ134" i="3"/>
  <c r="BR135" i="3"/>
  <c r="BQ135" i="3"/>
  <c r="CH146" i="3"/>
  <c r="DS146" i="3"/>
  <c r="CH153" i="3"/>
  <c r="DS153" i="3"/>
  <c r="DS155" i="3"/>
  <c r="CH155" i="3"/>
  <c r="BS166" i="3"/>
  <c r="BR166" i="3"/>
  <c r="BQ166" i="3"/>
  <c r="CH178" i="3"/>
  <c r="DS178" i="3"/>
  <c r="CH185" i="3"/>
  <c r="DS185" i="3"/>
  <c r="DS187" i="3"/>
  <c r="CH187" i="3"/>
  <c r="BS198" i="3"/>
  <c r="BR198" i="3"/>
  <c r="BQ198" i="3"/>
  <c r="DS114" i="3"/>
  <c r="CH126" i="3"/>
  <c r="DS126" i="3"/>
  <c r="DS131" i="3"/>
  <c r="CH131" i="3"/>
  <c r="BS138" i="3"/>
  <c r="BR138" i="3"/>
  <c r="BQ138" i="3"/>
  <c r="CH150" i="3"/>
  <c r="DS150" i="3"/>
  <c r="CH157" i="3"/>
  <c r="DS157" i="3"/>
  <c r="BS170" i="3"/>
  <c r="BR170" i="3"/>
  <c r="BQ170" i="3"/>
  <c r="CH182" i="3"/>
  <c r="DS182" i="3"/>
  <c r="CH189" i="3"/>
  <c r="DS189" i="3"/>
  <c r="BS202" i="3"/>
  <c r="BR202" i="3"/>
  <c r="BQ202" i="3"/>
  <c r="DS214" i="3"/>
  <c r="CH214" i="3"/>
  <c r="CH216" i="3"/>
  <c r="DS216" i="3"/>
  <c r="CH301" i="3"/>
  <c r="DS301" i="3"/>
  <c r="BR35" i="3"/>
  <c r="BR39" i="3"/>
  <c r="BR43" i="3"/>
  <c r="BR47" i="3"/>
  <c r="BR67" i="3"/>
  <c r="BR71" i="3"/>
  <c r="BR75" i="3"/>
  <c r="BR79" i="3"/>
  <c r="BR83" i="3"/>
  <c r="BS118" i="3"/>
  <c r="BR118" i="3"/>
  <c r="BQ118" i="3"/>
  <c r="BR119" i="3"/>
  <c r="BQ119" i="3"/>
  <c r="DS133" i="3"/>
  <c r="BS142" i="3"/>
  <c r="BR142" i="3"/>
  <c r="BQ142" i="3"/>
  <c r="CH154" i="3"/>
  <c r="DS154" i="3"/>
  <c r="CH161" i="3"/>
  <c r="DS161" i="3"/>
  <c r="BS174" i="3"/>
  <c r="BR174" i="3"/>
  <c r="BQ174" i="3"/>
  <c r="CH186" i="3"/>
  <c r="DS186" i="3"/>
  <c r="CH193" i="3"/>
  <c r="DS193" i="3"/>
  <c r="BS206" i="3"/>
  <c r="BR206" i="3"/>
  <c r="BQ206" i="3"/>
  <c r="CH217" i="3"/>
  <c r="DS217" i="3"/>
  <c r="CH233" i="3"/>
  <c r="DS233" i="3"/>
  <c r="CP29" i="3"/>
  <c r="DS110" i="3"/>
  <c r="BS122" i="3"/>
  <c r="BR122" i="3"/>
  <c r="BQ122" i="3"/>
  <c r="BR123" i="3"/>
  <c r="BQ123" i="3"/>
  <c r="CH130" i="3"/>
  <c r="DS130" i="3"/>
  <c r="BS146" i="3"/>
  <c r="BR146" i="3"/>
  <c r="BQ146" i="3"/>
  <c r="CH158" i="3"/>
  <c r="DS158" i="3"/>
  <c r="CH165" i="3"/>
  <c r="DS165" i="3"/>
  <c r="BS178" i="3"/>
  <c r="BR178" i="3"/>
  <c r="BQ178" i="3"/>
  <c r="CH190" i="3"/>
  <c r="DS190" i="3"/>
  <c r="CH197" i="3"/>
  <c r="DS197" i="3"/>
  <c r="CH224" i="3"/>
  <c r="DS224" i="3"/>
  <c r="BS114" i="3"/>
  <c r="BR114" i="3"/>
  <c r="BQ114" i="3"/>
  <c r="DS117" i="3"/>
  <c r="BS126" i="3"/>
  <c r="BR126" i="3"/>
  <c r="BQ126" i="3"/>
  <c r="BR127" i="3"/>
  <c r="BQ127" i="3"/>
  <c r="BS135" i="3"/>
  <c r="CH137" i="3"/>
  <c r="DS137" i="3"/>
  <c r="BS150" i="3"/>
  <c r="BR150" i="3"/>
  <c r="BQ150" i="3"/>
  <c r="CH162" i="3"/>
  <c r="DS162" i="3"/>
  <c r="CH169" i="3"/>
  <c r="DS169" i="3"/>
  <c r="BS182" i="3"/>
  <c r="BR182" i="3"/>
  <c r="BQ182" i="3"/>
  <c r="CH194" i="3"/>
  <c r="DS194" i="3"/>
  <c r="CH201" i="3"/>
  <c r="DS201" i="3"/>
  <c r="CH215" i="3"/>
  <c r="DS215" i="3"/>
  <c r="DS218" i="3"/>
  <c r="CH218" i="3"/>
  <c r="CH229" i="3"/>
  <c r="DS229" i="3"/>
  <c r="BS110" i="3"/>
  <c r="BQ110" i="3"/>
  <c r="DS121" i="3"/>
  <c r="CH134" i="3"/>
  <c r="DS134" i="3"/>
  <c r="CH141" i="3"/>
  <c r="DS141" i="3"/>
  <c r="BS154" i="3"/>
  <c r="BR154" i="3"/>
  <c r="BQ154" i="3"/>
  <c r="CH166" i="3"/>
  <c r="DS166" i="3"/>
  <c r="CH173" i="3"/>
  <c r="DS173" i="3"/>
  <c r="BS186" i="3"/>
  <c r="BR186" i="3"/>
  <c r="BQ186" i="3"/>
  <c r="CH198" i="3"/>
  <c r="DS198" i="3"/>
  <c r="CH205" i="3"/>
  <c r="DS205" i="3"/>
  <c r="CH209" i="3"/>
  <c r="DS209" i="3"/>
  <c r="CH213" i="3"/>
  <c r="DS213" i="3"/>
  <c r="CH276" i="3"/>
  <c r="DS276" i="3"/>
  <c r="CH220" i="3"/>
  <c r="DS220" i="3"/>
  <c r="BS221" i="3"/>
  <c r="BR221" i="3"/>
  <c r="CH228" i="3"/>
  <c r="DS228" i="3"/>
  <c r="DS243" i="3"/>
  <c r="CH243" i="3"/>
  <c r="CH312" i="3"/>
  <c r="DS312" i="3"/>
  <c r="DS424" i="3"/>
  <c r="CH424" i="3"/>
  <c r="CH471" i="3"/>
  <c r="DS471" i="3"/>
  <c r="CH225" i="3"/>
  <c r="DS225" i="3"/>
  <c r="CH232" i="3"/>
  <c r="DS232" i="3"/>
  <c r="CH236" i="3"/>
  <c r="DS236" i="3"/>
  <c r="CH245" i="3"/>
  <c r="DS245" i="3"/>
  <c r="CH277" i="3"/>
  <c r="DS277" i="3"/>
  <c r="DS279" i="3"/>
  <c r="CH279" i="3"/>
  <c r="CH297" i="3"/>
  <c r="DS297" i="3"/>
  <c r="CH348" i="3"/>
  <c r="DS348" i="3"/>
  <c r="CH350" i="3"/>
  <c r="DS350" i="3"/>
  <c r="CH359" i="3"/>
  <c r="DS359" i="3"/>
  <c r="BS361" i="3"/>
  <c r="BR361" i="3"/>
  <c r="BQ361" i="3"/>
  <c r="CH379" i="3"/>
  <c r="DS379" i="3"/>
  <c r="CH388" i="3"/>
  <c r="DS388" i="3"/>
  <c r="CH222" i="3"/>
  <c r="CH252" i="3"/>
  <c r="DS252" i="3"/>
  <c r="CH256" i="3"/>
  <c r="DS256" i="3"/>
  <c r="CH260" i="3"/>
  <c r="DS260" i="3"/>
  <c r="CH264" i="3"/>
  <c r="DS264" i="3"/>
  <c r="CH272" i="3"/>
  <c r="DS272" i="3"/>
  <c r="CH308" i="3"/>
  <c r="DS308" i="3"/>
  <c r="BR312" i="3"/>
  <c r="BQ312" i="3"/>
  <c r="BS312" i="3"/>
  <c r="CH324" i="3"/>
  <c r="DS324" i="3"/>
  <c r="DS343" i="3"/>
  <c r="CH343" i="3"/>
  <c r="BR210" i="3"/>
  <c r="BQ210" i="3"/>
  <c r="BS217" i="3"/>
  <c r="BR217" i="3"/>
  <c r="BR219" i="3"/>
  <c r="BS225" i="3"/>
  <c r="BR225" i="3"/>
  <c r="BQ225" i="3"/>
  <c r="CH226" i="3"/>
  <c r="DS231" i="3"/>
  <c r="CH237" i="3"/>
  <c r="DS237" i="3"/>
  <c r="DS247" i="3"/>
  <c r="CH247" i="3"/>
  <c r="DS275" i="3"/>
  <c r="CH275" i="3"/>
  <c r="CH309" i="3"/>
  <c r="DS309" i="3"/>
  <c r="CH313" i="3"/>
  <c r="DS313" i="3"/>
  <c r="CH316" i="3"/>
  <c r="DS316" i="3"/>
  <c r="BS323" i="3"/>
  <c r="BR323" i="3"/>
  <c r="BQ323" i="3"/>
  <c r="CH325" i="3"/>
  <c r="DS325" i="3"/>
  <c r="CH332" i="3"/>
  <c r="DS332" i="3"/>
  <c r="DS334" i="3"/>
  <c r="CH334" i="3"/>
  <c r="BQ221" i="3"/>
  <c r="BS229" i="3"/>
  <c r="BR229" i="3"/>
  <c r="BQ229" i="3"/>
  <c r="CH249" i="3"/>
  <c r="DS249" i="3"/>
  <c r="CH253" i="3"/>
  <c r="DS253" i="3"/>
  <c r="CH257" i="3"/>
  <c r="DS257" i="3"/>
  <c r="CH261" i="3"/>
  <c r="DS261" i="3"/>
  <c r="CH265" i="3"/>
  <c r="DS265" i="3"/>
  <c r="CH273" i="3"/>
  <c r="DS273" i="3"/>
  <c r="CH304" i="3"/>
  <c r="DS304" i="3"/>
  <c r="CH320" i="3"/>
  <c r="DS320" i="3"/>
  <c r="BQ139" i="3"/>
  <c r="BQ143" i="3"/>
  <c r="BQ147" i="3"/>
  <c r="BQ151" i="3"/>
  <c r="BQ155" i="3"/>
  <c r="BQ159" i="3"/>
  <c r="BQ163" i="3"/>
  <c r="BQ167" i="3"/>
  <c r="BQ171" i="3"/>
  <c r="BQ175" i="3"/>
  <c r="BQ179" i="3"/>
  <c r="BQ183" i="3"/>
  <c r="BQ187" i="3"/>
  <c r="BQ191" i="3"/>
  <c r="BQ195" i="3"/>
  <c r="BQ199" i="3"/>
  <c r="BQ203" i="3"/>
  <c r="BQ207" i="3"/>
  <c r="BQ211" i="3"/>
  <c r="BS233" i="3"/>
  <c r="BR233" i="3"/>
  <c r="BQ233" i="3"/>
  <c r="DS235" i="3"/>
  <c r="CH235" i="3"/>
  <c r="DS239" i="3"/>
  <c r="CH239" i="3"/>
  <c r="CH280" i="3"/>
  <c r="DS280" i="3"/>
  <c r="CH282" i="3"/>
  <c r="CH284" i="3"/>
  <c r="DS284" i="3"/>
  <c r="CH286" i="3"/>
  <c r="CH288" i="3"/>
  <c r="DS288" i="3"/>
  <c r="CH290" i="3"/>
  <c r="CH292" i="3"/>
  <c r="DS292" i="3"/>
  <c r="CH294" i="3"/>
  <c r="CH302" i="3"/>
  <c r="CH305" i="3"/>
  <c r="DS305" i="3"/>
  <c r="BS319" i="3"/>
  <c r="BR319" i="3"/>
  <c r="BQ319" i="3"/>
  <c r="CH241" i="3"/>
  <c r="DS241" i="3"/>
  <c r="DS251" i="3"/>
  <c r="CH251" i="3"/>
  <c r="DS255" i="3"/>
  <c r="CH255" i="3"/>
  <c r="DS259" i="3"/>
  <c r="CH259" i="3"/>
  <c r="DS263" i="3"/>
  <c r="CH263" i="3"/>
  <c r="DS267" i="3"/>
  <c r="CH267" i="3"/>
  <c r="DS271" i="3"/>
  <c r="CH271" i="3"/>
  <c r="CH281" i="3"/>
  <c r="DS281" i="3"/>
  <c r="CH285" i="3"/>
  <c r="DS285" i="3"/>
  <c r="CH289" i="3"/>
  <c r="DS289" i="3"/>
  <c r="CH293" i="3"/>
  <c r="DS293" i="3"/>
  <c r="CH300" i="3"/>
  <c r="DS300" i="3"/>
  <c r="DS317" i="3"/>
  <c r="CH321" i="3"/>
  <c r="DS321" i="3"/>
  <c r="DS240" i="3"/>
  <c r="DS244" i="3"/>
  <c r="DS248" i="3"/>
  <c r="DS268" i="3"/>
  <c r="CH329" i="3"/>
  <c r="DS329" i="3"/>
  <c r="CH337" i="3"/>
  <c r="DS337" i="3"/>
  <c r="CH368" i="3"/>
  <c r="DS368" i="3"/>
  <c r="CH383" i="3"/>
  <c r="DS383" i="3"/>
  <c r="DS398" i="3"/>
  <c r="CH398" i="3"/>
  <c r="CH399" i="3"/>
  <c r="DS399" i="3"/>
  <c r="DS401" i="3"/>
  <c r="CH401" i="3"/>
  <c r="BR492" i="3"/>
  <c r="BS492" i="3"/>
  <c r="BQ492" i="3"/>
  <c r="CH295" i="3"/>
  <c r="CH299" i="3"/>
  <c r="CH303" i="3"/>
  <c r="CH307" i="3"/>
  <c r="DS339" i="3"/>
  <c r="CH339" i="3"/>
  <c r="CH344" i="3"/>
  <c r="DS344" i="3"/>
  <c r="BS353" i="3"/>
  <c r="BR353" i="3"/>
  <c r="BQ353" i="3"/>
  <c r="CH371" i="3"/>
  <c r="DS371" i="3"/>
  <c r="BS403" i="3"/>
  <c r="BR403" i="3"/>
  <c r="BQ403" i="3"/>
  <c r="BQ408" i="3"/>
  <c r="BS408" i="3"/>
  <c r="BR408" i="3"/>
  <c r="DS418" i="3"/>
  <c r="CH418" i="3"/>
  <c r="DS452" i="3"/>
  <c r="CH452" i="3"/>
  <c r="CH482" i="3"/>
  <c r="DS482" i="3"/>
  <c r="BR485" i="3"/>
  <c r="BQ485" i="3"/>
  <c r="BS485" i="3"/>
  <c r="BQ237" i="3"/>
  <c r="BQ241" i="3"/>
  <c r="BQ245" i="3"/>
  <c r="BQ249" i="3"/>
  <c r="BQ253" i="3"/>
  <c r="BQ257" i="3"/>
  <c r="BQ261" i="3"/>
  <c r="BQ265" i="3"/>
  <c r="BQ269" i="3"/>
  <c r="BQ273" i="3"/>
  <c r="BQ277" i="3"/>
  <c r="BQ281" i="3"/>
  <c r="BQ285" i="3"/>
  <c r="BQ289" i="3"/>
  <c r="BQ293" i="3"/>
  <c r="BQ297" i="3"/>
  <c r="BQ301" i="3"/>
  <c r="BQ305" i="3"/>
  <c r="BQ309" i="3"/>
  <c r="BQ315" i="3"/>
  <c r="BR316" i="3"/>
  <c r="BQ316" i="3"/>
  <c r="BQ321" i="3"/>
  <c r="CH333" i="3"/>
  <c r="DS333" i="3"/>
  <c r="CH349" i="3"/>
  <c r="DS349" i="3"/>
  <c r="CH360" i="3"/>
  <c r="DS360" i="3"/>
  <c r="BS385" i="3"/>
  <c r="BR385" i="3"/>
  <c r="BQ385" i="3"/>
  <c r="CH387" i="3"/>
  <c r="DS387" i="3"/>
  <c r="BR430" i="3"/>
  <c r="BS430" i="3"/>
  <c r="BQ430" i="3"/>
  <c r="DS439" i="3"/>
  <c r="CH439" i="3"/>
  <c r="DS447" i="3"/>
  <c r="CH447" i="3"/>
  <c r="BR237" i="3"/>
  <c r="BR241" i="3"/>
  <c r="BR245" i="3"/>
  <c r="BR249" i="3"/>
  <c r="BR253" i="3"/>
  <c r="BR257" i="3"/>
  <c r="BR261" i="3"/>
  <c r="BR265" i="3"/>
  <c r="BR269" i="3"/>
  <c r="BR273" i="3"/>
  <c r="BR277" i="3"/>
  <c r="BR281" i="3"/>
  <c r="BR285" i="3"/>
  <c r="BR289" i="3"/>
  <c r="BR293" i="3"/>
  <c r="BR297" i="3"/>
  <c r="BR301" i="3"/>
  <c r="BR305" i="3"/>
  <c r="BR309" i="3"/>
  <c r="BR315" i="3"/>
  <c r="BR320" i="3"/>
  <c r="BQ320" i="3"/>
  <c r="BS321" i="3"/>
  <c r="DS327" i="3"/>
  <c r="CH327" i="3"/>
  <c r="DS335" i="3"/>
  <c r="CH335" i="3"/>
  <c r="CH340" i="3"/>
  <c r="DS340" i="3"/>
  <c r="CH351" i="3"/>
  <c r="DS351" i="3"/>
  <c r="CH363" i="3"/>
  <c r="DS363" i="3"/>
  <c r="CH375" i="3"/>
  <c r="DS375" i="3"/>
  <c r="BS377" i="3"/>
  <c r="BR377" i="3"/>
  <c r="BQ377" i="3"/>
  <c r="BS383" i="3"/>
  <c r="BR383" i="3"/>
  <c r="BQ383" i="3"/>
  <c r="DS386" i="3"/>
  <c r="CH386" i="3"/>
  <c r="BQ398" i="3"/>
  <c r="BS398" i="3"/>
  <c r="BR398" i="3"/>
  <c r="BQ416" i="3"/>
  <c r="BS416" i="3"/>
  <c r="BR416" i="3"/>
  <c r="DS455" i="3"/>
  <c r="CH455" i="3"/>
  <c r="BQ214" i="3"/>
  <c r="BQ218" i="3"/>
  <c r="BQ222" i="3"/>
  <c r="BQ226" i="3"/>
  <c r="BQ230" i="3"/>
  <c r="BQ234" i="3"/>
  <c r="BQ238" i="3"/>
  <c r="BQ242" i="3"/>
  <c r="BQ246" i="3"/>
  <c r="BQ250" i="3"/>
  <c r="BQ254" i="3"/>
  <c r="BQ258" i="3"/>
  <c r="BQ262" i="3"/>
  <c r="BQ266" i="3"/>
  <c r="BQ270" i="3"/>
  <c r="BQ274" i="3"/>
  <c r="BQ278" i="3"/>
  <c r="BQ282" i="3"/>
  <c r="BQ286" i="3"/>
  <c r="BQ290" i="3"/>
  <c r="BQ294" i="3"/>
  <c r="BQ298" i="3"/>
  <c r="BQ302" i="3"/>
  <c r="BQ306" i="3"/>
  <c r="CH345" i="3"/>
  <c r="DS345" i="3"/>
  <c r="CH352" i="3"/>
  <c r="DS352" i="3"/>
  <c r="DS390" i="3"/>
  <c r="CH390" i="3"/>
  <c r="DS394" i="3"/>
  <c r="CH394" i="3"/>
  <c r="DS403" i="3"/>
  <c r="CH440" i="3"/>
  <c r="DS440" i="3"/>
  <c r="CH499" i="3"/>
  <c r="DS499" i="3"/>
  <c r="BR298" i="3"/>
  <c r="BR302" i="3"/>
  <c r="BR306" i="3"/>
  <c r="DS319" i="3"/>
  <c r="CH322" i="3"/>
  <c r="DS323" i="3"/>
  <c r="BQ327" i="3"/>
  <c r="BS327" i="3"/>
  <c r="CH328" i="3"/>
  <c r="DS328" i="3"/>
  <c r="DS331" i="3"/>
  <c r="CH331" i="3"/>
  <c r="CH336" i="3"/>
  <c r="DS336" i="3"/>
  <c r="DS347" i="3"/>
  <c r="CH347" i="3"/>
  <c r="CH355" i="3"/>
  <c r="DS355" i="3"/>
  <c r="CH367" i="3"/>
  <c r="DS367" i="3"/>
  <c r="BS369" i="3"/>
  <c r="BR369" i="3"/>
  <c r="BQ369" i="3"/>
  <c r="CH384" i="3"/>
  <c r="DS384" i="3"/>
  <c r="CH400" i="3"/>
  <c r="DS400" i="3"/>
  <c r="BS325" i="3"/>
  <c r="BR325" i="3"/>
  <c r="CH341" i="3"/>
  <c r="DS341" i="3"/>
  <c r="CH346" i="3"/>
  <c r="BR352" i="3"/>
  <c r="BS352" i="3"/>
  <c r="BQ352" i="3"/>
  <c r="CH376" i="3"/>
  <c r="DS376" i="3"/>
  <c r="CH397" i="3"/>
  <c r="DS397" i="3"/>
  <c r="CH425" i="3"/>
  <c r="DS425" i="3"/>
  <c r="BR464" i="3"/>
  <c r="BS464" i="3"/>
  <c r="BQ464" i="3"/>
  <c r="DS467" i="3"/>
  <c r="CH467" i="3"/>
  <c r="BQ324" i="3"/>
  <c r="BQ328" i="3"/>
  <c r="BS331" i="3"/>
  <c r="BQ332" i="3"/>
  <c r="BS335" i="3"/>
  <c r="BQ336" i="3"/>
  <c r="BS339" i="3"/>
  <c r="BQ340" i="3"/>
  <c r="BS343" i="3"/>
  <c r="BQ344" i="3"/>
  <c r="BS347" i="3"/>
  <c r="BQ348" i="3"/>
  <c r="DS353" i="3"/>
  <c r="BQ355" i="3"/>
  <c r="DS361" i="3"/>
  <c r="BQ363" i="3"/>
  <c r="DS369" i="3"/>
  <c r="BQ371" i="3"/>
  <c r="DS377" i="3"/>
  <c r="BQ379" i="3"/>
  <c r="BS387" i="3"/>
  <c r="BS394" i="3"/>
  <c r="BQ399" i="3"/>
  <c r="DS405" i="3"/>
  <c r="DS410" i="3"/>
  <c r="BR418" i="3"/>
  <c r="BQ418" i="3"/>
  <c r="CH431" i="3"/>
  <c r="DS434" i="3"/>
  <c r="CH434" i="3"/>
  <c r="DS449" i="3"/>
  <c r="CH449" i="3"/>
  <c r="CH450" i="3"/>
  <c r="DS450" i="3"/>
  <c r="BR456" i="3"/>
  <c r="BS456" i="3"/>
  <c r="BQ456" i="3"/>
  <c r="CH469" i="3"/>
  <c r="BR472" i="3"/>
  <c r="BQ472" i="3"/>
  <c r="BS472" i="3"/>
  <c r="BR486" i="3"/>
  <c r="BS486" i="3"/>
  <c r="BQ486" i="3"/>
  <c r="BR386" i="3"/>
  <c r="CH393" i="3"/>
  <c r="BS397" i="3"/>
  <c r="BR397" i="3"/>
  <c r="BR399" i="3"/>
  <c r="CH404" i="3"/>
  <c r="CH420" i="3"/>
  <c r="DS420" i="3"/>
  <c r="DS429" i="3"/>
  <c r="CH460" i="3"/>
  <c r="DS478" i="3"/>
  <c r="CH491" i="3"/>
  <c r="DS491" i="3"/>
  <c r="CH498" i="3"/>
  <c r="DS498" i="3"/>
  <c r="BR500" i="3"/>
  <c r="BQ500" i="3"/>
  <c r="BS500" i="3"/>
  <c r="BS389" i="3"/>
  <c r="BR389" i="3"/>
  <c r="DS395" i="3"/>
  <c r="DS409" i="3"/>
  <c r="CH409" i="3"/>
  <c r="DS417" i="3"/>
  <c r="DS422" i="3"/>
  <c r="CH422" i="3"/>
  <c r="CH423" i="3"/>
  <c r="BR438" i="3"/>
  <c r="BS438" i="3"/>
  <c r="BQ438" i="3"/>
  <c r="BR440" i="3"/>
  <c r="BS440" i="3"/>
  <c r="BQ440" i="3"/>
  <c r="BR459" i="3"/>
  <c r="BS459" i="3"/>
  <c r="BQ459" i="3"/>
  <c r="DS477" i="3"/>
  <c r="CH487" i="3"/>
  <c r="DS487" i="3"/>
  <c r="D38" i="5"/>
  <c r="BR329" i="3"/>
  <c r="BR333" i="3"/>
  <c r="BR337" i="3"/>
  <c r="BR341" i="3"/>
  <c r="BR345" i="3"/>
  <c r="BR349" i="3"/>
  <c r="BS354" i="3"/>
  <c r="CH354" i="3"/>
  <c r="BS357" i="3"/>
  <c r="BR357" i="3"/>
  <c r="BS362" i="3"/>
  <c r="CH362" i="3"/>
  <c r="BS365" i="3"/>
  <c r="BR365" i="3"/>
  <c r="BS370" i="3"/>
  <c r="CH370" i="3"/>
  <c r="BS373" i="3"/>
  <c r="BR373" i="3"/>
  <c r="BS378" i="3"/>
  <c r="CH378" i="3"/>
  <c r="BS381" i="3"/>
  <c r="BR381" i="3"/>
  <c r="DS396" i="3"/>
  <c r="CH411" i="3"/>
  <c r="BQ412" i="3"/>
  <c r="BS412" i="3"/>
  <c r="DS443" i="3"/>
  <c r="CH443" i="3"/>
  <c r="BR451" i="3"/>
  <c r="BQ451" i="3"/>
  <c r="BS451" i="3"/>
  <c r="BQ453" i="3"/>
  <c r="BR453" i="3"/>
  <c r="BS453" i="3"/>
  <c r="BQ461" i="3"/>
  <c r="BS461" i="3"/>
  <c r="BR461" i="3"/>
  <c r="BR463" i="3"/>
  <c r="BS463" i="3"/>
  <c r="BR465" i="3"/>
  <c r="BQ465" i="3"/>
  <c r="CH466" i="3"/>
  <c r="DS466" i="3"/>
  <c r="BR471" i="3"/>
  <c r="BQ471" i="3"/>
  <c r="CH475" i="3"/>
  <c r="DS475" i="3"/>
  <c r="BS401" i="3"/>
  <c r="BR401" i="3"/>
  <c r="DS414" i="3"/>
  <c r="BR422" i="3"/>
  <c r="BS422" i="3"/>
  <c r="BQ422" i="3"/>
  <c r="CH436" i="3"/>
  <c r="DS436" i="3"/>
  <c r="DS437" i="3"/>
  <c r="CH442" i="3"/>
  <c r="DS442" i="3"/>
  <c r="DS458" i="3"/>
  <c r="DS468" i="3"/>
  <c r="CH468" i="3"/>
  <c r="CH474" i="3"/>
  <c r="DS474" i="3"/>
  <c r="DS356" i="3"/>
  <c r="DS364" i="3"/>
  <c r="DS372" i="3"/>
  <c r="DS380" i="3"/>
  <c r="BS390" i="3"/>
  <c r="BS393" i="3"/>
  <c r="BR393" i="3"/>
  <c r="BQ397" i="3"/>
  <c r="CH405" i="3"/>
  <c r="DS406" i="3"/>
  <c r="DS408" i="3"/>
  <c r="DS416" i="3"/>
  <c r="BR443" i="3"/>
  <c r="BS443" i="3"/>
  <c r="BQ443" i="3"/>
  <c r="DS456" i="3"/>
  <c r="DS464" i="3"/>
  <c r="CH464" i="3"/>
  <c r="DS472" i="3"/>
  <c r="BR496" i="3"/>
  <c r="BS496" i="3"/>
  <c r="BQ496" i="3"/>
  <c r="BR358" i="3"/>
  <c r="BR366" i="3"/>
  <c r="BR374" i="3"/>
  <c r="BR382" i="3"/>
  <c r="BR402" i="3"/>
  <c r="DS413" i="3"/>
  <c r="CH413" i="3"/>
  <c r="BR439" i="3"/>
  <c r="BQ439" i="3"/>
  <c r="DS448" i="3"/>
  <c r="CH448" i="3"/>
  <c r="DS454" i="3"/>
  <c r="BS460" i="3"/>
  <c r="BQ460" i="3"/>
  <c r="CH470" i="3"/>
  <c r="DS470" i="3"/>
  <c r="CH479" i="3"/>
  <c r="DS479" i="3"/>
  <c r="CH486" i="3"/>
  <c r="DS486" i="3"/>
  <c r="CH490" i="3"/>
  <c r="DS490" i="3"/>
  <c r="CH494" i="3"/>
  <c r="DS494" i="3"/>
  <c r="BQ404" i="3"/>
  <c r="BS404" i="3"/>
  <c r="BQ431" i="3"/>
  <c r="BS431" i="3"/>
  <c r="DS446" i="3"/>
  <c r="DS473" i="3"/>
  <c r="DS484" i="3"/>
  <c r="CH484" i="3"/>
  <c r="DS500" i="3"/>
  <c r="BQ423" i="3"/>
  <c r="BS423" i="3"/>
  <c r="DS432" i="3"/>
  <c r="BQ446" i="3"/>
  <c r="BS446" i="3"/>
  <c r="BS452" i="3"/>
  <c r="BR452" i="3"/>
  <c r="BQ462" i="3"/>
  <c r="BS462" i="3"/>
  <c r="DS462" i="3"/>
  <c r="DS465" i="3"/>
  <c r="BR498" i="3"/>
  <c r="BQ498" i="3"/>
  <c r="DS421" i="3"/>
  <c r="DS426" i="3"/>
  <c r="BQ445" i="3"/>
  <c r="BS445" i="3"/>
  <c r="BR447" i="3"/>
  <c r="BS447" i="3"/>
  <c r="DS463" i="3"/>
  <c r="CH480" i="3"/>
  <c r="DS480" i="3"/>
  <c r="BR489" i="3"/>
  <c r="BS489" i="3"/>
  <c r="BR497" i="3"/>
  <c r="BS497" i="3"/>
  <c r="BQ444" i="3"/>
  <c r="BQ467" i="3"/>
  <c r="BR487" i="3"/>
  <c r="BS487" i="3"/>
  <c r="BQ491" i="3"/>
  <c r="BR493" i="3"/>
  <c r="BQ493" i="3"/>
  <c r="BQ494" i="3"/>
  <c r="BQ495" i="3"/>
  <c r="BQ407" i="3"/>
  <c r="DS481" i="3"/>
  <c r="DS485" i="3"/>
  <c r="BR499" i="3"/>
  <c r="BQ499" i="3"/>
  <c r="BR481" i="3"/>
  <c r="BS481" i="3"/>
  <c r="BR488" i="3"/>
  <c r="BS488" i="3"/>
  <c r="DS493" i="3"/>
  <c r="DS489" i="3"/>
  <c r="O47" i="8"/>
  <c r="G54" i="8" s="1"/>
  <c r="E54" i="8"/>
  <c r="E52" i="8"/>
  <c r="O44" i="8"/>
  <c r="G52" i="8" s="1"/>
  <c r="E53" i="8"/>
  <c r="O46" i="8"/>
  <c r="G53" i="8" s="1"/>
  <c r="H53" i="8" s="1"/>
  <c r="E10" i="8"/>
  <c r="G10" i="5"/>
  <c r="J11" i="5"/>
  <c r="E12" i="5"/>
  <c r="M12" i="5"/>
  <c r="H13" i="5"/>
  <c r="C14" i="5"/>
  <c r="K14" i="5"/>
  <c r="F15" i="5"/>
  <c r="N15" i="5"/>
  <c r="D21" i="5"/>
  <c r="L21" i="5"/>
  <c r="G22" i="5"/>
  <c r="J23" i="5"/>
  <c r="E24" i="5"/>
  <c r="M24" i="5"/>
  <c r="H25" i="5"/>
  <c r="C26" i="5"/>
  <c r="K26" i="5"/>
  <c r="F27" i="5"/>
  <c r="N27" i="5"/>
  <c r="D32" i="5"/>
  <c r="G33" i="5"/>
  <c r="C37" i="5"/>
  <c r="F38" i="5"/>
  <c r="E11" i="8"/>
  <c r="D53" i="8"/>
  <c r="F9" i="5"/>
  <c r="N9" i="5"/>
  <c r="I10" i="5"/>
  <c r="D11" i="5"/>
  <c r="L11" i="5"/>
  <c r="L16" i="5" s="1"/>
  <c r="G12" i="5"/>
  <c r="J13" i="5"/>
  <c r="E14" i="5"/>
  <c r="M14" i="5"/>
  <c r="H15" i="5"/>
  <c r="F21" i="5"/>
  <c r="N21" i="5"/>
  <c r="N28" i="5" s="1"/>
  <c r="I22" i="5"/>
  <c r="D23" i="5"/>
  <c r="L23" i="5"/>
  <c r="G24" i="5"/>
  <c r="J25" i="5"/>
  <c r="E26" i="5"/>
  <c r="M26" i="5"/>
  <c r="H27" i="5"/>
  <c r="D34" i="5"/>
  <c r="G35" i="5"/>
  <c r="E37" i="5"/>
  <c r="G9" i="5"/>
  <c r="G16" i="5" s="1"/>
  <c r="J10" i="5"/>
  <c r="E11" i="5"/>
  <c r="M11" i="5"/>
  <c r="H12" i="5"/>
  <c r="C13" i="5"/>
  <c r="K13" i="5"/>
  <c r="F14" i="5"/>
  <c r="N14" i="5"/>
  <c r="I15" i="5"/>
  <c r="G21" i="5"/>
  <c r="J22" i="5"/>
  <c r="E23" i="5"/>
  <c r="M23" i="5"/>
  <c r="H24" i="5"/>
  <c r="C25" i="5"/>
  <c r="K25" i="5"/>
  <c r="F26" i="5"/>
  <c r="N26" i="5"/>
  <c r="I27" i="5"/>
  <c r="G32" i="5"/>
  <c r="C36" i="5"/>
  <c r="F37" i="5"/>
  <c r="E14" i="8"/>
  <c r="D52" i="8"/>
  <c r="H9" i="5"/>
  <c r="C10" i="5"/>
  <c r="O10" i="5" s="1"/>
  <c r="K10" i="5"/>
  <c r="K16" i="5" s="1"/>
  <c r="F11" i="5"/>
  <c r="N11" i="5"/>
  <c r="I12" i="5"/>
  <c r="D13" i="5"/>
  <c r="L13" i="5"/>
  <c r="G14" i="5"/>
  <c r="J15" i="5"/>
  <c r="H21" i="5"/>
  <c r="C22" i="5"/>
  <c r="K22" i="5"/>
  <c r="F23" i="5"/>
  <c r="N23" i="5"/>
  <c r="I24" i="5"/>
  <c r="D25" i="5"/>
  <c r="L25" i="5"/>
  <c r="G26" i="5"/>
  <c r="J27" i="5"/>
  <c r="C33" i="5"/>
  <c r="D36" i="5"/>
  <c r="G37" i="5"/>
  <c r="E8" i="8"/>
  <c r="E15" i="8" s="1"/>
  <c r="J9" i="5"/>
  <c r="E10" i="5"/>
  <c r="E16" i="5" s="1"/>
  <c r="M10" i="5"/>
  <c r="M16" i="5" s="1"/>
  <c r="H11" i="5"/>
  <c r="C12" i="5"/>
  <c r="K12" i="5"/>
  <c r="F13" i="5"/>
  <c r="N13" i="5"/>
  <c r="I14" i="5"/>
  <c r="I16" i="5" s="1"/>
  <c r="D15" i="5"/>
  <c r="O15" i="5" s="1"/>
  <c r="L15" i="5"/>
  <c r="J21" i="5"/>
  <c r="J28" i="5" s="1"/>
  <c r="E22" i="5"/>
  <c r="M22" i="5"/>
  <c r="H23" i="5"/>
  <c r="C24" i="5"/>
  <c r="K24" i="5"/>
  <c r="F25" i="5"/>
  <c r="N25" i="5"/>
  <c r="I26" i="5"/>
  <c r="D27" i="5"/>
  <c r="L27" i="5"/>
  <c r="C35" i="5"/>
  <c r="BS22" i="3" l="1"/>
  <c r="BT22" i="3"/>
  <c r="CA22" i="3" s="1"/>
  <c r="BR22" i="3"/>
  <c r="BQ22" i="3"/>
  <c r="CP22" i="3"/>
  <c r="CP16" i="3"/>
  <c r="K28" i="5"/>
  <c r="BS26" i="3"/>
  <c r="BT26" i="3"/>
  <c r="CA26" i="3" s="1"/>
  <c r="BQ26" i="3"/>
  <c r="BR26" i="3"/>
  <c r="CB27" i="3"/>
  <c r="DQ27" i="3"/>
  <c r="H16" i="5"/>
  <c r="G28" i="5"/>
  <c r="F28" i="5"/>
  <c r="O14" i="5"/>
  <c r="F53" i="8"/>
  <c r="BQ25" i="3"/>
  <c r="BS25" i="3"/>
  <c r="BR25" i="3"/>
  <c r="BT25" i="3"/>
  <c r="CA25" i="3" s="1"/>
  <c r="CP26" i="3"/>
  <c r="F36" i="5" s="1"/>
  <c r="CA21" i="3"/>
  <c r="O24" i="5"/>
  <c r="N16" i="5"/>
  <c r="G55" i="8"/>
  <c r="H52" i="8"/>
  <c r="BT30" i="3"/>
  <c r="CA30" i="3" s="1"/>
  <c r="BS30" i="3"/>
  <c r="BR30" i="3"/>
  <c r="BQ30" i="3"/>
  <c r="E36" i="5"/>
  <c r="BS23" i="3"/>
  <c r="BQ23" i="3"/>
  <c r="BT23" i="3"/>
  <c r="CA23" i="3" s="1"/>
  <c r="BR23" i="3"/>
  <c r="BQ17" i="3"/>
  <c r="CP17" i="3" s="1"/>
  <c r="BT17" i="3"/>
  <c r="BS17" i="3"/>
  <c r="BR17" i="3"/>
  <c r="DQ28" i="3"/>
  <c r="CB28" i="3"/>
  <c r="DQ24" i="3"/>
  <c r="CB24" i="3"/>
  <c r="F16" i="5"/>
  <c r="E55" i="8"/>
  <c r="F52" i="8"/>
  <c r="O27" i="5"/>
  <c r="O21" i="5"/>
  <c r="C28" i="5"/>
  <c r="CB31" i="3"/>
  <c r="DQ31" i="3"/>
  <c r="CP23" i="3"/>
  <c r="J16" i="5"/>
  <c r="O11" i="5"/>
  <c r="O12" i="5"/>
  <c r="O25" i="5"/>
  <c r="L28" i="5"/>
  <c r="D16" i="5"/>
  <c r="M28" i="5"/>
  <c r="I28" i="5"/>
  <c r="BQ18" i="3"/>
  <c r="CP18" i="3" s="1"/>
  <c r="BT18" i="3"/>
  <c r="CA18" i="3" s="1"/>
  <c r="BS18" i="3"/>
  <c r="BR18" i="3"/>
  <c r="D28" i="5"/>
  <c r="CP30" i="3"/>
  <c r="O23" i="5"/>
  <c r="BS16" i="3"/>
  <c r="BQ16" i="3"/>
  <c r="BR16" i="3"/>
  <c r="BT16" i="3"/>
  <c r="CA16" i="3" s="1"/>
  <c r="BM32" i="3"/>
  <c r="CA14" i="3"/>
  <c r="O22" i="5"/>
  <c r="O13" i="5"/>
  <c r="O26" i="5"/>
  <c r="F54" i="8"/>
  <c r="C16" i="5"/>
  <c r="DQ29" i="3"/>
  <c r="CB29" i="3"/>
  <c r="CG29" i="3" s="1"/>
  <c r="BT15" i="3"/>
  <c r="BQ15" i="3"/>
  <c r="CP15" i="3" s="1"/>
  <c r="BS15" i="3"/>
  <c r="BR15" i="3"/>
  <c r="CP25" i="3"/>
  <c r="BS19" i="3"/>
  <c r="BT19" i="3"/>
  <c r="BR19" i="3"/>
  <c r="BQ19" i="3"/>
  <c r="CP19" i="3"/>
  <c r="BM13" i="3"/>
  <c r="CB20" i="3"/>
  <c r="CG20" i="3" s="1"/>
  <c r="DQ20" i="3"/>
  <c r="H28" i="5"/>
  <c r="H54" i="8"/>
  <c r="O9" i="5"/>
  <c r="E28" i="5"/>
  <c r="CA12" i="3"/>
  <c r="E32" i="5" l="1"/>
  <c r="F32" i="5"/>
  <c r="BT13" i="3"/>
  <c r="BS13" i="3"/>
  <c r="BR13" i="3"/>
  <c r="BQ13" i="3"/>
  <c r="CP13" i="3" s="1"/>
  <c r="CB16" i="3"/>
  <c r="CG16" i="3" s="1"/>
  <c r="DQ16" i="3"/>
  <c r="DQ18" i="3"/>
  <c r="CB18" i="3"/>
  <c r="CG18" i="3" s="1"/>
  <c r="DS20" i="3"/>
  <c r="CH20" i="3"/>
  <c r="F35" i="5"/>
  <c r="E35" i="5"/>
  <c r="CA17" i="3"/>
  <c r="DQ21" i="3"/>
  <c r="CB21" i="3"/>
  <c r="CG21" i="3" s="1"/>
  <c r="CG24" i="3"/>
  <c r="CE24" i="3"/>
  <c r="DQ25" i="3"/>
  <c r="CB25" i="3"/>
  <c r="DQ12" i="3"/>
  <c r="CB12" i="3"/>
  <c r="CG12" i="3" s="1"/>
  <c r="CA15" i="3"/>
  <c r="CB23" i="3"/>
  <c r="DQ23" i="3"/>
  <c r="O16" i="5"/>
  <c r="DQ14" i="3"/>
  <c r="CB14" i="3"/>
  <c r="CG14" i="3" s="1"/>
  <c r="CG28" i="3"/>
  <c r="CE28" i="3"/>
  <c r="CG27" i="3"/>
  <c r="CE27" i="3"/>
  <c r="DQ30" i="3"/>
  <c r="CB30" i="3"/>
  <c r="CG30" i="3" s="1"/>
  <c r="E34" i="5"/>
  <c r="F34" i="5"/>
  <c r="CG31" i="3"/>
  <c r="CE31" i="3"/>
  <c r="CA19" i="3"/>
  <c r="DS29" i="3"/>
  <c r="CH29" i="3"/>
  <c r="BS32" i="3"/>
  <c r="BR32" i="3"/>
  <c r="BQ32" i="3"/>
  <c r="BT32" i="3"/>
  <c r="CA32" i="3" s="1"/>
  <c r="CP32" i="3"/>
  <c r="B103" i="4" s="1"/>
  <c r="O28" i="5"/>
  <c r="DQ22" i="3"/>
  <c r="CB22" i="3"/>
  <c r="DQ26" i="3"/>
  <c r="CB26" i="3"/>
  <c r="E33" i="5" l="1"/>
  <c r="F33" i="5"/>
  <c r="CH31" i="3"/>
  <c r="DS31" i="3"/>
  <c r="B104" i="4"/>
  <c r="DS14" i="3"/>
  <c r="CH14" i="3"/>
  <c r="DQ17" i="3"/>
  <c r="CB17" i="3"/>
  <c r="CG17" i="3" s="1"/>
  <c r="DS16" i="3"/>
  <c r="CH16" i="3"/>
  <c r="CG26" i="3"/>
  <c r="CE26" i="3"/>
  <c r="CH30" i="3"/>
  <c r="DS30" i="3"/>
  <c r="CG23" i="3"/>
  <c r="CE23" i="3"/>
  <c r="DQ32" i="3"/>
  <c r="CB32" i="3"/>
  <c r="CG32" i="3" s="1"/>
  <c r="CG25" i="3"/>
  <c r="CE25" i="3"/>
  <c r="CG22" i="3"/>
  <c r="CE22" i="3"/>
  <c r="DQ19" i="3"/>
  <c r="CB19" i="3"/>
  <c r="CG19" i="3" s="1"/>
  <c r="DS27" i="3"/>
  <c r="CH27" i="3"/>
  <c r="CB15" i="3"/>
  <c r="CG15" i="3" s="1"/>
  <c r="DQ15" i="3"/>
  <c r="DS24" i="3"/>
  <c r="CH24" i="3"/>
  <c r="DS18" i="3"/>
  <c r="CH18" i="3"/>
  <c r="CA13" i="3"/>
  <c r="DS28" i="3"/>
  <c r="CH28" i="3"/>
  <c r="CH12" i="3"/>
  <c r="DS12" i="3"/>
  <c r="DS21" i="3"/>
  <c r="CH21" i="3"/>
  <c r="DS17" i="3" l="1"/>
  <c r="CH17" i="3"/>
  <c r="DS23" i="3"/>
  <c r="CH23" i="3"/>
  <c r="DQ13" i="3"/>
  <c r="CB13" i="3"/>
  <c r="CG13" i="3" s="1"/>
  <c r="D40" i="4"/>
  <c r="E39" i="4"/>
  <c r="D49" i="4"/>
  <c r="B64" i="4"/>
  <c r="B65" i="4" s="1"/>
  <c r="E42" i="4"/>
  <c r="B23" i="4"/>
  <c r="B79" i="4"/>
  <c r="B24" i="4"/>
  <c r="D41" i="4"/>
  <c r="B41" i="4"/>
  <c r="D47" i="4"/>
  <c r="D42" i="4"/>
  <c r="C79" i="4"/>
  <c r="B60" i="4"/>
  <c r="B69" i="4"/>
  <c r="B28" i="4"/>
  <c r="B25" i="4"/>
  <c r="B30" i="4"/>
  <c r="F40" i="4"/>
  <c r="D70" i="4"/>
  <c r="E41" i="4"/>
  <c r="D48" i="4"/>
  <c r="E48" i="4" s="1"/>
  <c r="B12" i="4"/>
  <c r="E40" i="4"/>
  <c r="B26" i="4"/>
  <c r="D68" i="4"/>
  <c r="B40" i="4"/>
  <c r="F39" i="4"/>
  <c r="B68" i="4"/>
  <c r="B22" i="4"/>
  <c r="D79" i="4"/>
  <c r="B49" i="4"/>
  <c r="C49" i="4" s="1"/>
  <c r="B29" i="4"/>
  <c r="B70" i="4"/>
  <c r="C70" i="4" s="1"/>
  <c r="B48" i="4"/>
  <c r="D39" i="4"/>
  <c r="D13" i="4"/>
  <c r="E13" i="4" s="1"/>
  <c r="B61" i="4"/>
  <c r="C61" i="4" s="1"/>
  <c r="B47" i="4"/>
  <c r="B59" i="4"/>
  <c r="B39" i="4"/>
  <c r="B27" i="4"/>
  <c r="D12" i="4"/>
  <c r="B42" i="4"/>
  <c r="F41" i="4"/>
  <c r="F42" i="4"/>
  <c r="D69" i="4"/>
  <c r="D11" i="4"/>
  <c r="B13" i="4"/>
  <c r="B11" i="4"/>
  <c r="DS22" i="3"/>
  <c r="CH22" i="3"/>
  <c r="DS15" i="3"/>
  <c r="CH15" i="3"/>
  <c r="DS25" i="3"/>
  <c r="CH25" i="3"/>
  <c r="DS26" i="3"/>
  <c r="CH26" i="3"/>
  <c r="DS32" i="3"/>
  <c r="CH32" i="3"/>
  <c r="CH19" i="3"/>
  <c r="DS19" i="3"/>
  <c r="E11" i="4" l="1"/>
  <c r="E14" i="4" s="1"/>
  <c r="D14" i="4"/>
  <c r="B62" i="4"/>
  <c r="C59" i="4"/>
  <c r="CH13" i="3"/>
  <c r="DS13" i="3"/>
  <c r="E69" i="4"/>
  <c r="C47" i="4"/>
  <c r="C12" i="4"/>
  <c r="C69" i="4"/>
  <c r="C60" i="4"/>
  <c r="C13" i="4"/>
  <c r="C68" i="4"/>
  <c r="B14" i="4"/>
  <c r="B16" i="4" s="1"/>
  <c r="C11" i="4"/>
  <c r="C14" i="4" s="1"/>
  <c r="E68" i="4"/>
  <c r="B71" i="4"/>
  <c r="E70" i="4"/>
  <c r="E12" i="4"/>
  <c r="C48" i="4"/>
  <c r="E47" i="4"/>
  <c r="B50" i="4"/>
  <c r="E49" i="4"/>
  <c r="C40" i="4" l="1"/>
  <c r="C39" i="4"/>
  <c r="C41" i="4"/>
  <c r="B44" i="4" s="1"/>
  <c r="C42" i="4"/>
  <c r="B31" i="4"/>
  <c r="B72" i="4"/>
  <c r="B87" i="4"/>
  <c r="B85" i="4"/>
  <c r="B17" i="4"/>
  <c r="B77" i="4" s="1"/>
  <c r="B78" i="4" s="1"/>
  <c r="B84" i="4"/>
  <c r="B86" i="4" s="1"/>
  <c r="B18" i="4" l="1"/>
  <c r="B4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200-000001000000}">
      <text>
        <r>
          <rPr>
            <sz val="10"/>
            <rFont val="Arial"/>
            <family val="2"/>
          </rPr>
          <t>Category codes follow the Indicator Code Legend: 01 Biological/ Ecological (01-PLT plant-based, 01-ANI animal-based); 02 Atmospheric/ Physical/ Meteorological; 03 Astronomical/ Astrological/ Celestial; 04 Hydrological/ Water-related; 05 Traditional ritual/ divinatory/ hidden indicators; 06 Sensory/ human body physiological. (Older sheets numbered these 1–6 in a different order — use these codes.)</t>
        </r>
      </text>
    </comment>
    <comment ref="B2" authorId="0" shapeId="0" xr:uid="{00000000-0006-0000-0200-00000A000000}">
      <text>
        <r>
          <rPr>
            <sz val="10"/>
            <rFont val="Arial"/>
            <family val="2"/>
          </rPr>
          <t xml:space="preserve">Armil:
Level 2 TILKIT coding structure – Indicator type (indicator grouping)
1. Clouds 
2. Wind 
3. Temperature 
4. Birds 
5. Insects 
6. Plants 
7. Mammals 
8. Stars 
9. Moon 
10. Sun 
11. etc. </t>
        </r>
      </text>
    </comment>
    <comment ref="C2" authorId="0" shapeId="0" xr:uid="{00000000-0006-0000-0200-000011000000}">
      <text>
        <r>
          <rPr>
            <sz val="10"/>
            <rFont val="Arial"/>
            <family val="2"/>
          </rPr>
          <t xml:space="preserve">Armil: 
Groups: 
1. amphibians; 
2. animal-visibility/viscera indicators 
3. ant activity 
4. bird behaviour, 
5. bird calls 
6. bird flocking 
7. bird migration 
8. bird nesting 
9. body sensations, 
10. butterfly abundance 
11. cloud colour 
12. cloud cover 
13. cloud type 
14. daytime temperature 
15. dew/humidity
16. divination / 
17. dreams and indigenous seasonal calendars
18. fish; 
19. foam (in water body); 
20. fog  
21. frog activity 
22. fruit formation 
23. groundwater signs
24. Human sensitivity (specify)
25. insects; 
26. lake condition 
27. leaf changes, 
28. leaf emergence 
29. lightning 
30. lightning/ thunder; 
31. livestock behaviour 
32. mist/ fog
33. Moon (lunar phase); 
34. moon orientation 
35. night-time temperature 
36. nimbus clouds, 
37. other environmental changes (specify)
38. Plants/ crops/ trees; 
39. rainbow; 
40. rainfall; 
41. reptiles
42. ritual observations/animal viscera (liver; spleen; intestines)
43. river flow 
44. sky (solar appearance)
45. smell 
46. snakes 
47. springs; 
48. star-moon alignment/ constellation patterns 
49. star alignment (constellations); 
50. sun-moon relationships; 
51. temperature; 
52. termite activity 
53. thunder 
54. tree flowering 
55. water colour; 
56. Water level; 
57. waves; 
58. wetlands; 
59. wildlife movement 
60. wind circulation 
61. wind direction 
62. wind strength 
</t>
        </r>
      </text>
    </comment>
    <comment ref="D2" authorId="0" shapeId="0" xr:uid="{00000000-0006-0000-0200-000013000000}">
      <text>
        <r>
          <rPr>
            <sz val="10"/>
            <rFont val="Arial"/>
            <family val="2"/>
          </rPr>
          <t xml:space="preserve">Armil:
Level 3 TILKIT coding structure – Specific observable indicator (actual description of what is observed)
1. e.g. dark cumulonimbus cloud 
2. east-to-west wind 
3. very warm night 
4. frog croaking 
5. tree flowering 
6. red-ant emergence 
7. star assemblage 
8. etc. </t>
        </r>
      </text>
    </comment>
    <comment ref="A3" authorId="0" shapeId="0" xr:uid="{00000000-0006-0000-0200-000002000000}">
      <text>
        <r>
          <rPr>
            <sz val="10"/>
            <rFont val="Arial"/>
            <family val="2"/>
          </rPr>
          <t>Armil:
Nature of Indicator:
1. Biological/ Ecological    
2. Atmospheric/ Meteorological 
3. Astronomical/ Celestial
4. Hydrological/ Water
5. Cultural/traditional/ritual
6. Sensory indicators</t>
        </r>
      </text>
    </comment>
    <comment ref="BG3" authorId="0" shapeId="0" xr:uid="{00000000-0006-0000-0200-000014000000}">
      <text>
        <r>
          <rPr>
            <sz val="10"/>
            <rFont val="Arial"/>
            <family val="2"/>
          </rPr>
          <t>Use this section, aggregated across all entries over time, to periodically audit whether the full range of community demographics (gender, generation, livelihood, disability) is actually represented in who contributes to the log — not only to tag individual entries. A pattern of one group's voice dominating the dataset is itself a finding that should prompt a facilitation change, not just a data point.</t>
        </r>
      </text>
    </comment>
    <comment ref="BL3" authorId="0" shapeId="0" xr:uid="{00000000-0006-0000-0200-000015000000}">
      <text>
        <r>
          <rPr>
            <sz val="10"/>
            <rFont val="Arial"/>
            <family val="2"/>
          </rPr>
          <t>Calculated automatically from the Unique Indicator ID (col AH), Confirmed (col AC), Approved (col AD) and Outcome (col AZ) across every logged season and site for that indicator. Do not type into these columns.</t>
        </r>
      </text>
    </comment>
    <comment ref="BU3" authorId="0" shapeId="0" xr:uid="{00000000-0006-0000-0200-000016000000}">
      <text>
        <r>
          <rPr>
            <sz val="10"/>
            <rFont val="Arial"/>
            <family val="2"/>
          </rPr>
          <t>These fields do not hold the full content of a risk assessment or action plan — that content lives in separate documents (the Integrated Consensus Forecast Statement, Gender-Responsive Advisory/AAP templates, Resilience/Contingency Plan documents, and the Community Representatives/ Intermediary Officer/ Integrated Action Plans). BC–BE let the log capture a compact hazard/risk/ impact/opportunity summary directly; BF–BH are short Action references only — the full Action Plan itself is always a separate document, outside this log, that these fields simply point to.</t>
        </r>
      </text>
    </comment>
    <comment ref="CA3" authorId="0" shapeId="0" xr:uid="{00000000-0006-0000-0200-000017000000}">
      <text>
        <r>
          <rPr>
            <sz val="10"/>
            <rFont val="Arial"/>
            <family val="2"/>
          </rPr>
          <t>Base Weight and Final Weight implement Steps 2–4 of the TILKIT Indicator Weighting Protocol: phase (col BT), base weight from the current rating (3/2/1/0) or hit-rate band, corroboration cap of 2 below 2 corroborating records, then × Decision relevance. Step 5 (composite screening) stays a facilitator judgement recorded in col BA.</t>
        </r>
      </text>
    </comment>
    <comment ref="A5" authorId="0" shapeId="0" xr:uid="{00000000-0006-0000-0200-000003000000}">
      <text>
        <r>
          <rPr>
            <sz val="10"/>
            <rFont val="Arial"/>
            <family val="2"/>
          </rPr>
          <t>Armil:
Most widely documented category globally</t>
        </r>
      </text>
    </comment>
    <comment ref="B5" authorId="0" shapeId="0" xr:uid="{00000000-0006-0000-0200-00000B000000}">
      <text>
        <r>
          <rPr>
            <sz val="10"/>
            <rFont val="Arial"/>
            <family val="2"/>
          </rPr>
          <t>Armil:
local flora and fauna calendars</t>
        </r>
      </text>
    </comment>
    <comment ref="A6" authorId="0" shapeId="0" xr:uid="{00000000-0006-0000-0200-000004000000}">
      <text>
        <r>
          <rPr>
            <sz val="10"/>
            <rFont val="Arial"/>
            <family val="2"/>
          </rPr>
          <t>Armil:
Most widely documented category globally</t>
        </r>
      </text>
    </comment>
    <comment ref="B6" authorId="0" shapeId="0" xr:uid="{00000000-0006-0000-0200-00000C000000}">
      <text>
        <r>
          <rPr>
            <sz val="10"/>
            <rFont val="Arial"/>
            <family val="2"/>
          </rPr>
          <t>Armil:
local flora and fauna calendars</t>
        </r>
      </text>
    </comment>
    <comment ref="A7" authorId="0" shapeId="0" xr:uid="{00000000-0006-0000-0200-000005000000}">
      <text>
        <r>
          <rPr>
            <sz val="10"/>
            <rFont val="Arial"/>
            <family val="2"/>
          </rPr>
          <t>Category order was realigned on 13 Oct 2026 to: 01 Biological/ Ecological (01-PLT, 01-ANI), 02 Atmospheric, 03 Astronomical, 04 Hydrological, 05 Ritual, 06 Sensory. Use the Indicator Code Legend.</t>
        </r>
      </text>
    </comment>
    <comment ref="B7" authorId="0" shapeId="0" xr:uid="{00000000-0006-0000-0200-00000D000000}">
      <text>
        <r>
          <rPr>
            <sz val="10"/>
            <rFont val="Arial"/>
            <family val="2"/>
          </rPr>
          <t>Armil:
most accessible to ordinary users</t>
        </r>
      </text>
    </comment>
    <comment ref="C7" authorId="0" shapeId="0" xr:uid="{00000000-0006-0000-0200-000012000000}">
      <text>
        <r>
          <rPr>
            <sz val="10"/>
            <rFont val="Arial"/>
            <family val="2"/>
          </rPr>
          <t>Armil:
the day-to-day layer of weather ITK</t>
        </r>
      </text>
    </comment>
    <comment ref="A8" authorId="0" shapeId="0" xr:uid="{00000000-0006-0000-0200-000006000000}">
      <text>
        <r>
          <rPr>
            <sz val="10"/>
            <rFont val="Arial"/>
            <family val="2"/>
          </rPr>
          <t>Armil:
usually tied to seasonal calendars</t>
        </r>
      </text>
    </comment>
    <comment ref="B8" authorId="0" shapeId="0" xr:uid="{00000000-0006-0000-0200-00000E000000}">
      <text>
        <r>
          <rPr>
            <sz val="10"/>
            <rFont val="Arial"/>
            <family val="2"/>
          </rPr>
          <t>Armil:
more expert-held</t>
        </r>
      </text>
    </comment>
    <comment ref="A9" authorId="0" shapeId="0" xr:uid="{00000000-0006-0000-0200-000007000000}">
      <text>
        <r>
          <rPr>
            <sz val="10"/>
            <rFont val="Arial"/>
            <family val="2"/>
          </rPr>
          <t>Armil:
To separate the hydroological categrory to stand alone and not be nested under the atmospheric category</t>
        </r>
      </text>
    </comment>
    <comment ref="A10" authorId="0" shapeId="0" xr:uid="{00000000-0006-0000-0200-000008000000}">
      <text>
        <r>
          <rPr>
            <sz val="10"/>
            <rFont val="Arial"/>
            <family val="2"/>
          </rPr>
          <t>Armil:
Least widespread; restricted to specialist experts</t>
        </r>
      </text>
    </comment>
    <comment ref="B10" authorId="0" shapeId="0" xr:uid="{00000000-0006-0000-0200-00000F000000}">
      <text>
        <r>
          <rPr>
            <sz val="10"/>
            <rFont val="Arial"/>
            <family val="2"/>
          </rPr>
          <t>Armil:
these are the indicators most likely to be specialist-held, contested, or declining - these are exactly where the do-no-harm and consent flags matter most</t>
        </r>
      </text>
    </comment>
    <comment ref="A11" authorId="0" shapeId="0" xr:uid="{00000000-0006-0000-0200-000009000000}">
      <text>
        <r>
          <rPr>
            <sz val="10"/>
            <rFont val="Arial"/>
            <family val="2"/>
          </rPr>
          <t>Armil:
Documented but sporadic and secondary.</t>
        </r>
      </text>
    </comment>
    <comment ref="B11" authorId="0" shapeId="0" xr:uid="{00000000-0006-0000-0200-000010000000}">
      <text>
        <r>
          <rPr>
            <sz val="10"/>
            <rFont val="Arial"/>
            <family val="2"/>
          </rPr>
          <t>Armil:
these are the indicators most likely to be specialist-held, contested, or declining - these are exactly where the do-no-harm and consent flags matter most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300-000001000000}">
      <text>
        <r>
          <rPr>
            <sz val="10"/>
            <rFont val="Arial"/>
            <family val="2"/>
          </rPr>
          <t>Type the Community/ Site exactly as in the log column AI (e.g., Mutirithia). Capital letters are ignored, but spaces and spelling must match.</t>
        </r>
      </text>
    </comment>
    <comment ref="B4" authorId="0" shapeId="0" xr:uid="{00000000-0006-0000-0300-000002000000}">
      <text>
        <r>
          <rPr>
            <sz val="10"/>
            <rFont val="Arial"/>
            <family val="2"/>
          </rPr>
          <t>Type the Season/ Year exactly as in the log column AM (e.g., OND 2026).</t>
        </r>
      </text>
    </comment>
  </commentList>
</comments>
</file>

<file path=xl/sharedStrings.xml><?xml version="1.0" encoding="utf-8"?>
<sst xmlns="http://schemas.openxmlformats.org/spreadsheetml/2006/main" count="3731" uniqueCount="2145">
  <si>
    <t>TILKIT Weather Indicator Log — Master Template v4 (reviewed and extended, 19 October 2026)</t>
  </si>
  <si>
    <t>What this workbook does</t>
  </si>
  <si>
    <t>One row per indicator, per site, per season, in the Indicator Log. The Seasonal Tercile Tally turns the eligible rows into a simple and a weighted community forecast (above/ normal/ below). After each season, scoring each indicator Hit/ Miss/ False Start feeds its hit rate into the next season's weights.</t>
  </si>
  <si>
    <t>Where to type</t>
  </si>
  <si>
    <t>Indicator Log, rows 12–500</t>
  </si>
  <si>
    <t>All white cells in columns A to BK and BU to BZ, and the white v4 columns CI–DP (except the grey auto columns). Columns with dropdowns must use a dropdown value.</t>
  </si>
  <si>
    <t>Auto columns — do not type</t>
  </si>
  <si>
    <t>AW–AY (onset/ cessation/ distribution checks), BL–BT (calibration metrics), CA–CC (weights, stability), CD–CH (data checks, tally feed), and the v4 auto columns CJ, CM, CP, CS–CV, DH, DI, DK, DQ–DT.</t>
  </si>
  <si>
    <t>Seasonal Tercile Tally, yellow cells</t>
  </si>
  <si>
    <t>B3 site, B4 season (type exactly as in the log), B5 = 1 (Yes) or 0 (No) for the optional global prior.</t>
  </si>
  <si>
    <t>Rows 5–11 of the log</t>
  </si>
  <si>
    <t>Category guide rows with photo instructions — not data. Data starts at row 12.</t>
  </si>
  <si>
    <t>Fields the tally needs (record for every indicator)</t>
  </si>
  <si>
    <t>AH Unique Indicator ID</t>
  </si>
  <si>
    <t>From the Indicator Code Legend + running number; identical across seasons and sites. Rows without an ID are not tallied.</t>
  </si>
  <si>
    <t>AI Community/ Site and AM Season/ Year</t>
  </si>
  <si>
    <t>Exactly as typed in Tally B3/B4, e.g. "Mutirithia" and "OND 2026". Same spelling every time.</t>
  </si>
  <si>
    <t>N Sighted this season</t>
  </si>
  <si>
    <t>Y or N. Record date and place in O.</t>
  </si>
  <si>
    <t>AC Confirmed and AD Approved</t>
  </si>
  <si>
    <t>1 = Yes, 0 = No from the dropdown. Names go in the Observed-by or Notes columns.</t>
  </si>
  <si>
    <t>AP Validation status</t>
  </si>
  <si>
    <t>Dropdown. "Contested" rows are excluded.</t>
  </si>
  <si>
    <t>U Tercile from this indicator</t>
  </si>
  <si>
    <t>3 above, 2 normal, 1 below, 0 no prediction yet (0 is not tallied).</t>
  </si>
  <si>
    <t>M Current reliability</t>
  </si>
  <si>
    <t>3 High (green), 2 Medium (amber), 1 Low (red), 0 Not sure (grey). 0 = counted in the simple tally but carries no weight.</t>
  </si>
  <si>
    <t>P–Q Onset, R–S Cessation, T Distribution</t>
  </si>
  <si>
    <t>Predicted onset and cessation windows as dates (earliest, latest) and distribution 3 Good, 2 Fair, 1 Poor, 0 Not sure. Summarised on the Tally tab (rows 37–50) for comparison with the KMSA outlook.</t>
  </si>
  <si>
    <t>V Decision relevance</t>
  </si>
  <si>
    <t>3 High, 2 Medium, 1 Low, 0 Not sure. Multiplies the weight; blank or 0 counts as 1 and is flagged.</t>
  </si>
  <si>
    <t>AZ Outcome (after the season)</t>
  </si>
  <si>
    <t>Hit, Miss or False Start, after comparing P/U with actual onset AS and actual tercile AV. Drives the hit rate from the next season.</t>
  </si>
  <si>
    <t>How the weights are calculated</t>
  </si>
  <si>
    <t>1. Gate</t>
  </si>
  <si>
    <t>Has ID; sighted = 1; Confirmed = 1; Approved = 1; not Contested; tercile 3/2/1; matches Tally site and season.</t>
  </si>
  <si>
    <t>2. Phase</t>
  </si>
  <si>
    <t>Rating-based until the Indicator ID has 3 scored seasons (Hit/Miss/False Start), then Hit-rate-based.</t>
  </si>
  <si>
    <t>3. Base Weight</t>
  </si>
  <si>
    <t>Rating-based: current reliability (3 High, 2 Medium, 1 Low; 0 Not sure carries no weight). Hit-rate-based: ≥70% = 3, ≥40% = 2, below 40% = 1.</t>
  </si>
  <si>
    <t>4. Corroboration cap</t>
  </si>
  <si>
    <t>Base Weight is capped at 2 while the ID has fewer than 2 records that were Confirmed and Approved (all sites and seasons).</t>
  </si>
  <si>
    <t>5. Final Weight</t>
  </si>
  <si>
    <t>Base Weight × Decision relevance (1–3). Range 0–9.</t>
  </si>
  <si>
    <t>6. Optional global prior</t>
  </si>
  <si>
    <t>If Tally B5 = 1 (Yes), Rating-based indicators are also multiplied by their Prior Multiplier (0.55–1.35). Hit-rate-based indicators never are.</t>
  </si>
  <si>
    <t>7. Composites (Protocol Step 5)</t>
  </si>
  <si>
    <t>Not automated. If several indicators are treated as one vote, note it in BA and reduce the other members' Decision relevance.</t>
  </si>
  <si>
    <t>Worked example</t>
  </si>
  <si>
    <t>Frogs croaking at night: current rating 3 (High, green), relevance 3 (High), first season (1 corroboration) → Base Weight capped at 2 → Final Weight 6. Next season, once confirmed and approved again (2 corroborations), Base Weight 3 → Final Weight 9.</t>
  </si>
  <si>
    <t>Converting data from older forms</t>
  </si>
  <si>
    <t>Template_0 ("Table 2", plenary form)</t>
  </si>
  <si>
    <t>Tercile coded the other way round: 1 = above normal, 3 = below normal. Convert 1→3 and 3→1 before entering in U. Its "Forecast (Y=Yes)" column = sighted.</t>
  </si>
  <si>
    <t>Community forms dated 01.08.2026 and 22.08.2026</t>
  </si>
  <si>
    <t>Historical/ new: old forms coded 1 = historical, 2 = new; this log uses J = 3 ancient/ historical, 2 recent but promising, 1 new/ emerging, 0 not sure — convert old 1 → 3 and old 2 → 1. Hit/ Miss was coded Hit = 1, Miss = 0 — enter the words in AZ. Validation status was written inside the "Confirmed" column — split it into AC (1 = Yes, 0 = No) and AP. Year/ Season/ Month/ Week/ Day/ Country/ sub-national levels move into AM, O/ CI, AJ, AK, AL. Sector ratings go in X.</t>
  </si>
  <si>
    <t>Template__2 ("Verified, Entered and Approved")</t>
  </si>
  <si>
    <t>Split into Verified (AE), Entered by (AF) and Approved (AD).</t>
  </si>
  <si>
    <t>Yes/No coding</t>
  </si>
  <si>
    <t>All Yes/No columns are coded 1 = Yes, 0 = No. Convert Y/N, Yes/No and the old disability coding (1 Yes, 2 No) when copying from older forms.</t>
  </si>
  <si>
    <t>Category codes (realigned 13 Oct 2026)</t>
  </si>
  <si>
    <t>Use 01 Biological/ Ecological (01-PLT plant-based, 01-ANI animal-based), 02 Atmospheric/ Physical/ Meteorological, 03 Astronomical/ Astrological/ Celestial, 04 Hydrological/ Water-related, 05 Traditional ritual/ divinatory/ hidden, 06 Sensory/ human body. Convert older IDs by their type letters: AST → 03, ATM → 02, HYD → 04, PLT and ANI → 01, RIT → 05, SEN → 06 (e.g., 03-ANI-FRO-001 or 04-ANI-… → 01-ANI-…; 01-AST-STR-001 → 03-AST-STR-001; 02-HYD-… → 04-HYD-…). The Africa-wide catalogue numbering (03 Hydrological, 04 Biological, 05 Sensory, 06 Ritual) is retired too.</t>
  </si>
  <si>
    <t>July 2026 Mutirithia log</t>
  </si>
  <si>
    <t>Re-enter each July sign as its own row with Season/ Year "July 2026" and the same Unique Indicator ID you will use in OND, so its July confirmation counts as corroboration.</t>
  </si>
  <si>
    <t>Example row (format only — not in the log)</t>
  </si>
  <si>
    <t>Example</t>
  </si>
  <si>
    <t>Category 01 Biological/ Ecological (01-ANI) · Type Animals · Indicator "frogs croaking at night near the dam" · Local name Teneru Ituan (Maa) · History 3 (ancient) · Lead time 2 (weeks) · Historical rating 3 · Current rating 3 · Sighted 1 · Where/when "12/10/2026, Mutirithia dam" (and CI = 12/10/2026) · Onset window P 20/10/2026, Q 31/10/2026 · Tercile 3 · Decision relevance 3 · Confirmed 1 · Approved 1 · ID 01-ANI-FRO-001 · Site Mutirithia · Ward Segera · County Laikipia · Country Kenya · Season OND 2026 · Validation status Community/Plenary-endorsed · Expected month CL 10 · KMD/ KMSA tercile DJ 3.</t>
  </si>
  <si>
    <t>What changed in this version</t>
  </si>
  <si>
    <t>Weighting</t>
  </si>
  <si>
    <t>All ratings use one traffic-light scale: 3 High (green), 2 Medium (amber), 1 Low (red), 0 Not sure (grey) — historical and current reliability, decision relevance, sector impact, Base Weight. Decision relevance added and multiplied into the Final Weight; separate Base Weight column for transparency.</t>
  </si>
  <si>
    <t>Tally</t>
  </si>
  <si>
    <t>Rebuilt: requires an ID; uses the weight column CG; "Season/ Year" label added; leading tercile and simple-vs-weighted agreement; data-check counts by exclusion reason; optional global prior switch; notes now cite the correct columns.</t>
  </si>
  <si>
    <t>New log fields</t>
  </si>
  <si>
    <t>Where/ when sighted; decision relevance; sector impact rating; entered by (data desk); ward; county; country; duplicate check; tally status; prior multiplier; tally weight.</t>
  </si>
  <si>
    <t>Onset, cessation, distribution</t>
  </si>
  <si>
    <t>Onset window split into earliest/ latest dates; predicted cessation window and distribution added; actual cessation and distribution added to the outcome group with automatic Early/ Within/ Late and Matched checks; Tally tab now reports the community onset and cessation windows and distribution.</t>
  </si>
  <si>
    <t>Fixes</t>
  </si>
  <si>
    <t>Sheet name is "Sheet 1 - Indicator Log" (all formulas refer to it — do not rename it); row 2 shows real column letters; every Yes/No column coded 1 = Yes, 0 = No with dropdowns (sighted, confirmed, approved, verified, do-no-harm, disability, tally switch); category guide rows use the realigned 01–06 codes; test scribbles removed from guide rows; Barriers Addressed tab points to the correct columns; Stability flag ignores blank ratings.</t>
  </si>
  <si>
    <t>Code legend</t>
  </si>
  <si>
    <t>Single consolidated legend (160 codes) merged from every uploaded version; all codes realigned to the 01–06 category scheme (01 Biological, 02 Atmospheric, 03 Astronomical, 04 Hydrological, 05 Ritual, 06 Sensory); near-duplicate codes marked with a preferred code; usage notes, evidence status and prior multiplier shown per code.</t>
  </si>
  <si>
    <t>Not changed</t>
  </si>
  <si>
    <t>Calibration logic (corroboration, scored seasons, hit/ miss/ false-start rates, phase switch at 3 scored seasons) is as in the Weighting Protocol.</t>
  </si>
  <si>
    <t>What is new in v4 (19 Oct 2026)</t>
  </si>
  <si>
    <t>Formula harmony</t>
  </si>
  <si>
    <t>Tally counts come straight from the log status column CE, so B14 always equals B22 (check in B31). Later duplicate rows are excluded from the tally and from the corroboration and scored-season counts (helper column DT). Ties between terciles are reported, not hidden.</t>
  </si>
  <si>
    <t>Seasonal calendar &amp; climate change (CI–CP)</t>
  </si>
  <si>
    <t>Date sighted as a date, expected month on the elders' calendar, automatic calendar shift, observed change and driver, and a climate-change signal flag. New tab "Seasonal Indicator Calendar".</t>
  </si>
  <si>
    <t>Vegetation condition (CQ–CT)</t>
  </si>
  <si>
    <t>Predicted pasture/ vegetation condition per sign, checked against the NDMA VCI3M; Tally rows 67–74 give a weighted TILKIT Vegetation Condition Index (0–100).</t>
  </si>
  <si>
    <t>Anticipatory action (CU–CZ)</t>
  </si>
  <si>
    <t>Lead time in days and decision horizon, objectives served (multi-objective), timing and outcome of early actions; Tally rows 81–87 give indicative triggers.</t>
  </si>
  <si>
    <t>Communication (DA–DI)</t>
  </si>
  <si>
    <t>Dissemination date, channels, reach, inclusion, understanding, action taken and warning lead; Tally rows 89–97.</t>
  </si>
  <si>
    <t>KMD/ KMSA, NDMA and residual risk (DJ–DP)</t>
  </si>
  <si>
    <t>County outlook tercile and agreement, NDMA phase, residual risks not covered by official products, and a suggested message for the county advisory/ bulletin; Tally rows 76–79 and 99–104.</t>
  </si>
  <si>
    <t>Confidence &amp; priority (DQ–DS)</t>
  </si>
  <si>
    <t>Confidence score 0–100 and hazard-priority weighting set on the new "Weighting Options" tab (with a live worked numeric example).</t>
  </si>
  <si>
    <t>Framework Crosswalk tab</t>
  </si>
  <si>
    <t>Which columns answer each question: site, hazards, risks, impacts, opportunities, actions, advisory, the three action plans, impact-based forecasting, calibration, spatial vs temporal, vegetation, anticipatory action, communication, residual risk, calendar and KMD/ NDMA messaging.</t>
  </si>
  <si>
    <t>Change Log v4 tab</t>
  </si>
  <si>
    <t>Every error, duplication and omission found in v3 and how it was fixed.</t>
  </si>
  <si>
    <t>Community Data List — what observers and the community must collect and report for the Seasonal Tercile Tally</t>
  </si>
  <si>
    <t>One row per sign, per site, per season. Code every Yes/No as 1 = Yes, 0 = No; ratings 3 High, 2 Medium, 1 Low, 0 Not sure; dates as dd/mm/yyyy. Ask about the coming season (OND) only. "Feeds" shows which part of the Tally tab each item drives.</t>
  </si>
  <si>
    <t>A. For every sign — FGD/ plenary at the start of the season, updated by observers</t>
  </si>
  <si>
    <t>#</t>
  </si>
  <si>
    <t>What to report</t>
  </si>
  <si>
    <t>Column(s)</t>
  </si>
  <si>
    <t>How to record it</t>
  </si>
  <si>
    <t>Who reports/ decides</t>
  </si>
  <si>
    <t>When</t>
  </si>
  <si>
    <t>Feeds (Tally tab)</t>
  </si>
  <si>
    <t>The exact sign seen, in local words (e.g., "frogs croaking at night near the dam") and its local name</t>
  </si>
  <si>
    <t>D, F</t>
  </si>
  <si>
    <t>Words</t>
  </si>
  <si>
    <t>Observer/ FGD</t>
  </si>
  <si>
    <t>FGD; each new sign</t>
  </si>
  <si>
    <t>Basis for the Indicator ID</t>
  </si>
  <si>
    <t>Kind of sign: plant, animal, atmosphere, sky (sun/ moon/ stars), water, ritual or body</t>
  </si>
  <si>
    <t>A, B</t>
  </si>
  <si>
    <t>One of the 7 category lines (01-PLT, 01-ANI, 02-ATM, 03-AST, 04-HYD, 05-RIT, 06-SEN)</t>
  </si>
  <si>
    <t>FGD</t>
  </si>
  <si>
    <t>Has it been seen this season?</t>
  </si>
  <si>
    <t>N</t>
  </si>
  <si>
    <t>1 = Yes, 0 = No</t>
  </si>
  <si>
    <t>Observer</t>
  </si>
  <si>
    <t>Each sighting</t>
  </si>
  <si>
    <t>Gate: only 1 is counted</t>
  </si>
  <si>
    <t>ONSET — when will the rains START, according to this sign?</t>
  </si>
  <si>
    <t>P (earliest), Q (latest)</t>
  </si>
  <si>
    <t>Two dates, e.g. 20/10/2026 and 31/10/2026 (one date → earliest only)</t>
  </si>
  <si>
    <t>Observer, agreed by ITK holders</t>
  </si>
  <si>
    <t>FGD; update when seen</t>
  </si>
  <si>
    <t>Community onset window (rows 39–40, 43)</t>
  </si>
  <si>
    <t>CESSATION — when will the rains END, according to this sign?</t>
  </si>
  <si>
    <t>R (earliest), S (latest)</t>
  </si>
  <si>
    <t>Two dates, e.g. 05/01/2027 and 20/01/2027; blank if the sign says nothing about the end</t>
  </si>
  <si>
    <t>Community cessation window (rows 41–42, 44)</t>
  </si>
  <si>
    <t>DISTRIBUTION — how well will the rains be spread in time and place?</t>
  </si>
  <si>
    <t>T</t>
  </si>
  <si>
    <t>3 Good (evenly spread), 2 Fair (some dry spells), 1 Poor (erratic, long dry spells), 0 Not sure</t>
  </si>
  <si>
    <t>Distribution counts and weights (rows 47–50)</t>
  </si>
  <si>
    <t>AMOUNT — how much rain does the sign point to?</t>
  </si>
  <si>
    <t>U</t>
  </si>
  <si>
    <t>3 above normal, 2 normal, 1 below normal, 0 no prediction yet</t>
  </si>
  <si>
    <t>Tercile tally (rows 11–14)</t>
  </si>
  <si>
    <t>How reliable is the sign now?</t>
  </si>
  <si>
    <t>M</t>
  </si>
  <si>
    <t>3 High, 2 Medium, 1 Low, 0 Not sure</t>
  </si>
  <si>
    <t>FGD/ ITK holders</t>
  </si>
  <si>
    <t>Weight (stones) of the sign</t>
  </si>
  <si>
    <t>How useful is it for a real decision?</t>
  </si>
  <si>
    <t>V</t>
  </si>
  <si>
    <t>3 High, 2 Medium, 1 Low, 0 Not sure (see Weighting Options tab, section C, for indicative values by role)</t>
  </si>
  <si>
    <t>Confirmed by an ITK holder, FGD or plenary?</t>
  </si>
  <si>
    <t>AC</t>
  </si>
  <si>
    <t>1 = Yes, 0 = No (names in Observed-by or Notes)</t>
  </si>
  <si>
    <t>ITK holder/ plenary</t>
  </si>
  <si>
    <t>FGD; weekly panel</t>
  </si>
  <si>
    <t>Gate; corroboration</t>
  </si>
  <si>
    <t>Approved by a second (lead) ITK holder?</t>
  </si>
  <si>
    <t>AD</t>
  </si>
  <si>
    <t>Lead ITK holder</t>
  </si>
  <si>
    <t>Weekly/ fortnightly panel</t>
  </si>
  <si>
    <t>How widely is the sign accepted?</t>
  </si>
  <si>
    <t>AP</t>
  </si>
  <si>
    <t>FGD-validated only / Community/Plenary-endorsed / Sub-community-specific / Provisional/emerging / Contested (exact dropdown wording)</t>
  </si>
  <si>
    <t>Plenary</t>
  </si>
  <si>
    <t>Gate: Contested is not counted</t>
  </si>
  <si>
    <t>B. With every sighting — supports checking and later scoring</t>
  </si>
  <si>
    <t>Where and when it was seen</t>
  </si>
  <si>
    <t>O</t>
  </si>
  <si>
    <t>Date and place, e.g. "12/10/2026, Mutirithia dam"</t>
  </si>
  <si>
    <t>Evidence</t>
  </si>
  <si>
    <t>How reliable was the sign in the past?</t>
  </si>
  <si>
    <t>L</t>
  </si>
  <si>
    <t>Stability flag</t>
  </si>
  <si>
    <t>Where does the sign hold true?</t>
  </si>
  <si>
    <t>AR</t>
  </si>
  <si>
    <t>Whole ward, or riverine/ dam, highland/ hills, plains/ grazing areas</t>
  </si>
  <si>
    <t>Geographic scope</t>
  </si>
  <si>
    <t>Photos, GPS point and nearby landmark</t>
  </si>
  <si>
    <t>Y–AA</t>
  </si>
  <si>
    <t>At least 3 photos (all sides); GPS; landmark</t>
  </si>
  <si>
    <t>Observer (learners with ICT teacher)</t>
  </si>
  <si>
    <t>Who observed it</t>
  </si>
  <si>
    <t>AB</t>
  </si>
  <si>
    <t>Name or group</t>
  </si>
  <si>
    <t>Validation chain</t>
  </si>
  <si>
    <t>Consent to share</t>
  </si>
  <si>
    <t>BC</t>
  </si>
  <si>
    <t>1 or 0, then sharing level (1–4) and credit</t>
  </si>
  <si>
    <t>ITK holder</t>
  </si>
  <si>
    <t>Data sovereignty</t>
  </si>
  <si>
    <t>C. After the season — scoring (changes next season's weights)</t>
  </si>
  <si>
    <t>When did the rains actually START?</t>
  </si>
  <si>
    <t>AS</t>
  </si>
  <si>
    <t>Date (dd/mm/yyyy)</t>
  </si>
  <si>
    <t>Observers, with rain gauge/ school station</t>
  </si>
  <si>
    <t>At onset</t>
  </si>
  <si>
    <t>Onset check (Early/ Within/ Late)</t>
  </si>
  <si>
    <t>When did the rains actually END?</t>
  </si>
  <si>
    <t>AT</t>
  </si>
  <si>
    <t>At cessation</t>
  </si>
  <si>
    <t>Cessation check</t>
  </si>
  <si>
    <t>How well were the rains actually spread?</t>
  </si>
  <si>
    <t>AU</t>
  </si>
  <si>
    <t>3 Good, 2 Fair, 1 Poor</t>
  </si>
  <si>
    <t>Observers, NDMA monitor, KMSA</t>
  </si>
  <si>
    <t>End of season</t>
  </si>
  <si>
    <t>Distribution check</t>
  </si>
  <si>
    <t>How much rain did the season actually bring?</t>
  </si>
  <si>
    <t>AV</t>
  </si>
  <si>
    <t>3 above, 2 normal, 1 below</t>
  </si>
  <si>
    <t>Technical officer with community</t>
  </si>
  <si>
    <t>Scoring</t>
  </si>
  <si>
    <t>Did this sign's prediction come true?</t>
  </si>
  <si>
    <t>AZ</t>
  </si>
  <si>
    <t>Hit, Miss or False Start (using the onset, cessation, distribution and amount checks)</t>
  </si>
  <si>
    <t>ITK holders with technical officer</t>
  </si>
  <si>
    <t>January review</t>
  </si>
  <si>
    <t>Hit rate → next season's weight</t>
  </si>
  <si>
    <t>D. Not the community's task (data desk, technical officer, automatic)</t>
  </si>
  <si>
    <t>Unique Indicator ID (from the Indicator Code Legend; same ID every season)</t>
  </si>
  <si>
    <t>AH</t>
  </si>
  <si>
    <t>e.g. 01-ANI-FRO-001</t>
  </si>
  <si>
    <t>School data desk</t>
  </si>
  <si>
    <t>When entering</t>
  </si>
  <si>
    <t>Joins seasons; gate</t>
  </si>
  <si>
    <t>Site and season, typed exactly as on the Tally tab</t>
  </si>
  <si>
    <t>AI, AM</t>
  </si>
  <si>
    <t>e.g. Mutirithia; OND 2026</t>
  </si>
  <si>
    <t>Selects rows for the tally</t>
  </si>
  <si>
    <t>Verified against gauges and data</t>
  </si>
  <si>
    <t>AE</t>
  </si>
  <si>
    <t>Extension officer/ NDMA monitor/ CDMS</t>
  </si>
  <si>
    <t>Weekly check</t>
  </si>
  <si>
    <t>Entered by</t>
  </si>
  <si>
    <t>AF</t>
  </si>
  <si>
    <t>Name and date</t>
  </si>
  <si>
    <t>Weekly</t>
  </si>
  <si>
    <t>Accountability</t>
  </si>
  <si>
    <t>Weights, checks and tally feed</t>
  </si>
  <si>
    <t>AW–AY, BL–BT, CA–CH, and v4 auto columns (CJ, CM, CP, CS–CV, DH, DI, DK, DQ–DT)</t>
  </si>
  <si>
    <t>Calculated — do not type</t>
  </si>
  <si>
    <t>Spreadsheet</t>
  </si>
  <si>
    <t>Automatic</t>
  </si>
  <si>
    <t>All tally figures</t>
  </si>
  <si>
    <t>Counted in the tally only if: ID present; sighted = 1; confirmed = 1; approved = 1; not Contested; amount 3, 2 or 1. Onset, cessation and distribution are summarised from the same counted signs.</t>
  </si>
  <si>
    <t>E. Items asked in the FGD but missing from this list in v3, and new v4 items</t>
  </si>
  <si>
    <t>Feeds</t>
  </si>
  <si>
    <t>What the sign predicts (onset, cessation, distribution, amount)</t>
  </si>
  <si>
    <t>H</t>
  </si>
  <si>
    <t>Codes 1–4 (several allowed)</t>
  </si>
  <si>
    <t>Which of P–U to fill</t>
  </si>
  <si>
    <t>How the predicted weather will affect each livelihood/ sector</t>
  </si>
  <si>
    <t>I, X</t>
  </si>
  <si>
    <t>Sector codes; ratings 3/2/1/0 with + or −</t>
  </si>
  <si>
    <t>Impact-based advisory</t>
  </si>
  <si>
    <t>Is the sign ancient or new?</t>
  </si>
  <si>
    <t>J</t>
  </si>
  <si>
    <t>3 ancient, 2 recent, 1 new, 0 not sure</t>
  </si>
  <si>
    <t>Elders/ ITK holders</t>
  </si>
  <si>
    <t>Climate-change flag</t>
  </si>
  <si>
    <t>How long before the weather comes?</t>
  </si>
  <si>
    <t>K</t>
  </si>
  <si>
    <t>3 months, 2 weeks, 1 days, 0 not sure</t>
  </si>
  <si>
    <t>ITK holders</t>
  </si>
  <si>
    <t>Confidence score; decision horizon</t>
  </si>
  <si>
    <t>What should the community do?</t>
  </si>
  <si>
    <t>W</t>
  </si>
  <si>
    <t>FGD/ plenary</t>
  </si>
  <si>
    <t>Advisory, action plans</t>
  </si>
  <si>
    <t>Hazard, who is at risk, opportunity</t>
  </si>
  <si>
    <t>BU, BV, BW</t>
  </si>
  <si>
    <t>Hazard number first; text; 1/0 + text</t>
  </si>
  <si>
    <t>FGD + intermediary officer</t>
  </si>
  <si>
    <t>Priority weight; action plans</t>
  </si>
  <si>
    <t>Date sighted (as a date) and its normal month on the calendar</t>
  </si>
  <si>
    <t>CI, CK, CL</t>
  </si>
  <si>
    <t>dd/mm/yyyy; local period name; month 1–12</t>
  </si>
  <si>
    <t>Observer; elders</t>
  </si>
  <si>
    <t>Each sighting; FGD</t>
  </si>
  <si>
    <t>Seasonal Indicator Calendar</t>
  </si>
  <si>
    <t>Has the sign changed? Why?</t>
  </si>
  <si>
    <t>CN, CO</t>
  </si>
  <si>
    <t>Dropdowns</t>
  </si>
  <si>
    <t>Elders with technical officer</t>
  </si>
  <si>
    <t>FGD; January review</t>
  </si>
  <si>
    <t>Pasture/ vegetation condition the sign points to</t>
  </si>
  <si>
    <t>CQ</t>
  </si>
  <si>
    <t>3 Good, 2 Fair, 1 Poor, 0 Not sure</t>
  </si>
  <si>
    <t>Herders/ FGD</t>
  </si>
  <si>
    <t>Vegetation index (Tally 67–74)</t>
  </si>
  <si>
    <t>Early action taken and its result</t>
  </si>
  <si>
    <t>CW–CZ</t>
  </si>
  <si>
    <t>Objective codes; timing; 1/0; 3/2/1/0</t>
  </si>
  <si>
    <t>Community reps + intermediary officer</t>
  </si>
  <si>
    <t>In season; January</t>
  </si>
  <si>
    <t>Anticipatory action</t>
  </si>
  <si>
    <t>Was the advisory shared, how, with whom, and did people act?</t>
  </si>
  <si>
    <t>DA–DG</t>
  </si>
  <si>
    <t>1/0; date; channel codes; numbers; %</t>
  </si>
  <si>
    <t>Community reps; school data desk</t>
  </si>
  <si>
    <t>After each advisory</t>
  </si>
  <si>
    <t>Communication (Tally 89–97)</t>
  </si>
  <si>
    <t>KMD/ KMSA tercile, NDMA phase, residual risk, message</t>
  </si>
  <si>
    <t>DJ–DP</t>
  </si>
  <si>
    <t>3/2/1; dropdown; 1/0 + text</t>
  </si>
  <si>
    <t>Intermediary officer with community</t>
  </si>
  <si>
    <t>Integration session</t>
  </si>
  <si>
    <t>Comparison, residual risk</t>
  </si>
  <si>
    <t>DEMO COPY WITH HYPOTHETICAL DATA (rows 12–34) — for training on how the Seasonal Tercile Tally is derived. Use the clean Master Template for real data. Table: TILKIT - Traditional Indigenous and Local Knowledge Indicator Tool - for community weather forecast - for FGD and plenary at the community workshops and for community indicator monitoring</t>
  </si>
  <si>
    <t>A</t>
  </si>
  <si>
    <t>B</t>
  </si>
  <si>
    <t>C</t>
  </si>
  <si>
    <t>D</t>
  </si>
  <si>
    <t>E</t>
  </si>
  <si>
    <t>F</t>
  </si>
  <si>
    <t>G</t>
  </si>
  <si>
    <t>I</t>
  </si>
  <si>
    <t>P</t>
  </si>
  <si>
    <t>Q</t>
  </si>
  <si>
    <t>R</t>
  </si>
  <si>
    <t>S</t>
  </si>
  <si>
    <t>X</t>
  </si>
  <si>
    <t>Y</t>
  </si>
  <si>
    <t>Z</t>
  </si>
  <si>
    <t>AA</t>
  </si>
  <si>
    <t>AG</t>
  </si>
  <si>
    <t>AI</t>
  </si>
  <si>
    <t>AJ</t>
  </si>
  <si>
    <t>AK</t>
  </si>
  <si>
    <t>AL</t>
  </si>
  <si>
    <t>AM</t>
  </si>
  <si>
    <t>AN</t>
  </si>
  <si>
    <t>AO</t>
  </si>
  <si>
    <t>AQ</t>
  </si>
  <si>
    <t>AW</t>
  </si>
  <si>
    <t>AX</t>
  </si>
  <si>
    <t>AY</t>
  </si>
  <si>
    <t>BA</t>
  </si>
  <si>
    <t>BB</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</si>
  <si>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</si>
  <si>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</si>
  <si>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</si>
  <si>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</si>
  <si>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</si>
  <si>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</si>
  <si>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</si>
  <si>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</si>
  <si>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</si>
  <si>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</si>
  <si>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</si>
  <si>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</si>
  <si>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</si>
  <si>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</si>
  <si>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</si>
  <si>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</si>
  <si>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</si>
  <si>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</si>
  <si>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</si>
  <si>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</si>
  <si>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</si>
  <si>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</si>
  <si>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</si>
  <si>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</si>
  <si>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</si>
  <si>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</si>
  <si>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</si>
  <si>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</si>
  <si>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</si>
  <si>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</si>
  <si>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</si>
  <si>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</si>
  <si>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</si>
  <si>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</si>
  <si>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</si>
  <si>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</si>
  <si>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</si>
  <si>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</si>
  <si>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</si>
  <si>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</si>
  <si>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</si>
  <si>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</si>
  <si>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</si>
  <si>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</si>
  <si>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</si>
  <si>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</si>
  <si>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</si>
  <si>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</si>
  <si>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</si>
  <si>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</si>
  <si>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</si>
  <si>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</si>
  <si>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</si>
  <si>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</si>
  <si>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</si>
  <si>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</si>
  <si>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</si>
  <si>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</si>
  <si>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</si>
  <si>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</si>
  <si>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</si>
  <si>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</si>
  <si>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</si>
  <si>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</si>
  <si>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</si>
  <si>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</si>
  <si>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</si>
  <si>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</si>
  <si>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Indicator category (Nature of Indicator)</t>
  </si>
  <si>
    <t>Indicator type (and sub type)</t>
  </si>
  <si>
    <t>Specific indicator: e.g., Type = Plants; Sub Type = Tree; Specific Indicator = a specific named tree. Please provide local name of the indicator (always known), English name (if known) and Scientific name (if known)</t>
  </si>
  <si>
    <t>Indicator behaviour: how does the indicator show itself in a way that predicts the weather? What does the indicator do that makes it predict weather? (e.g., tree flowering intensity, tree leaf blooming, frogs croaking at night)</t>
  </si>
  <si>
    <t>Indicator prediction in local words: what the community says this behaviour foretells (e.g., 'heavy rains will come within two weeks'; 'the rains will be short this season')</t>
  </si>
  <si>
    <t>Description of the locality/ landscape where the indicator is applicable (village, hill, river, grazing area). Site, ward, county, country and season/ year are recorded once in AI–AM — do not repeat them here.</t>
  </si>
  <si>
    <t xml:space="preserve">Name of the ethnic community that provides the language for the local name of the indicator </t>
  </si>
  <si>
    <t>Indicator behaviour Interpretation in weather prediction terms: what does the indicator mean in local weather prediction (i.e., what does the indicator behaviour predict in terms of weather events?)(what does the indicator predict (can select more than one) 1: rain start (onset); 2: rain end (cessation); 3: rain distribution e.g., 3a) for long or short duration in the season, or 3b) in many or few places in the locality); 4: rain amount (e.g., more or less rain)</t>
  </si>
  <si>
    <t>Application of the indicator interpretation in terms of impact-based weather forecasting - how is the predicted weather likely to affect the following livelihoods or sectors in the locality?: - 1: crops/ farming, 2: livestock/ pastoralism, 3: fisheries/ aquaculture, 4: water resources;  5: Forestry/ Environment; 6: Private Sector (trade, business, production); 7: health, 8: education/ school, 9: disaster risk (floods, drought), 10: Public Safety, etc.</t>
  </si>
  <si>
    <t>Indicator history: is it a historical (ancient) indicator or a new (emerging) one? 3 = ancient/ historical; 2 = recent but promising; 1 = new (emerging); 0 = Not sure. (A sign moving from 3 to 1–2 in elders' accounts, or 'disappearing', is a climate-change signal — see CN–CP.)</t>
  </si>
  <si>
    <t>Lead time: how long after first observation of the indicator does the predicted weather happen? 3 = months (strategic); 2 = weeks (tactical); 1 = days (operational/ emergency); 0 = Not sure. Exact lead in days is calculated in CU from the dates.</t>
  </si>
  <si>
    <t>Historical reliability rating of weather prediction accuracy: How reliable was this indicator in this locality in the past)?:
3 High (green)
2 Medium (amber)
1 Low (red)
0 Not sure (grey)</t>
  </si>
  <si>
    <t>Current reliability rating of weather prediction accuracy (How reliable is this indicator in this locality currently)?:
3 High (green)
2 Medium (amber)
1 Low (red)
0 Not sure (grey)
(Used as the Base Weight until the indicator has 3 scored seasons)</t>
  </si>
  <si>
    <t>Has the indicator been sighted (= observed) this season? 1 = Yes (forecast can now be made); 0 = No (forecast not yet possible). Record where and when in the next column. Only rows coded 1 enter the Seasonal Tercile Tally.</t>
  </si>
  <si>
    <t>Where and when was it sighted (free text: place/ landmark and date)? Leave blank if N = 0. Type the date again as a date in CI so it can feed the seasonal calendar and lead-time calculations.</t>
  </si>
  <si>
    <t xml:space="preserve">In view of, and based on, the information so far available from this weather indicator, by the rating of this locality, respond to the following questions: </t>
  </si>
  <si>
    <t>Photos (at least three) - as observed and as appropriate - (e.g., plant leaves, flowers, fruits, or other important features of the indicator as observed, etc.)</t>
  </si>
  <si>
    <t>GPS Location</t>
  </si>
  <si>
    <t>Landmark feature near GPS location</t>
  </si>
  <si>
    <t>Control/ Safeguards/Validation</t>
  </si>
  <si>
    <t>Calibration</t>
  </si>
  <si>
    <t>Indicator &amp; Data Record Identification (for multi-season, multi-community tracking)</t>
  </si>
  <si>
    <t>Validation &amp; Endorsement Status (from FGD and Plenary validation)</t>
  </si>
  <si>
    <t>Actual Outcome &amp; Prediction Verification (for Calibration — to be completed after the season)</t>
  </si>
  <si>
    <t>Safety, Governance and Evidence</t>
  </si>
  <si>
    <t>Reference to the Integrated Consensus Forecast this indicator's rating fed into (Forecast ID/ date, from the knowledge integration session)</t>
  </si>
  <si>
    <t>Observer Demographic Profile (for equity monitoring across the dataset)</t>
  </si>
  <si>
    <t>Calibration Metrics (auto-calculated from Indicator ID and outcome history — do not edit these cells directly)</t>
  </si>
  <si>
    <t>Hazard, Risk, Impact, Opportunity and Linked Actions (traces this indicator forward to the community's risk/impact assessment and separate action-planning documents)</t>
  </si>
  <si>
    <t>Weighting Protocol Outputs (auto-calculated per the TILKIT Indicator Weighting Protocol — do not edit directly)</t>
  </si>
  <si>
    <t>Data Checks and Tally Feed (auto — do not edit)</t>
  </si>
  <si>
    <t>Seasonal Indicator Calendar &amp; Climate-Change Detection (v4) — links each sighting to the seasonal weather indicator calendar and tracks change against elders' memory</t>
  </si>
  <si>
    <t>Vegetation Condition (v4) — community forecast of pasture/ vegetation condition, checked against the NDMA 3-month Vegetation Condition Index (VCI3M)</t>
  </si>
  <si>
    <t>Forecast-based Anticipatory Action (v4) — lead time, decision horizon, objectives served and results of early action</t>
  </si>
  <si>
    <t>Warning Communication &amp; Dissemination (v4) — did the advisory based on this sign reach people in time, and did they understand and act?</t>
  </si>
  <si>
    <t>Conventional Climate Services, Residual Risk &amp; Messaging (v4) — comparison with KMD/ KMSA and NDMA products</t>
  </si>
  <si>
    <t>Confidence &amp; Priority Weighting (v4, auto — do not edit; weights set on the 'Weighting Options' tab)</t>
  </si>
  <si>
    <t>Predicted onset — EARLIEST date (dd/mm/yyyy): based on this indicator, when will the rains start at the earliest? Give the window as earliest date here and latest date in the next column (e.g. 20/10/2026 and 31/10/2026). Ask about the coming season (OND) only.</t>
  </si>
  <si>
    <t>Predicted onset — LATEST date (dd/mm/yyyy): the end of the window in which this sign says the rains will start. Leave blank if the sign gives a single date.</t>
  </si>
  <si>
    <t>Predicted cessation — EARLIEST date (dd/mm/yyyy): according to this sign, when will the rains end at the earliest? Blank if the sign says nothing about cessation.</t>
  </si>
  <si>
    <t>Predicted cessation — LATEST date (dd/mm/yyyy): the end of the window in which this sign says the rains will stop.</t>
  </si>
  <si>
    <t>Predicted distribution of the rains (how well spread in time and space):
3 Good — evenly spread, few dry spells
2 Fair — some dry spells or uneven areas
1 Poor — erratic, long dry spells or very uneven
0 Not sure/ no prediction</t>
  </si>
  <si>
    <t>b) On the basis of this particular indicator alone, and on the basis of the information so far available, is the rain for the season likely to be (?):
3) More than average (above normal)
2) Average (Normal) = as usual according to this area
1) Less than average (below normal)
0) No prediction yet
(Enter the number only. 0 or blank is not tallied.)</t>
  </si>
  <si>
    <t>Decision relevance (1–3): How useful is this indicator's prediction for a real decision this season (e.g., in terms of predicting a) when to plant, b) when to move livestock, whether to prepare for c) floods or d) drought)?
3 High (green) — directly guides a decision
2 Medium (amber) — useful supporting signal
1 Low (red) — interesting but rarely acted on
0 Not sure
(Multiplies the Final Weight; blank or 0 is treated as 1 and flagged in the Data check column.)</t>
  </si>
  <si>
    <t xml:space="preserve">c) Again, On the basis of this particular indicator alone, and on the basis of the information so far available, what plans or actions or strategies can you advise to be adopted in your community based on this current weather prediction available to you? </t>
  </si>
  <si>
    <t>Sector impact rating of this prediction for each relevant sector, on the traffic-light scale 3 High, 2 Medium, 1 Low, 0 Not sure, with (+) for benefit or (−) for harm, e.g., 'Water 3−; Crops 2+; Livestock 2−; Health 3−; Pastoralism 1+; Infrastructure 3−; Environment 2+; Energy 0; Forestry 1+; Fisheries 0'</t>
  </si>
  <si>
    <t>Observed by (any observant member of community): Who has observed the indicator? Name</t>
  </si>
  <si>
    <t>Confirmed =&gt; a) ITK Holder in the community, or b) FGD/ Plenary participants): Has the observation been confirmed? Code 1 = Yes, 0 = No (dropdown) — put the name(s) in the Notes or Observed-by column, not here, or the tally will not count it.</t>
  </si>
  <si>
    <t>Approved (ITK Holder in the community): Has the observation been approved for use? Code 1 = Yes, 0 = No (names elsewhere). Rows need Confirmed = 1 AND Approved = 1 to be tallied.</t>
  </si>
  <si>
    <t>Verified (technical expert in the community — to capture hits and misses): Has the confirmation been verified? Code 1 = Yes, 0 = No. Put the expert's name in the Notes column.</t>
  </si>
  <si>
    <t>Entered by (school data desk/ rapporteur): name and date the record was keyed into this log</t>
  </si>
  <si>
    <t>Analysis of reliability (free text): summarise this indicator's record of hits, misses and false starts and how this should adjust its prediction confidence. The scored outcome itself goes in AZ (word), the rates are calculated in BN–BS.</t>
  </si>
  <si>
    <t>Unique Indicator ID — the SAME code for this physical indicator in every season and site, built from the 'Indicator Code Legend' tab (Category-Type-Subtype + running number, e.g., 01-ANI-FRO-001). Do NOT include the season or site in the ID. Required: rows without an ID are not tallied.</t>
  </si>
  <si>
    <t>Community/ Site name where this record was collected</t>
  </si>
  <si>
    <t>Lower sub-national level (e.g., Ward/ Location) where this record was collected</t>
  </si>
  <si>
    <t>Upper sub-national level (e.g., County/ Region)</t>
  </si>
  <si>
    <t>Country</t>
  </si>
  <si>
    <t>Season/ Year this record refers to, always in the form 'SSS YYYY' (e.g., OND 2026; MAM 2027; 'July 2026' for monthly checks). Type exactly as on the Tally tab B4.</t>
  </si>
  <si>
    <t>Date of data collection (date of the FGD/ Plenary/ interview at which this indicator was recorded — NOT the date the indicator was sighted in the field)</t>
  </si>
  <si>
    <t>Language in which the local name and description were originally given</t>
  </si>
  <si>
    <t>Validation status (dropdown, choose one): FGD-validated only | Community/Plenary-endorsed | Sub-community-specific (recognised by one livelihood/ demographic group only) | Provisional/emerging (not yet fully established) | Contested (differing accounts — excluded from the tally)</t>
  </si>
  <si>
    <t>If Sub-community-specific or Contested, specify which group or groups 1) recognize the indicator, 2) dispute the indicator, or 3) hold this indicator to be trusted, and briefly why</t>
  </si>
  <si>
    <t>Geographic scope of applicability: Is this indicator understood by the community to apply to the whole locality, or only to a specific micro-zone/ area? (specify area if limited)</t>
  </si>
  <si>
    <t>Actual (observed) rain onset date this season, once known (dd/mm/yyyy) — from rain gauges, the school weather station, NDMA/ KMSA</t>
  </si>
  <si>
    <t>Actual (observed) rain cessation date this season, once known (dd/mm/yyyy)</t>
  </si>
  <si>
    <t>Actual (observed) distribution this season, once known: 3 Good, 2 Fair, 1 Poor (from rain gauges, NDMA and KMSA reports)</t>
  </si>
  <si>
    <t>Actual (observed) season classification, once known: 3) More/ above normal  2) Normal/ Long term average  1) Less/ below normal</t>
  </si>
  <si>
    <t>Onset check (auto): actual onset compared with this sign's predicted window — Early, Within window or Late. Use when deciding Hit/ Miss/ False Start.</t>
  </si>
  <si>
    <t>Cessation check (auto): actual cessation compared with this sign's predicted cessation window — Early, Within window or Late.</t>
  </si>
  <si>
    <t>Distribution check (auto): predicted vs actual distribution — Matched, Off by one class, or Missed.</t>
  </si>
  <si>
    <t>Outcome after the season — choose the word from the dropdown: Hit (predicted tercile and onset window reasonably matched the actual outcome), Miss (predicted tercile substantially did not match) or False Start (the season began as predicted but the rains failed or were significantly interrupted). Compare P–U with AS–AY.</t>
  </si>
  <si>
    <t>Notes on reliability, hits, misses and false starts (if any, per indicator). If the facilitator treats several indicators as one composite vote (Protocol Step 5), record it here and reduce the other members' Decision relevance accordingly.</t>
  </si>
  <si>
    <t>Do-no-harm/ safety flag: could acting on this indicator's advice go against an official hazard warning already issued, or any other necessary precaution in the community? 1 = Yes (flag for technical expert review before use in any advisory), 0 = No (can be approved for dissemination).</t>
  </si>
  <si>
    <t>Consent/ data-sharing: Has any  ITK Holder/ community agreed to this indicator being shared, cited or used beyond this project? Start with 1 = Yes or 0 = No, then give the sharing level (1: community only, 2: project partners, 3: public sharing with credit or attribution (e.g. '1; level 3; credit: Mutirithia ITK holders'.), 4: public sharing anonymous</t>
  </si>
  <si>
    <t>Audio/ video recording reference (if available), capturing the ITK Holder's own description of the indicator in their own words</t>
  </si>
  <si>
    <t>Cross-reference/ duplicate link: If this indicator was merged with, or duplicates, another logged indicator, note that other Indicator ID here</t>
  </si>
  <si>
    <t>Number of observers/ contributors to this indicator entry (count)</t>
  </si>
  <si>
    <t>Gender composition of observer(s): 1) All male  2) All female  3) Mixed (male &amp; female)  4) Not recorded/ Prefer not to say</t>
  </si>
  <si>
    <t>Age/ generation composition of observer(s): 1) Youth (approx. under 35)  2) Adult  3) Elder  4) Mixed  5) Not recorded/ Prefer not to say</t>
  </si>
  <si>
    <t>Livelihood/ occupation of observer(s): 1) Farmer  2) Pastoralist  3) Trader  4) Fisherfolk  5) Other (specify)  6) Mixed  7) Not recorded/ Prefer not to say</t>
  </si>
  <si>
    <t>Does the observer group include (a) person(s) with disability? 1 = Yes, 0 = No, 2 = Not recorded/ prefer not to say</t>
  </si>
  <si>
    <t>Cumulative Corroboration Count (number of seasons this Indicator ID has been independently Confirmed AND Approved, across all logged seasons)</t>
  </si>
  <si>
    <t>Cumulative Scored Seasons (number of seasons this Indicator ID has a recorded Hit, Miss, or False Start outcome)</t>
  </si>
  <si>
    <t>Cumulative Hit Count (this Indicator ID, all seasons)</t>
  </si>
  <si>
    <t>Cumulative Miss Count (this Indicator ID, all seasons)</t>
  </si>
  <si>
    <t>Cumulative False Start Count (this Indicator ID, all seasons)</t>
  </si>
  <si>
    <t>Hit Rate (cumulative) = Hit Count ÷ Scored Seasons</t>
  </si>
  <si>
    <t>Miss Rate (cumulative) = Miss Count ÷ Scored Seasons</t>
  </si>
  <si>
    <t>False-Start Rate (cumulative) = False Start Count ÷ Scored Seasons</t>
  </si>
  <si>
    <t>Weighting Phase (auto): “Rating-based” if fewer than 3 scored seasons; “Hit-rate-based” once 3 or more — per the TILKIT Indicator Weighting Protocol</t>
  </si>
  <si>
    <t>Hazard type implied by this indicator's prediction — type the MAIN hazard number first (used for priority weighting in DR), others after a semicolon: 1) Drought/ dry spell  2) Excess rain/ flood  3) Windstorm  4) Erratic/ unreliable rainfall distribution  5) Heat stress  6) Pest/ disease outbreak risk  7) Other (specify)  8) None/ not applicable</t>
  </si>
  <si>
    <t>Risk/ Impact (free text): who or what is exposed and vulnerable to this hazard, and what the anticipated impact would be if it materializes (e.g., on crops, livestock, water access, mobility, safety)</t>
  </si>
  <si>
    <t>Opportunity flag: Does this forecast direction also create a potential opportunity (e.g., expanded planting, water storage, favourable market conditions)? Start with 1 = Yes or 0 = No; if 1, briefly describe it, e.g. '1; harvest roof water for the school garden'.</t>
  </si>
  <si>
    <t>Community Representatives Action reference (Action ID/ date, linking to the separate Community Representatives Action Plan document — held outside this log — where the full plan built from this indicator is recorded)</t>
  </si>
  <si>
    <t>Intermediary Officer Action reference (Action ID/ date, linking to the separate Intermediary Officer Action Plan document — held outside this log — where the full plan built from this indicator is recorded)</t>
  </si>
  <si>
    <t>Integrated Action reference (Action ID/ date, linking to the separate Integrated Action Plan document — held outside this log — where the combined community + technical plan is recorded)</t>
  </si>
  <si>
    <t>Base Weight (auto): current reliability rating (Rating-based phase: 3 High, 2 Medium, 1 Low, 0 Not sure) or hit-rate band (Hit-rate-based phase: ≥70% = 3 High, ≥40% = 2 Medium, below 40% = 1 Low), capped at 2 while the indicator has fewer than 2 corroborating records — Protocol Steps 2–4</t>
  </si>
  <si>
    <t>Final Weight (auto) = Base Weight × Decision relevance (blank or 0 relevance counts as 1). Range 0–9. Blank when the current rating is 0/blank in the Rating-based phase.</t>
  </si>
  <si>
    <t>Stability Flag (auto): flags a ≥2-point swing between historical (col L) and current (col M) rating for facilitator discussion — Protocol Step 4</t>
  </si>
  <si>
    <t>Duplicate check (auto): flags a second row with the same Unique Indicator ID, Community/ Site and Season/ Year. Keep ONE row per indicator per site per season — update that row rather than adding new ones for later sightings.</t>
  </si>
  <si>
    <t>Tally status (auto): whether this row is counted in the Seasonal Tercile Tally for the site and season selected on that tab, and if not, why</t>
  </si>
  <si>
    <t>Global prior multiplier (auto, reference): literature-based priority of this indicator type from the 'Prior Multipliers' tab (1.00 = average). Used only if switched on in the Tally tab, and only for Rating-based (unscored) indicators</t>
  </si>
  <si>
    <t>Weight used in the tally (auto): Final Weight, multiplied by the global prior only when the Tally tab switch is 'Yes' and the indicator is still Rating-based</t>
  </si>
  <si>
    <t>Tally weight as a number (auto helper): weight used in the tally, 0 if none — used for the weighted onset/ cessation averages on the Tally tab</t>
  </si>
  <si>
    <t>Date sighted (dd/mm/yyyy) — the same date as in O, typed as a date. Feeds the Seasonal Indicator Calendar, lead time (CU) and calendar shift (CM).</t>
  </si>
  <si>
    <t>Month sighted (auto, 1–12) from CI</t>
  </si>
  <si>
    <t>Traditional/ local calendar period when this sign normally appears (local month or season name, e.g., 'Lomuk' or 'end of the cold dry season')</t>
  </si>
  <si>
    <t>Expected month in a normal year (1–12, by elders/ ITK holders) — the slot of this sign on the seasonal weather indicator calendar</t>
  </si>
  <si>
    <t>Calendar shift (auto, months): sighting month − expected month (−6…+6). Negative = earlier than the calendar, positive = later. ≥1 month either way is a change signal.</t>
  </si>
  <si>
    <t>Observed change in this sign compared with elders' memory (dropdown): No change | Appears earlier | Appears later | Less often/ fewer | More often/ more | Disappeared/ rarely seen | Meaning changed | Not sure</t>
  </si>
  <si>
    <t>Likely driver of the change, agreed by ITK holders and the technical officer (dropdown): Climate change/ variability | Land-use/ habitat loss | Water development | Pollution/ chemicals | Hunting/ harvesting | Mixed/ several | Unknown</t>
  </si>
  <si>
    <t>Climate-change signal flag (auto): counts five signals — calendar shift ≥1 month (CM); stability flag (CC); reported change (CN); reliability decline historical→current (L−M ≥1); hit rate below 40% after ≥3 scored seasons. 2+ signals = STRONG.</t>
  </si>
  <si>
    <t>Predicted vegetation/ pasture condition for the season from this sign: 3 Good (green pasture, browse plentiful), 2 Fair (patchy), 1 Poor (dry, scarce), 0 Not sure</t>
  </si>
  <si>
    <t>Actual 3-month VCI (VCI3M, 0–100) for the ward/ sub-county from the NDMA monthly drought early-warning bulletin, at the end of the season</t>
  </si>
  <si>
    <t>Actual vegetation class (auto from CR): 3 = VCI3M ≥35 (normal or above-normal greenness), 2 = 20–34 (moderate deficit), 1 = &lt;20 (severe/ extreme deficit)</t>
  </si>
  <si>
    <t>Vegetation check (auto): Matched, Off by one class, or Missed</t>
  </si>
  <si>
    <t>Lead time available (auto, days) = earliest predicted onset (P) − date sighted (CI)</t>
  </si>
  <si>
    <t>Decision horizon (auto) from CU: Strategic (≥60 days), Tactical (7–59), Operational (3–6), Emergency (0–2) — after Osumba et al. (2023)</t>
  </si>
  <si>
    <t>Objective(s) the linked early action serves (multi-objective framework; list codes, e.g., '2;3;4'): 1 Lives/ health; 2 Livelihood assets (crops, livestock); 3 Food &amp; nutrition; 4 Water; 5 Education continuity; 6 Environment/ ecosystems; 7 Income/ market opportunity</t>
  </si>
  <si>
    <t>Timing of the linked action (dropdown): Anticipatory (before hazard) | At onset | Response (during) | Recovery (after)</t>
  </si>
  <si>
    <t>Early action implemented? 1 = Yes, 0 = No</t>
  </si>
  <si>
    <t>Result of the action (after the season): 3 Losses avoided/ reduced, 2 Partly, 1 No effect, 0 Not assessed</t>
  </si>
  <si>
    <t>Advisory based on this sign disseminated? 1 = Yes, 0 = No</t>
  </si>
  <si>
    <t>Date disseminated (dd/mm/yyyy)</t>
  </si>
  <si>
    <t>Channel(s) used (codes, e.g., '1;2;4'): 1 Baraza/ chief; 2 Local-language radio; 3 SMS/ WhatsApp; 4 School/ learners; 5 Church/ mosque; 6 Extension/ NDMA officer; 7 Notice board; 8 Other</t>
  </si>
  <si>
    <t>Number of people reached (estimate)</t>
  </si>
  <si>
    <t>Of whom women, youth or persons with disability (number)</t>
  </si>
  <si>
    <t>Recipients who understood the message (% from feedback/ spot check, 0–100)</t>
  </si>
  <si>
    <t>Recipients who acted on the message (% from feedback/ spot check, 0–100)</t>
  </si>
  <si>
    <t>Warning lead (auto, days) = earliest predicted onset (P) − date disseminated (DB). Negative = advisory came after the predicted onset.</t>
  </si>
  <si>
    <t>Inclusion share (auto) = DE ÷ DD</t>
  </si>
  <si>
    <t>KMD/ KMSA county seasonal outlook tercile for this site and season: 3 Above, 2 Near normal, 1 Below (from the county outlook)</t>
  </si>
  <si>
    <t>Agreement with KMD/ KMSA (auto): Agrees, Differs by one class, or Opposite</t>
  </si>
  <si>
    <t>NDMA drought early-warning phase for the county/ sub-county in the latest monthly bulletin (dropdown): Normal | Pre-Alert | Alert | Alarm | Emergency | Recovery</t>
  </si>
  <si>
    <t>Residual risk: does this sign warn of a hazard, place, timing or group that the KMD/ KMSA outlook or NDMA bulletin does not cover (e.g., micro-zone dry spell, pest, local flash flood, late onset in one valley)? 1 = Yes, 0 = No</t>
  </si>
  <si>
    <t>Residual risk — describe what is missed and who is exposed</t>
  </si>
  <si>
    <t>Residual risk included in an action plan (Action ID in BX, BY or BZ)? 1 = Yes, 0 = No</t>
  </si>
  <si>
    <t>Suggested message for KMD/ KMSA county advisory or NDMA bulletin: the local-language sign + what it means + what to do (e.g., 'Ilkerra frogs at the dam: rains in 2 weeks — prepare seed and desilt pans')</t>
  </si>
  <si>
    <t>Confidence score (auto, 0–100): weighted mix of track record (CA), corroboration (BL), validation breadth (AP), lead time (K), stability (CC), agreement with KMD/ KMSA (DK), observer numbers (BG) and technical verification (AE). Weights on the 'Weighting Options' tab.</t>
  </si>
  <si>
    <t>Hazard priority factor (auto) for the main hazard in BU, from the 'Weighting Options' tab (1.00 = neutral)</t>
  </si>
  <si>
    <t>Priority-adjusted tally weight (auto) = tally weight (CG) × hazard priority factor (DR). Used only in the priority-adjusted tally on the Tally tab.</t>
  </si>
  <si>
    <t>First record for this ID + site + season (auto helper: 1 = first, 0 = later duplicate). Duplicates are excluded from the tally and from the corroboration/ scored-season counts.</t>
  </si>
  <si>
    <t>01. Biological/ Ecological (Plant-based) — 01-PLT</t>
  </si>
  <si>
    <t>Plants/ crops (Tree, Shrub, Grass, Herb, Vine (Climber), Any Other (specify, e.g., fire)</t>
  </si>
  <si>
    <t>01. Biological/ Ecological (Animal-based) — 01-ANI</t>
  </si>
  <si>
    <t>Animals (Insects, Birds, Mammals, Reptiles, Amphibians, Fish, Spiders, Molluscs, Any Other - specify)</t>
  </si>
  <si>
    <t>02. Atmospheric/ Physical / Meteorological — 02-ATM</t>
  </si>
  <si>
    <t>Wind, cloud, air,rain itself, temperature, humidity, thunder, lightning, rainbow, mist/fog, dew, soil/ dust, etc.</t>
  </si>
  <si>
    <t>03. Astronomical / Astrological/ Celestial — 03-AST</t>
  </si>
  <si>
    <t>Sun, moon, stars, planets, sky, etc.</t>
  </si>
  <si>
    <t>04. Hydrological / Water-related — 04-HYD</t>
  </si>
  <si>
    <t xml:space="preserve">Water bodies (hydrological): waves,water  foam, etc. </t>
  </si>
  <si>
    <t>05. Traditional Ritual observations/ Divinatory/ Examination of hidden indicators — 05-RIT</t>
  </si>
  <si>
    <t>e.g., Examination of he-goat intestines, liver, spleen, etc.</t>
  </si>
  <si>
    <t>06. Sensory/ Human body physiological responses (Meteorosensitivity - Meteoropathy) - correlate with barometric pressure science — 06-SEN</t>
  </si>
  <si>
    <t>Human body sensitivity to environmental changes (temperature,  humidity, smell, etc.)</t>
  </si>
  <si>
    <t>01</t>
  </si>
  <si>
    <t>Frogs croaking at night near the dam</t>
  </si>
  <si>
    <t>01-ANI-FRO-001</t>
  </si>
  <si>
    <t>Mutirithia (DEMO)</t>
  </si>
  <si>
    <t>Segera (demo)</t>
  </si>
  <si>
    <t>Laikipia (demo)</t>
  </si>
  <si>
    <t>Kenya</t>
  </si>
  <si>
    <t>OND 2023</t>
  </si>
  <si>
    <t>Maa</t>
  </si>
  <si>
    <t>Community/Plenary-endorsed</t>
  </si>
  <si>
    <t>Hit</t>
  </si>
  <si>
    <t>Demo history row</t>
  </si>
  <si>
    <t>OND 2024</t>
  </si>
  <si>
    <t>OND 2025</t>
  </si>
  <si>
    <t>Miss</t>
  </si>
  <si>
    <t>Acacia tortilis flowering heavily</t>
  </si>
  <si>
    <t>01-PLT-FLW-001</t>
  </si>
  <si>
    <t>03</t>
  </si>
  <si>
    <t>Pleiades (Kilimia) low in the west at dusk</t>
  </si>
  <si>
    <t>03-AST-SSG-001</t>
  </si>
  <si>
    <t>04</t>
  </si>
  <si>
    <t>Spring discharge at Ol Doinyo falling</t>
  </si>
  <si>
    <t>04-HYD-LVL-001</t>
  </si>
  <si>
    <t>July 2026</t>
  </si>
  <si>
    <t>FGD-validated only</t>
  </si>
  <si>
    <t>Demo pre-season check</t>
  </si>
  <si>
    <t>Animals — amphibians</t>
  </si>
  <si>
    <t>Frogs croaking at night near the dam (Teneru Ituan)</t>
  </si>
  <si>
    <t>Loud croaking for several nights</t>
  </si>
  <si>
    <t>Rains within two weeks; good season</t>
  </si>
  <si>
    <t>1;4</t>
  </si>
  <si>
    <t>1;2;4;9</t>
  </si>
  <si>
    <t>12/10/2026, Mutirithia dam</t>
  </si>
  <si>
    <t>Prepare land and seed; desilt pans; move herds from the dam flood zone</t>
  </si>
  <si>
    <t>Crops 3+; Water 3+; Livestock 2−; Health 2−</t>
  </si>
  <si>
    <t>Observer group (demo)</t>
  </si>
  <si>
    <t>OND 2026</t>
  </si>
  <si>
    <t>2; 6</t>
  </si>
  <si>
    <t>Herders and school near the dam: flooding, RVF risk</t>
  </si>
  <si>
    <t>1; harvest roof water for the school garden</t>
  </si>
  <si>
    <t>CRAP-26-01</t>
  </si>
  <si>
    <t>IOAP-26-01</t>
  </si>
  <si>
    <t>IAP-26-01</t>
  </si>
  <si>
    <t>Lomuk (short rains start)</t>
  </si>
  <si>
    <t>Less often/ fewer</t>
  </si>
  <si>
    <t>Water development</t>
  </si>
  <si>
    <t>1;2;4</t>
  </si>
  <si>
    <t>Anticipatory (before hazard)</t>
  </si>
  <si>
    <t>Normal</t>
  </si>
  <si>
    <t>"Teneru Ituan are croaking at the dam: rains in about two weeks — prepare seed, desilt pans, keep livestock off the flood plain."</t>
  </si>
  <si>
    <t>Plants — tree</t>
  </si>
  <si>
    <t>Dense flowering on most trees</t>
  </si>
  <si>
    <t>Good, long rains</t>
  </si>
  <si>
    <t>1;3;4</t>
  </si>
  <si>
    <t>1;2</t>
  </si>
  <si>
    <t>15/09/2026, plains</t>
  </si>
  <si>
    <t>Plant long-maturing maize early; plan fodder conservation</t>
  </si>
  <si>
    <t>Crops 3+; Livestock 3+</t>
  </si>
  <si>
    <t>2</t>
  </si>
  <si>
    <t>End of the cold dry season</t>
  </si>
  <si>
    <t>Appears earlier</t>
  </si>
  <si>
    <t>Climate change/ variability</t>
  </si>
  <si>
    <t>2;3;7</t>
  </si>
  <si>
    <t>2;6</t>
  </si>
  <si>
    <t>02</t>
  </si>
  <si>
    <t>Wind</t>
  </si>
  <si>
    <t>Steady wind from the east</t>
  </si>
  <si>
    <t>Normal rains</t>
  </si>
  <si>
    <t>4</t>
  </si>
  <si>
    <t>02-ATM-WDR-001</t>
  </si>
  <si>
    <t>8</t>
  </si>
  <si>
    <t>No change</t>
  </si>
  <si>
    <t>Stars</t>
  </si>
  <si>
    <t>Below-normal rains</t>
  </si>
  <si>
    <t>1</t>
  </si>
  <si>
    <t>Meaning changed</t>
  </si>
  <si>
    <t>Unknown</t>
  </si>
  <si>
    <t>Water bodies</t>
  </si>
  <si>
    <t>Dry spell in the hill micro-zone</t>
  </si>
  <si>
    <t>3;4</t>
  </si>
  <si>
    <t>Hill villages: store water, plan grazing reserve</t>
  </si>
  <si>
    <t>Water 3−; Livestock 2−</t>
  </si>
  <si>
    <t>Hill micro-zone only</t>
  </si>
  <si>
    <t>Hill households far from boreholes</t>
  </si>
  <si>
    <t>IAP-26-02</t>
  </si>
  <si>
    <t>Land-use/ habitat loss</t>
  </si>
  <si>
    <t>4;2</t>
  </si>
  <si>
    <t>County outlook is above normal for all of Laikipia; the hill micro-zone may still get a dry spell — not in KMD/ NDMA products</t>
  </si>
  <si>
    <t>Animals — insects</t>
  </si>
  <si>
    <t>Red ants carrying eggs to high ground</t>
  </si>
  <si>
    <t>Heavy rain within days</t>
  </si>
  <si>
    <t>01-ANI-ANT-001</t>
  </si>
  <si>
    <t>06</t>
  </si>
  <si>
    <t>Human body</t>
  </si>
  <si>
    <t>Joint pains in elders</t>
  </si>
  <si>
    <t>Rain is near</t>
  </si>
  <si>
    <t>06-SEN-PAI-001</t>
  </si>
  <si>
    <t>Sub-community-specific</t>
  </si>
  <si>
    <t>Elders only</t>
  </si>
  <si>
    <t>05</t>
  </si>
  <si>
    <t>Ritual</t>
  </si>
  <si>
    <t>He-goat intestines (demo)</t>
  </si>
  <si>
    <t>05-RIT-INT-001</t>
  </si>
  <si>
    <t>Contested</t>
  </si>
  <si>
    <t>Disputed between elders of two clans</t>
  </si>
  <si>
    <t>Clouds</t>
  </si>
  <si>
    <t>Dark clouds building in the east every afternoon</t>
  </si>
  <si>
    <t>02-ATM-CLD-001</t>
  </si>
  <si>
    <t>Plants — grass</t>
  </si>
  <si>
    <t>Grass greening on the plains</t>
  </si>
  <si>
    <t>Normal season</t>
  </si>
  <si>
    <t>01-PLT-VEG-001</t>
  </si>
  <si>
    <t>Provisional/emerging</t>
  </si>
  <si>
    <t>Frogs croaking (second sighting re-entered — should have updated the first row)</t>
  </si>
  <si>
    <t>Seasonal Tercile Tally — Live Bottom-Up Community Forecast (Above / Normal / Below Normal)</t>
  </si>
  <si>
    <t>Community/ Site:</t>
  </si>
  <si>
    <t>Type exactly as in the log column AI</t>
  </si>
  <si>
    <t>Season/ Year:</t>
  </si>
  <si>
    <t>Type exactly as in the log column AM</t>
  </si>
  <si>
    <t>Apply global prior multiplier to unscored indicators?</t>
  </si>
  <si>
    <t>1 = Yes, 0 = No (default 0). DEMO COPY: B3, B4, B73 and B76 hold hypothetical values.</t>
  </si>
  <si>
    <t>Counts every row of the Indicator Log that matches the site and season above AND passes the eligibility gate (Protocol Step 1): has a Unique Indicator ID (col AH), sighted this season (col N = 1), Confirmed (col AC = 1), Approved (col AD = 1), not Contested (col AP), and a tercile of 3, 2 or 1 (col U). The simple tally (TILKIT's base method) and the weighted tally (col CG: Final Weight = Base Weight × Decision relevance, optionally × global prior) are always shown side by side. Check col CE in the log to see why any row is excluded.</t>
  </si>
  <si>
    <t>Tercile</t>
  </si>
  <si>
    <t>Simple count</t>
  </si>
  <si>
    <t>Simple %</t>
  </si>
  <si>
    <t>Sum of weights</t>
  </si>
  <si>
    <t>Weighted %</t>
  </si>
  <si>
    <t>Above normal (Average)</t>
  </si>
  <si>
    <t>Normal (Average)</t>
  </si>
  <si>
    <t>Below normal (Average)</t>
  </si>
  <si>
    <t>Total</t>
  </si>
  <si>
    <t>Leading tercile (simple)</t>
  </si>
  <si>
    <t>A tie between two terciles is now shown as "Tie" instead of silently picking the first one.</t>
  </si>
  <si>
    <t>Leading tercile (weighted)</t>
  </si>
  <si>
    <t>Simple and weighted agree?</t>
  </si>
  <si>
    <t>Data check for this site and season</t>
  </si>
  <si>
    <t>Rows logged for this site and season (with an ID)</t>
  </si>
  <si>
    <t>Counted in the tally</t>
  </si>
  <si>
    <t xml:space="preserve">   of which counted without weight (current rating 0/ blank)</t>
  </si>
  <si>
    <t>Excluded: not sighted</t>
  </si>
  <si>
    <t>Excluded: not confirmed</t>
  </si>
  <si>
    <t>Excluded: not approved</t>
  </si>
  <si>
    <t>Excluded: contested</t>
  </si>
  <si>
    <t>Excluded: no tercile (0 or blank)</t>
  </si>
  <si>
    <t>Excluded: duplicate (later row with same ID, site and season) — fix before reading the tally</t>
  </si>
  <si>
    <t>Counted rows with decision relevance blank or 0 (treated as 1)</t>
  </si>
  <si>
    <t>Check: counted rows = tally total</t>
  </si>
  <si>
    <t>Notes: Simple % = count per tercile ÷ all counted indicators (TILKIT base method). Weighted % uses the tally weight in log column CG: Base Weight (current rating 3/2/1 until 3 scored seasons, then hit-rate band) capped at 2 below 2 corroborating records, × Decision relevance (1–3), × global prior only if B5 = 1. Both tallies count exactly the rows whose log status (CE) begins with 'Counted', so B14 always equals B22. Composite/ correlated indicators (Protocol Step 5) are not combined automatically — agree them in the room, record in col BA, and lower the other members' Decision relevance.</t>
  </si>
  <si>
    <t>Onset, cessation and distribution from the counted indicators</t>
  </si>
  <si>
    <t>Item</t>
  </si>
  <si>
    <t>Simple average</t>
  </si>
  <si>
    <t>Weighted average</t>
  </si>
  <si>
    <t>Earliest single sign</t>
  </si>
  <si>
    <t>Latest single sign</t>
  </si>
  <si>
    <t>Signs with data</t>
  </si>
  <si>
    <t>Onset — start of window</t>
  </si>
  <si>
    <t>Onset — end of window</t>
  </si>
  <si>
    <t>Cessation — start of window</t>
  </si>
  <si>
    <t>Cessation — end of window</t>
  </si>
  <si>
    <t>Community onset window (weighted)</t>
  </si>
  <si>
    <t>Community cessation window (weighted)</t>
  </si>
  <si>
    <t>Distribution</t>
  </si>
  <si>
    <t>Good — evenly spread (3)</t>
  </si>
  <si>
    <t>Fair — some dry spells (2)</t>
  </si>
  <si>
    <t>Poor — erratic (1)</t>
  </si>
  <si>
    <t>Leading distribution (weighted)</t>
  </si>
  <si>
    <t>Notes: onset and cessation use only counted indicators (same gate as the tercile tally) that gave dates. Simple average = mean date across signs; weighted average uses the same weights as the tercile tally. Compare these with the KMSA outlook (onset, cessation, distribution) during integration on Day 2.</t>
  </si>
  <si>
    <t>v4 — Priority-adjusted tally, confidence, vegetation condition, comparison with KMD/ KMSA, anticipatory-action triggers, communication and residual risk (same counted rows as above)</t>
  </si>
  <si>
    <t>Priority-adjusted weight</t>
  </si>
  <si>
    <t>Priority-adjusted %</t>
  </si>
  <si>
    <t>Leading tercile (priority-adjusted)</t>
  </si>
  <si>
    <t>Mean confidence score of counted signs (0–100, log DQ)</t>
  </si>
  <si>
    <t>Confidence class</t>
  </si>
  <si>
    <t>Predicted vegetation/ pasture condition (log CQ)</t>
  </si>
  <si>
    <t>Good (3)</t>
  </si>
  <si>
    <t>Fair (2)</t>
  </si>
  <si>
    <t>Poor (1)</t>
  </si>
  <si>
    <t>TILKIT Vegetation Condition Index (0–100, weighted; Good = 100, Fair = 50, Poor = 0)</t>
  </si>
  <si>
    <t>Community vegetation outlook</t>
  </si>
  <si>
    <t>Latest NDMA VCI3M for this ward/ sub-county (type from the monthly bulletin)</t>
  </si>
  <si>
    <t>NDMA vegetation class</t>
  </si>
  <si>
    <t>KMD/ KMSA county outlook tercile for this season (3 Above, 2 Near normal, 1 Below)</t>
  </si>
  <si>
    <t>Community leading tercile (weighted)</t>
  </si>
  <si>
    <t>Community vs KMD/ KMSA</t>
  </si>
  <si>
    <t>Counted signs that agree / differ by one / are opposite to KMD/ KMSA</t>
  </si>
  <si>
    <t>Forecast-based anticipatory action triggers (edit the yellow thresholds)</t>
  </si>
  <si>
    <t>Trigger threshold: weighted share of a hazard tercile</t>
  </si>
  <si>
    <t>Minimum mean confidence score to ACTIVATE</t>
  </si>
  <si>
    <t>Drought/ dry-spell trigger (below-normal weighted %)</t>
  </si>
  <si>
    <t>Flood/ excess-rain trigger (above-normal weighted %)</t>
  </si>
  <si>
    <t>Backed by KMD/ KMSA?</t>
  </si>
  <si>
    <t>Vegetation-based livestock trigger (index ≤ 33 = Poor)</t>
  </si>
  <si>
    <t>Warning communication for this site and season (log DA–DI)</t>
  </si>
  <si>
    <t>Signs whose advisory was disseminated</t>
  </si>
  <si>
    <t>People reached (sum)</t>
  </si>
  <si>
    <t>Of whom women, youth or persons with disability</t>
  </si>
  <si>
    <t>Inclusion share</t>
  </si>
  <si>
    <t>Mean % who understood</t>
  </si>
  <si>
    <t>Mean % who acted</t>
  </si>
  <si>
    <t>Mean warning lead before predicted onset (days)</t>
  </si>
  <si>
    <t>Advisories issued after the predicted onset (late)</t>
  </si>
  <si>
    <t>Residual risk and climate-change signals for this site and season</t>
  </si>
  <si>
    <t>Signs flagging a residual risk not covered by KMD/ KMSA or NDMA (DM = 1)</t>
  </si>
  <si>
    <t>… of which already in an action plan (DO = 1)</t>
  </si>
  <si>
    <t>Residual risks still unplanned — take to the Integrated Action Plan</t>
  </si>
  <si>
    <t>Signs with a STRONG climate-change signal (CP)</t>
  </si>
  <si>
    <t>Signs with one change signal (Watch)</t>
  </si>
  <si>
    <t>Notes (v4): the priority-adjusted tally multiplies each counted sign's tally weight by the hazard priority factor on the 'Weighting Options' tab (1.00 = neutral). The vegetation index is a community proxy, not a satellite VCI — compare it with the NDMA VCI3M in B73. Triggers are indicative: agree final trigger levels and the early actions they release in the Integrated Action Plan (log BZ), together with the county DRM/ NDMA contingency plan.</t>
  </si>
  <si>
    <t>Seasonal Indicator Calendar — when signs are expected (elders' calendar) vs when they were actually sighted</t>
  </si>
  <si>
    <t>Links the Indicator Log to the community's seasonal weather indicator calendar. Expected months come from log column CL (agreed with ITK holders); sighted months come from CI/ CJ. Counts are for the site in B4 across all seasons logged (so the calendar builds up over the years). A sign sighted in a different month from its calendar slot shows in the shift table — persistent shifts are a climate-change signal (log CP).</t>
  </si>
  <si>
    <t>Site:</t>
  </si>
  <si>
    <t>(defaults to the Tally site; overwrite to view another site)</t>
  </si>
  <si>
    <t>A. Expected calendar — number of signs whose normal slot is in each month (log CL)</t>
  </si>
  <si>
    <t>Code</t>
  </si>
  <si>
    <t>Category</t>
  </si>
  <si>
    <t>Jan</t>
  </si>
  <si>
    <t>Feb</t>
  </si>
  <si>
    <t>Mar</t>
  </si>
  <si>
    <t>Apr</t>
  </si>
  <si>
    <t>May</t>
  </si>
  <si>
    <t>Jun</t>
  </si>
  <si>
    <t>Jul</t>
  </si>
  <si>
    <t>Aug</t>
  </si>
  <si>
    <t>Sep</t>
  </si>
  <si>
    <t>Oct</t>
  </si>
  <si>
    <t>Nov</t>
  </si>
  <si>
    <t>Dec</t>
  </si>
  <si>
    <t>(month number)</t>
  </si>
  <si>
    <t>01-PLT</t>
  </si>
  <si>
    <t>Plants/ crops</t>
  </si>
  <si>
    <t>01-ANI</t>
  </si>
  <si>
    <t>Animals</t>
  </si>
  <si>
    <t>02-ATM</t>
  </si>
  <si>
    <t>Atmospheric</t>
  </si>
  <si>
    <t>03-AST</t>
  </si>
  <si>
    <t>Astronomical</t>
  </si>
  <si>
    <t>04-HYD</t>
  </si>
  <si>
    <t>Hydrological</t>
  </si>
  <si>
    <t>05-RIT</t>
  </si>
  <si>
    <t>Ritual/ divinatory</t>
  </si>
  <si>
    <t>06-SEN</t>
  </si>
  <si>
    <t>Sensory/ body</t>
  </si>
  <si>
    <t>All categories</t>
  </si>
  <si>
    <t>B. Observed calendar — number of sightings per month (log CJ)</t>
  </si>
  <si>
    <t>C. Mean calendar shift by category (months; − earlier, + later than the elders' calendar) and change signals</t>
  </si>
  <si>
    <t>Mean shift</t>
  </si>
  <si>
    <t>Signs with shift data</t>
  </si>
  <si>
    <t>STRONG CC flags</t>
  </si>
  <si>
    <t>Watch flags</t>
  </si>
  <si>
    <t>Disappeared/ rarely seen</t>
  </si>
  <si>
    <t>D. OND season calendar — what to observe and decide when, and which official products to line up with</t>
  </si>
  <si>
    <t>Phase</t>
  </si>
  <si>
    <t>Months</t>
  </si>
  <si>
    <t>TILKIT activity (log columns)</t>
  </si>
  <si>
    <t>Official products to compare (KMD/ KMSA, NDMA)</t>
  </si>
  <si>
    <t>Pre-season signals</t>
  </si>
  <si>
    <t>Jul–Sep</t>
  </si>
  <si>
    <t>Monthly sighting checks ("July 2026" rows) of long-lead signs: flowering, star positions, spring levels, bird arrival (N, O, CI, CL). Each confirmed July sighting counts as corroboration (BL).</t>
  </si>
  <si>
    <t>NDMA monthly drought EW bulletin (phase, VCI3M); KMD/ KMSA OND outlook released at the National Climate Outlook Forum (late Aug/ early Sep).</t>
  </si>
  <si>
    <t>Seasonal forecast workshop</t>
  </si>
  <si>
    <t>Sep–early Oct</t>
  </si>
  <si>
    <t>FGD + plenary: fill P–X, BU–BW; run the Tally (simple + weighted); compare with the county outlook (DJ, Tally B76–B78); agree triggers (Tally B82–B87); write messages (DP).</t>
  </si>
  <si>
    <t>County Climate Outlook Forum/ PSP; KMD/ KMSA county downscaled advisory.</t>
  </si>
  <si>
    <t>Onset window</t>
  </si>
  <si>
    <t>Oct–Nov</t>
  </si>
  <si>
    <t>Short-lead confirmation signs (thunder, ants, clouds) — operational/ emergency advisories (CV). Record dissemination (DA–DI). Record actual onset (AS).</t>
  </si>
  <si>
    <t>KMD/ KMSA monthly and 7-day forecasts, flood advisories; NDMA bulletin (Oct, Nov).</t>
  </si>
  <si>
    <t>In-season</t>
  </si>
  <si>
    <t>Nov–Dec</t>
  </si>
  <si>
    <t>Distribution and dry-spell signs; vegetation/ pasture signs (CQ); update the advisory; track early actions (CW–CZ).</t>
  </si>
  <si>
    <t>KMD/ KMSA monthly updates; NDMA bulletin VCI3M; county agriculture/ livestock advisories.</t>
  </si>
  <si>
    <t>Cessation</t>
  </si>
  <si>
    <t>Dec–Jan</t>
  </si>
  <si>
    <t>Cessation signs (R, S); record actual cessation (AT), distribution (AU) and VCI3M (CR).</t>
  </si>
  <si>
    <t>KMD/ KMSA season review; NDMA bulletin (Dec, Jan).</t>
  </si>
  <si>
    <t>Season review (scoring)</t>
  </si>
  <si>
    <t>Score every sign Hit/ Miss/ False Start (AZ); record outcome of actions (CZ) and residual risks met (DM–DO); review CP flags; weights update automatically for the next season.</t>
  </si>
  <si>
    <t>KMD/ KMSA OND verification; NDMA short-rains assessment.</t>
  </si>
  <si>
    <t>TILKIT Indicator Code Legend — consolidated (one scheme for all sites and seasons)</t>
  </si>
  <si>
    <t>Build a Unique Indicator ID as [Full Code Prefix]-[running number], e.g., 01-ANI-FRO-001 for the first frog-croaking indicator at any site. Keep the ID identical in every season and site; never put the season or site in it. Category codes: 01 Biological/ Ecological (01-PLT plant-based, 01-ANI animal-based); 02 Atmospheric/ Physical/ Meteorological; 03 Astronomical/ Astrological/ Celestial; 04 Hydrological/ Water-related; 05 Traditional ritual/ divinatory/ hidden; 06 Sensory/ human body. Where a row shows a "Preferred code", use that code instead so the same sign is not logged under two IDs.</t>
  </si>
  <si>
    <t>Category Code</t>
  </si>
  <si>
    <t>Category Name</t>
  </si>
  <si>
    <t>Type Code</t>
  </si>
  <si>
    <t>Type Name</t>
  </si>
  <si>
    <t>Sub-type Code</t>
  </si>
  <si>
    <t>Sub-type/ Specific observable indicator</t>
  </si>
  <si>
    <t>Full Code Prefix</t>
  </si>
  <si>
    <t>Example Indicator ID</t>
  </si>
  <si>
    <t>Preferred code (if this is a near-duplicate)</t>
  </si>
  <si>
    <t>How it may be used in weather prediction (Africa-wide catalogue)</t>
  </si>
  <si>
    <t>Africa evidence status</t>
  </si>
  <si>
    <t>Global prior multiplier</t>
  </si>
  <si>
    <t>Biological/ Ecological</t>
  </si>
  <si>
    <t>PLT</t>
  </si>
  <si>
    <t>CON</t>
  </si>
  <si>
    <t>Cones / seed structures (e.g. pinecones)</t>
  </si>
  <si>
    <t>01-PLT-CON</t>
  </si>
  <si>
    <t>01-PLT-CON-001</t>
  </si>
  <si>
    <t>FLW</t>
  </si>
  <si>
    <t>Flowering/blooming</t>
  </si>
  <si>
    <t>01-PLT-FLW</t>
  </si>
  <si>
    <t>Rain onset, season quality, rainfall timing and environmental change</t>
  </si>
  <si>
    <t>Widely documented; highly location- and species-specific</t>
  </si>
  <si>
    <t>FRU</t>
  </si>
  <si>
    <t>Fruit formation/ripening/abundance</t>
  </si>
  <si>
    <t>01-PLT-FRU</t>
  </si>
  <si>
    <t>01-PLT-FRU-001</t>
  </si>
  <si>
    <t>FUN</t>
  </si>
  <si>
    <t>Fungi / mushrooms</t>
  </si>
  <si>
    <t>01-PLT-FUN</t>
  </si>
  <si>
    <t>01-PLT-FUN-001</t>
  </si>
  <si>
    <t>GER</t>
  </si>
  <si>
    <t>Germination/sprouting/seed emergence</t>
  </si>
  <si>
    <t>01-PLT-GER</t>
  </si>
  <si>
    <t>01-PLT-GER-001</t>
  </si>
  <si>
    <t>GRS</t>
  </si>
  <si>
    <t>Grass</t>
  </si>
  <si>
    <t>01-PLT-GRS</t>
  </si>
  <si>
    <t>01-PLT-GRS-001</t>
  </si>
  <si>
    <t>HRB</t>
  </si>
  <si>
    <t>Herb</t>
  </si>
  <si>
    <t>01-PLT-HRB</t>
  </si>
  <si>
    <t>01-PLT-HRB-001</t>
  </si>
  <si>
    <t>LAF</t>
  </si>
  <si>
    <t>Leaf emergence/flush/new leaves</t>
  </si>
  <si>
    <t>01-PLT-LAF</t>
  </si>
  <si>
    <t>01-PLT-LAF-001</t>
  </si>
  <si>
    <t>LEF</t>
  </si>
  <si>
    <t>New leaves/green flush</t>
  </si>
  <si>
    <t>01-PLT-LEF</t>
  </si>
  <si>
    <t>01-PLT-LEF-001</t>
  </si>
  <si>
    <t>LFS</t>
  </si>
  <si>
    <t>Leaf shedding/wilting/drying</t>
  </si>
  <si>
    <t>01-PLT-LFS</t>
  </si>
  <si>
    <t>01-PLT-LFS-001</t>
  </si>
  <si>
    <t>LSH</t>
  </si>
  <si>
    <t>Leaf fall, wilting or drying</t>
  </si>
  <si>
    <t>01-PLT-LSH</t>
  </si>
  <si>
    <t>01-PLT-LSH-001</t>
  </si>
  <si>
    <t>OTH</t>
  </si>
  <si>
    <t>Any Other (specify, e.g., fire)</t>
  </si>
  <si>
    <t>01-PLT-OTH</t>
  </si>
  <si>
    <t>01-PLT-OTH-001</t>
  </si>
  <si>
    <t>SAP</t>
  </si>
  <si>
    <t>Sap/resin/plant exudate changes</t>
  </si>
  <si>
    <t>01-PLT-SAP</t>
  </si>
  <si>
    <t>01-PLT-SAP-001</t>
  </si>
  <si>
    <t>SHR</t>
  </si>
  <si>
    <t>Shrub</t>
  </si>
  <si>
    <t>01-PLT-SHR</t>
  </si>
  <si>
    <t>01-PLT-SHR-001</t>
  </si>
  <si>
    <t>TFL</t>
  </si>
  <si>
    <t>Flowering of trees before/around rains</t>
  </si>
  <si>
    <t>01-PLT-TFL</t>
  </si>
  <si>
    <t>01-PLT-TFL-001</t>
  </si>
  <si>
    <t>TRE</t>
  </si>
  <si>
    <t>Tree</t>
  </si>
  <si>
    <t>01-PLT-TRE</t>
  </si>
  <si>
    <t>01-PLT-TRE-001</t>
  </si>
  <si>
    <t>VEG</t>
  </si>
  <si>
    <t>General greenness, vigour or deterioration</t>
  </si>
  <si>
    <t>01-PLT-VEG</t>
  </si>
  <si>
    <t>VIN</t>
  </si>
  <si>
    <t>Vine (Climber)</t>
  </si>
  <si>
    <t>01-PLT-VIN</t>
  </si>
  <si>
    <t>01-PLT-VIN-001</t>
  </si>
  <si>
    <t>ANI</t>
  </si>
  <si>
    <t>Animals/ livestock</t>
  </si>
  <si>
    <t>AMP</t>
  </si>
  <si>
    <t>Amphibians</t>
  </si>
  <si>
    <t>01-ANI-AMP</t>
  </si>
  <si>
    <t>01-ANI-AMP-001</t>
  </si>
  <si>
    <t>ANT</t>
  </si>
  <si>
    <t>Ant/termite activity or colony movement</t>
  </si>
  <si>
    <t>01-ANI-ANT</t>
  </si>
  <si>
    <t>AQU</t>
  </si>
  <si>
    <t>Aquatic animal behaviour/migration (fish, crabs, etc.)</t>
  </si>
  <si>
    <t>01-ANI-AQU</t>
  </si>
  <si>
    <t>01-ANI-AQU-001</t>
  </si>
  <si>
    <t>ASR</t>
  </si>
  <si>
    <t>Movement toward shelter, water or settlements</t>
  </si>
  <si>
    <t>01-ANI-ASR</t>
  </si>
  <si>
    <t>01-ANI-ASR-001</t>
  </si>
  <si>
    <t>01-ANI-LOC</t>
  </si>
  <si>
    <t>BAD</t>
  </si>
  <si>
    <t>Appearance/disappearance of particular birds</t>
  </si>
  <si>
    <t>01-ANI-BAD</t>
  </si>
  <si>
    <t>01-ANI-BAD-001</t>
  </si>
  <si>
    <t>BCL</t>
  </si>
  <si>
    <t>Calling, singing or unusual bird sounds</t>
  </si>
  <si>
    <t>01-ANI-BCL</t>
  </si>
  <si>
    <t>01-ANI-BCL-001</t>
  </si>
  <si>
    <t>01-ANI-VOC</t>
  </si>
  <si>
    <t>BEE</t>
  </si>
  <si>
    <t>Bee movement/abundance</t>
  </si>
  <si>
    <t>01-ANI-BEE</t>
  </si>
  <si>
    <t>01-ANI-BEE-001</t>
  </si>
  <si>
    <t>BFD</t>
  </si>
  <si>
    <t>Changes in feeding or foraging</t>
  </si>
  <si>
    <t>01-ANI-BFD</t>
  </si>
  <si>
    <t>01-ANI-BFD-001</t>
  </si>
  <si>
    <t>01-ANI-FED</t>
  </si>
  <si>
    <t>BFL</t>
  </si>
  <si>
    <t>Unusual flock size, direction or gathering</t>
  </si>
  <si>
    <t>01-ANI-BFL</t>
  </si>
  <si>
    <t>01-ANI-BFL-001</t>
  </si>
  <si>
    <t>BMG</t>
  </si>
  <si>
    <t>Seasonal migration or movement</t>
  </si>
  <si>
    <t>01-ANI-BMG</t>
  </si>
  <si>
    <t>01-ANI-BMG-001</t>
  </si>
  <si>
    <t>01-ANI-MIG</t>
  </si>
  <si>
    <t>BNR</t>
  </si>
  <si>
    <t>Nesting, roosting or breeding-site behaviour</t>
  </si>
  <si>
    <t>01-ANI-BNR</t>
  </si>
  <si>
    <t>01-ANI-BNR-001</t>
  </si>
  <si>
    <t>01-ANI-NST</t>
  </si>
  <si>
    <t>BRD</t>
  </si>
  <si>
    <t>Birds</t>
  </si>
  <si>
    <t>01-ANI-BRD</t>
  </si>
  <si>
    <t>01-ANI-BRD-001</t>
  </si>
  <si>
    <t>BUT</t>
  </si>
  <si>
    <t>Butterfly appearance/migration/abundance</t>
  </si>
  <si>
    <t>01-ANI-BUT</t>
  </si>
  <si>
    <t>01-ANI-BUT-001</t>
  </si>
  <si>
    <t>Animal body condition/physical signs</t>
  </si>
  <si>
    <t>01-ANI-CON</t>
  </si>
  <si>
    <t>01-ANI-CON-001</t>
  </si>
  <si>
    <t>EMG</t>
  </si>
  <si>
    <t>Emergence from burrows/ground</t>
  </si>
  <si>
    <t>01-ANI-EMG</t>
  </si>
  <si>
    <t>01-ANI-EMG-001</t>
  </si>
  <si>
    <t>FED</t>
  </si>
  <si>
    <t>Feeding/grazing behaviour or unusual appetite</t>
  </si>
  <si>
    <t>01-ANI-FED-001</t>
  </si>
  <si>
    <t>FRG</t>
  </si>
  <si>
    <t>Frog calls, emergence or activity</t>
  </si>
  <si>
    <t>01-ANI-FRG</t>
  </si>
  <si>
    <t>01-ANI-FRG-001</t>
  </si>
  <si>
    <t>01-ANI-FRO</t>
  </si>
  <si>
    <t>FRO</t>
  </si>
  <si>
    <t>Frog croaking/activity</t>
  </si>
  <si>
    <t>FSH</t>
  </si>
  <si>
    <t>Fish</t>
  </si>
  <si>
    <t>01-ANI-FSH</t>
  </si>
  <si>
    <t>01-ANI-FSH-001</t>
  </si>
  <si>
    <t>INS</t>
  </si>
  <si>
    <t>Insects</t>
  </si>
  <si>
    <t>01-ANI-INS</t>
  </si>
  <si>
    <t>01-ANI-INS-001</t>
  </si>
  <si>
    <t>LBC</t>
  </si>
  <si>
    <t>Body condition/appearance linked to seasonal conditions</t>
  </si>
  <si>
    <t>01-ANI-LBC</t>
  </si>
  <si>
    <t>01-ANI-LBC-001</t>
  </si>
  <si>
    <t>LIV</t>
  </si>
  <si>
    <t>Cattle, goats, sheep or other livestock behaviour</t>
  </si>
  <si>
    <t>01-ANI-LIV</t>
  </si>
  <si>
    <t>01-ANI-LIV-001</t>
  </si>
  <si>
    <t>LOC</t>
  </si>
  <si>
    <t>Movement toward/away from water, shelter or settlements</t>
  </si>
  <si>
    <t>01-ANI-LOC-001</t>
  </si>
  <si>
    <t>MAM</t>
  </si>
  <si>
    <t>Mammals</t>
  </si>
  <si>
    <t>01-ANI-MAM</t>
  </si>
  <si>
    <t>01-ANI-MAM-001</t>
  </si>
  <si>
    <t>MAT</t>
  </si>
  <si>
    <t>Mating/breeding behaviour or frequency</t>
  </si>
  <si>
    <t>01-ANI-MAT</t>
  </si>
  <si>
    <t>01-ANI-MAT-001</t>
  </si>
  <si>
    <t>MIG</t>
  </si>
  <si>
    <t>Migration/arrival/disappearance/movement</t>
  </si>
  <si>
    <t>01-ANI-MIG-001</t>
  </si>
  <si>
    <t>MOL</t>
  </si>
  <si>
    <t>Molluscs</t>
  </si>
  <si>
    <t>01-ANI-MOL</t>
  </si>
  <si>
    <t>01-ANI-MOL-001</t>
  </si>
  <si>
    <t>MOS</t>
  </si>
  <si>
    <t>Mosquito abundance/activity</t>
  </si>
  <si>
    <t>01-ANI-MOS</t>
  </si>
  <si>
    <t>01-ANI-MOS-001</t>
  </si>
  <si>
    <t>NST</t>
  </si>
  <si>
    <t>Nesting/roosting/breeding behaviour</t>
  </si>
  <si>
    <t>01-ANI-NST-001</t>
  </si>
  <si>
    <t>Any Other (specify)</t>
  </si>
  <si>
    <t>01-ANI-OTH</t>
  </si>
  <si>
    <t>01-ANI-OTH-001</t>
  </si>
  <si>
    <t>REP</t>
  </si>
  <si>
    <t>Reptiles</t>
  </si>
  <si>
    <t>01-ANI-REP</t>
  </si>
  <si>
    <t>01-ANI-REP-001</t>
  </si>
  <si>
    <t>SNA</t>
  </si>
  <si>
    <t>Snail appearance/abundance</t>
  </si>
  <si>
    <t>01-ANI-SNA</t>
  </si>
  <si>
    <t>01-ANI-SNA-001</t>
  </si>
  <si>
    <t>SNP</t>
  </si>
  <si>
    <t>Snake/reptile movement or appearance</t>
  </si>
  <si>
    <t>01-ANI-SNP</t>
  </si>
  <si>
    <t>01-ANI-SNP-001</t>
  </si>
  <si>
    <t>SPD</t>
  </si>
  <si>
    <t>Spiders</t>
  </si>
  <si>
    <t>01-ANI-SPD</t>
  </si>
  <si>
    <t>01-ANI-SPD-001</t>
  </si>
  <si>
    <t>SWM</t>
  </si>
  <si>
    <t>Swarming/abundance of insects</t>
  </si>
  <si>
    <t>01-ANI-SWM</t>
  </si>
  <si>
    <t>01-ANI-SWM-001</t>
  </si>
  <si>
    <t>TER</t>
  </si>
  <si>
    <t>Termite emergence, flying or colony activity</t>
  </si>
  <si>
    <t>01-ANI-TER</t>
  </si>
  <si>
    <t>01-ANI-TER-001</t>
  </si>
  <si>
    <t>VOC</t>
  </si>
  <si>
    <t>Animal/bird calls, singing or unusual sounds</t>
  </si>
  <si>
    <t>01-ANI-VOC-001</t>
  </si>
  <si>
    <t>WLM</t>
  </si>
  <si>
    <t>Movement of wild animals toward/away from areas</t>
  </si>
  <si>
    <t>01-ANI-WLM</t>
  </si>
  <si>
    <t>01-ANI-WLM-001</t>
  </si>
  <si>
    <t>Atmospheric/ Physical/ Meteorological</t>
  </si>
  <si>
    <t>ATM</t>
  </si>
  <si>
    <t>Wind, cloud, air, rain, temperature, humidity, thunder, lightning, rainbow, mist/ fog, dew, soil/ dust</t>
  </si>
  <si>
    <t>(type level — add a sub-type where one fits)</t>
  </si>
  <si>
    <t>02-ATM-001</t>
  </si>
  <si>
    <t>AIR</t>
  </si>
  <si>
    <t>Air</t>
  </si>
  <si>
    <t>02-ATM-AIR</t>
  </si>
  <si>
    <t>02-ATM-AIR-001</t>
  </si>
  <si>
    <t>CCL</t>
  </si>
  <si>
    <t>Dark, white, reddish or other cloud colour</t>
  </si>
  <si>
    <t>02-ATM-CCL</t>
  </si>
  <si>
    <t>02-ATM-CCL-001</t>
  </si>
  <si>
    <t>02-ATM-COL</t>
  </si>
  <si>
    <t>Rain onset/cessation, rainfall intensity, storms, drought and short-term weather</t>
  </si>
  <si>
    <t>Widely documented across African case studies</t>
  </si>
  <si>
    <t>CCV</t>
  </si>
  <si>
    <t>Amount/extent of cloud cover or clear sky</t>
  </si>
  <si>
    <t>02-ATM-CCV</t>
  </si>
  <si>
    <t>02-ATM-CCV-001</t>
  </si>
  <si>
    <t>02-ATM-COV</t>
  </si>
  <si>
    <t>CHF</t>
  </si>
  <si>
    <t>Height, vertical development or unusual formation</t>
  </si>
  <si>
    <t>02-ATM-CHF</t>
  </si>
  <si>
    <t>02-ATM-CHF-001</t>
  </si>
  <si>
    <t>CLD</t>
  </si>
  <si>
    <t>Cloud</t>
  </si>
  <si>
    <t>02-ATM-CLD</t>
  </si>
  <si>
    <t>COL</t>
  </si>
  <si>
    <t>Sky/cloud colour</t>
  </si>
  <si>
    <t>02-ATM-COL-001</t>
  </si>
  <si>
    <t>COV</t>
  </si>
  <si>
    <t>Cloud cover/amount/sky clarity</t>
  </si>
  <si>
    <t>02-ATM-COV-001</t>
  </si>
  <si>
    <t>CTP</t>
  </si>
  <si>
    <t>Nimbostratus, cumulonimbus or other locally recognized cloud forms</t>
  </si>
  <si>
    <t>02-ATM-CTP</t>
  </si>
  <si>
    <t>02-ATM-CTP-001</t>
  </si>
  <si>
    <t>02-ATM-TYP</t>
  </si>
  <si>
    <t>DEW</t>
  </si>
  <si>
    <t>Dew</t>
  </si>
  <si>
    <t>02-ATM-DEW</t>
  </si>
  <si>
    <t>02-ATM-DEW-001</t>
  </si>
  <si>
    <t>DRY</t>
  </si>
  <si>
    <t>Dryness/cracking/wilting of soil or ground</t>
  </si>
  <si>
    <t>02-ATM-DRY</t>
  </si>
  <si>
    <t>02-ATM-DRY-001</t>
  </si>
  <si>
    <t>DSH</t>
  </si>
  <si>
    <t>Dust rising, drifting or unusual atmospheric haze</t>
  </si>
  <si>
    <t>02-ATM-DSH</t>
  </si>
  <si>
    <t>02-ATM-DSH-001</t>
  </si>
  <si>
    <t>02-ATM-DSR</t>
  </si>
  <si>
    <t>DSR</t>
  </si>
  <si>
    <t>Dust movement/dust haze/dust colour</t>
  </si>
  <si>
    <t>02-ATM-DSR-001</t>
  </si>
  <si>
    <t>HAL</t>
  </si>
  <si>
    <t>Halo / ring around sun or moon</t>
  </si>
  <si>
    <t>02-ATM-HAL</t>
  </si>
  <si>
    <t>02-ATM-HAL-001</t>
  </si>
  <si>
    <t>03-AST-HAL</t>
  </si>
  <si>
    <t>HUM</t>
  </si>
  <si>
    <t>Humidity</t>
  </si>
  <si>
    <t>02-ATM-HUM</t>
  </si>
  <si>
    <t>02-ATM-HUM-001</t>
  </si>
  <si>
    <t>LTG</t>
  </si>
  <si>
    <t>Lightning</t>
  </si>
  <si>
    <t>02-ATM-LTG</t>
  </si>
  <si>
    <t>02-ATM-LTG-001</t>
  </si>
  <si>
    <t>MIR</t>
  </si>
  <si>
    <t>Mirage / loom / atmospheric refraction</t>
  </si>
  <si>
    <t>02-ATM-MIR</t>
  </si>
  <si>
    <t>02-ATM-MIR-001</t>
  </si>
  <si>
    <t>MST</t>
  </si>
  <si>
    <t>Mist/ Fog</t>
  </si>
  <si>
    <t>02-ATM-MST</t>
  </si>
  <si>
    <t>02-ATM-MST-001</t>
  </si>
  <si>
    <t>ODR</t>
  </si>
  <si>
    <t>Atmospheric/earth/rain smell</t>
  </si>
  <si>
    <t>02-ATM-ODR</t>
  </si>
  <si>
    <t>02-ATM-ODR-001</t>
  </si>
  <si>
    <t>02-ATM-OTH</t>
  </si>
  <si>
    <t>02-ATM-OTH-001</t>
  </si>
  <si>
    <t>PRS</t>
  </si>
  <si>
    <t>Perceived air-pressure/pressure-related signs</t>
  </si>
  <si>
    <t>02-ATM-PRS</t>
  </si>
  <si>
    <t>02-ATM-PRS-001</t>
  </si>
  <si>
    <t>RAN</t>
  </si>
  <si>
    <t>Rain (itself)</t>
  </si>
  <si>
    <t>02-ATM-RAN</t>
  </si>
  <si>
    <t>02-ATM-RAN-001</t>
  </si>
  <si>
    <t>RBW</t>
  </si>
  <si>
    <t>Rainbow</t>
  </si>
  <si>
    <t>02-ATM-RBW</t>
  </si>
  <si>
    <t>02-ATM-RBW-001</t>
  </si>
  <si>
    <t>RCS</t>
  </si>
  <si>
    <t>Signs associated with ending of rainfall</t>
  </si>
  <si>
    <t>02-ATM-RCS</t>
  </si>
  <si>
    <t>02-ATM-RCS-001</t>
  </si>
  <si>
    <t>RID</t>
  </si>
  <si>
    <t>Local signs of heavy/light or spatially uneven rainfall</t>
  </si>
  <si>
    <t>02-ATM-RID</t>
  </si>
  <si>
    <t>02-ATM-RID-001</t>
  </si>
  <si>
    <t>RNS</t>
  </si>
  <si>
    <t>Rain onset/cessation/intensity pattern</t>
  </si>
  <si>
    <t>02-ATM-RNS</t>
  </si>
  <si>
    <t>02-ATM-RNS-001</t>
  </si>
  <si>
    <t>ROS</t>
  </si>
  <si>
    <t>Observed signs immediately preceding rainfall</t>
  </si>
  <si>
    <t>02-ATM-ROS</t>
  </si>
  <si>
    <t>02-ATM-ROS-001</t>
  </si>
  <si>
    <t>SDR</t>
  </si>
  <si>
    <t>Soil cracking, hardness or dryness</t>
  </si>
  <si>
    <t>02-ATM-SDR</t>
  </si>
  <si>
    <t>02-ATM-SDR-001</t>
  </si>
  <si>
    <t>SKC</t>
  </si>
  <si>
    <t>Colour/appearance of the sky</t>
  </si>
  <si>
    <t>02-ATM-SKC</t>
  </si>
  <si>
    <t>02-ATM-SKC-001</t>
  </si>
  <si>
    <t>SND</t>
  </si>
  <si>
    <t>Sound cues (breaking waves, distant thunder patterns)</t>
  </si>
  <si>
    <t>02-ATM-SND</t>
  </si>
  <si>
    <t>02-ATM-SND-001</t>
  </si>
  <si>
    <t>SOI</t>
  </si>
  <si>
    <t>Soil moisture / structure / smell (beyond dust)</t>
  </si>
  <si>
    <t>02-ATM-SOI</t>
  </si>
  <si>
    <t>02-ATM-SOI-001</t>
  </si>
  <si>
    <t>SOL</t>
  </si>
  <si>
    <t>Soil/ Dust</t>
  </si>
  <si>
    <t>02-ATM-SOL</t>
  </si>
  <si>
    <t>02-ATM-SOL-001</t>
  </si>
  <si>
    <t>SUN</t>
  </si>
  <si>
    <t>Sun intensity/heating without wind</t>
  </si>
  <si>
    <t>02-ATM-SUN</t>
  </si>
  <si>
    <t>02-ATM-SUN-001</t>
  </si>
  <si>
    <t>TDP</t>
  </si>
  <si>
    <t>Unusual daytime heat/cold</t>
  </si>
  <si>
    <t>02-ATM-TDP</t>
  </si>
  <si>
    <t>02-ATM-TDP-001</t>
  </si>
  <si>
    <t>THU</t>
  </si>
  <si>
    <t>Thunder</t>
  </si>
  <si>
    <t>02-ATM-THU</t>
  </si>
  <si>
    <t>02-ATM-THU-001</t>
  </si>
  <si>
    <t>TMP</t>
  </si>
  <si>
    <t>Temperature</t>
  </si>
  <si>
    <t>02-ATM-TMP</t>
  </si>
  <si>
    <t>02-ATM-TMP-001</t>
  </si>
  <si>
    <t>TNP</t>
  </si>
  <si>
    <t>Unusual night warmth/cold</t>
  </si>
  <si>
    <t>02-ATM-TNP</t>
  </si>
  <si>
    <t>02-ATM-TNP-001</t>
  </si>
  <si>
    <t>TYP</t>
  </si>
  <si>
    <t>Specific cloud form/type</t>
  </si>
  <si>
    <t>02-ATM-TYP-001</t>
  </si>
  <si>
    <t>VOL</t>
  </si>
  <si>
    <t>Volcanic plume / mountain-top cloud cap</t>
  </si>
  <si>
    <t>02-ATM-VOL</t>
  </si>
  <si>
    <t>02-ATM-VOL-001</t>
  </si>
  <si>
    <t>WCI</t>
  </si>
  <si>
    <t>Rotating, swirling or circulating wind</t>
  </si>
  <si>
    <t>02-ATM-WCI</t>
  </si>
  <si>
    <t>02-ATM-WCI-001</t>
  </si>
  <si>
    <t>02-ATM-WHL</t>
  </si>
  <si>
    <t>WDR</t>
  </si>
  <si>
    <t>Direction from which wind comes</t>
  </si>
  <si>
    <t>02-ATM-WDR</t>
  </si>
  <si>
    <t>WHL</t>
  </si>
  <si>
    <t>Whirlwind / dust devil / swirling wind</t>
  </si>
  <si>
    <t>02-ATM-WHL-001</t>
  </si>
  <si>
    <t>WND</t>
  </si>
  <si>
    <t>02-ATM-WND</t>
  </si>
  <si>
    <t>02-ATM-WND-001</t>
  </si>
  <si>
    <t>WST</t>
  </si>
  <si>
    <t>Weak, moderate, strong or changing wind strength</t>
  </si>
  <si>
    <t>02-ATM-WST</t>
  </si>
  <si>
    <t>02-ATM-WST-001</t>
  </si>
  <si>
    <t>Astronomical/ Astrological/ Celestial</t>
  </si>
  <si>
    <t>AST</t>
  </si>
  <si>
    <t>Sun, moon, stars, planets, sky</t>
  </si>
  <si>
    <t>03-AST-001</t>
  </si>
  <si>
    <t>ALG</t>
  </si>
  <si>
    <t>Star/constellation alignment or configuration</t>
  </si>
  <si>
    <t>03-AST-ALG</t>
  </si>
  <si>
    <t>03-AST-ALG-001</t>
  </si>
  <si>
    <t>ARC</t>
  </si>
  <si>
    <t>Moon crescent orientation/shape</t>
  </si>
  <si>
    <t>03-AST-ARC</t>
  </si>
  <si>
    <t>03-AST-ARC-001</t>
  </si>
  <si>
    <t>CLR</t>
  </si>
  <si>
    <t>Sun/moon/star colour or brightness</t>
  </si>
  <si>
    <t>03-AST-CLR</t>
  </si>
  <si>
    <t>03-AST-CLR-001</t>
  </si>
  <si>
    <t>CST</t>
  </si>
  <si>
    <t>Pattern/configuration of constellations</t>
  </si>
  <si>
    <t>03-AST-CST</t>
  </si>
  <si>
    <t>03-AST-CST-001</t>
  </si>
  <si>
    <t>Seasonal timing, rainfall outlook, drought/season quality</t>
  </si>
  <si>
    <t>Documented in African literature; strongest evidence in East/Northeast Africa</t>
  </si>
  <si>
    <t>Solar/lunar halo or ring</t>
  </si>
  <si>
    <t>03-AST-HAL-001</t>
  </si>
  <si>
    <t>MCL</t>
  </si>
  <si>
    <t>Moon colour/brightness</t>
  </si>
  <si>
    <t>03-AST-MCL</t>
  </si>
  <si>
    <t>03-AST-MCL-001</t>
  </si>
  <si>
    <t>MHL</t>
  </si>
  <si>
    <t>Halo/ring around the moon</t>
  </si>
  <si>
    <t>03-AST-MHL</t>
  </si>
  <si>
    <t>03-AST-MHL-001</t>
  </si>
  <si>
    <t>MMV</t>
  </si>
  <si>
    <t>Apparent position or movement of moon</t>
  </si>
  <si>
    <t>03-AST-MMV</t>
  </si>
  <si>
    <t>03-AST-MMV-001</t>
  </si>
  <si>
    <t>03-AST-MOV</t>
  </si>
  <si>
    <t>MON</t>
  </si>
  <si>
    <t>Moon</t>
  </si>
  <si>
    <t>03-AST-MON</t>
  </si>
  <si>
    <t>03-AST-MON-001</t>
  </si>
  <si>
    <t>MOV</t>
  </si>
  <si>
    <t>Apparent movement/position of stars or moon</t>
  </si>
  <si>
    <t>03-AST-MOV-001</t>
  </si>
  <si>
    <t>MPH</t>
  </si>
  <si>
    <t>New/full/crescent/dark moon phase</t>
  </si>
  <si>
    <t>03-AST-MPH</t>
  </si>
  <si>
    <t>03-AST-MPH-001</t>
  </si>
  <si>
    <t>MSH</t>
  </si>
  <si>
    <t>Crescent shape or orientation</t>
  </si>
  <si>
    <t>03-AST-MSH</t>
  </si>
  <si>
    <t>03-AST-MSH-001</t>
  </si>
  <si>
    <t>03-AST-OTH</t>
  </si>
  <si>
    <t>03-AST-OTH-001</t>
  </si>
  <si>
    <t>PLN</t>
  </si>
  <si>
    <t>Planets</t>
  </si>
  <si>
    <t>03-AST-PLN</t>
  </si>
  <si>
    <t>03-AST-PLN-001</t>
  </si>
  <si>
    <t>SBR</t>
  </si>
  <si>
    <t>Size/brightness of stars</t>
  </si>
  <si>
    <t>03-AST-SBR</t>
  </si>
  <si>
    <t>03-AST-SBR-001</t>
  </si>
  <si>
    <t>SKY</t>
  </si>
  <si>
    <t>Sky</t>
  </si>
  <si>
    <t>03-AST-SKY</t>
  </si>
  <si>
    <t>03-AST-SKY-001</t>
  </si>
  <si>
    <t>SMA</t>
  </si>
  <si>
    <t>Alignment/relationship between stars and moon</t>
  </si>
  <si>
    <t>03-AST-SMA</t>
  </si>
  <si>
    <t>03-AST-SMA-001</t>
  </si>
  <si>
    <t>SMV</t>
  </si>
  <si>
    <t>Apparent movement or position of stars</t>
  </si>
  <si>
    <t>03-AST-SMV</t>
  </si>
  <si>
    <t>03-AST-SMV-001</t>
  </si>
  <si>
    <t>SRS</t>
  </si>
  <si>
    <t>Sunrise/sunset colour, brightness, haze or timing</t>
  </si>
  <si>
    <t>03-AST-SRS</t>
  </si>
  <si>
    <t>03-AST-SRS-001</t>
  </si>
  <si>
    <t>SSG</t>
  </si>
  <si>
    <t>Recognized star group used as a seasonal marker</t>
  </si>
  <si>
    <t>03-AST-SSG</t>
  </si>
  <si>
    <t>STR</t>
  </si>
  <si>
    <t>03-AST-STR</t>
  </si>
  <si>
    <t>03-AST-STR-001</t>
  </si>
  <si>
    <t>Sun</t>
  </si>
  <si>
    <t>03-AST-SUN</t>
  </si>
  <si>
    <t>03-AST-SUN-001</t>
  </si>
  <si>
    <t>Hydrological/ Water-related</t>
  </si>
  <si>
    <t>HYD</t>
  </si>
  <si>
    <t>Water bodies (hydrological)</t>
  </si>
  <si>
    <t>04-HYD-001</t>
  </si>
  <si>
    <t>Water colour/clarity/turbidity</t>
  </si>
  <si>
    <t>04-HYD-CLR</t>
  </si>
  <si>
    <t>04-HYD-CLR-001</t>
  </si>
  <si>
    <t>Water flow/current/spring discharge</t>
  </si>
  <si>
    <t>04-HYD-FLW</t>
  </si>
  <si>
    <t>04-HYD-FLW-001</t>
  </si>
  <si>
    <t>FOM</t>
  </si>
  <si>
    <t>Foam</t>
  </si>
  <si>
    <t>04-HYD-FOM</t>
  </si>
  <si>
    <t>04-HYD-FOM-001</t>
  </si>
  <si>
    <t>KLP</t>
  </si>
  <si>
    <t>Kelp / seaweed movement</t>
  </si>
  <si>
    <t>04-HYD-KLP</t>
  </si>
  <si>
    <t>04-HYD-KLP-001</t>
  </si>
  <si>
    <t>LKC</t>
  </si>
  <si>
    <t>Lake surface/state associated with weather</t>
  </si>
  <si>
    <t>04-HYD-LKC</t>
  </si>
  <si>
    <t>04-HYD-LKC-001</t>
  </si>
  <si>
    <t>Rainfall/water availability, floods, lake/fishing and local hydrological change</t>
  </si>
  <si>
    <t>Documented in African hydrological/coastal/fishing and pastoral contexts</t>
  </si>
  <si>
    <t>LVL</t>
  </si>
  <si>
    <t>Water level/rise/fall of rivers, lakes, ponds or swamps</t>
  </si>
  <si>
    <t>04-HYD-LVL</t>
  </si>
  <si>
    <t>04-HYD-OTH</t>
  </si>
  <si>
    <t>04-HYD-OTH-001</t>
  </si>
  <si>
    <t>RFL</t>
  </si>
  <si>
    <t>Flow strength, direction or unusual current</t>
  </si>
  <si>
    <t>04-HYD-RFL</t>
  </si>
  <si>
    <t>04-HYD-RFL-001</t>
  </si>
  <si>
    <t>Increase/decrease or appearance of springs</t>
  </si>
  <si>
    <t>04-HYD-SPD</t>
  </si>
  <si>
    <t>04-HYD-SPD-001</t>
  </si>
  <si>
    <t>SWL</t>
  </si>
  <si>
    <t>Swell / anomalous waves / tide patterns</t>
  </si>
  <si>
    <t>04-HYD-SWL</t>
  </si>
  <si>
    <t>04-HYD-SWL-001</t>
  </si>
  <si>
    <t>SWP</t>
  </si>
  <si>
    <t>Rise/fall or unusual condition of wetlands/swamps</t>
  </si>
  <si>
    <t>04-HYD-SWP</t>
  </si>
  <si>
    <t>04-HYD-SWP-001</t>
  </si>
  <si>
    <t>TID</t>
  </si>
  <si>
    <t>Tide/sea-level or coastal water movement</t>
  </si>
  <si>
    <t>04-HYD-TID</t>
  </si>
  <si>
    <t>04-HYD-TID-001</t>
  </si>
  <si>
    <t>WAV</t>
  </si>
  <si>
    <t>Waves</t>
  </si>
  <si>
    <t>04-HYD-WAV</t>
  </si>
  <si>
    <t>04-HYD-WAV-001</t>
  </si>
  <si>
    <t>WCL</t>
  </si>
  <si>
    <t>Colour, clarity or turbidity</t>
  </si>
  <si>
    <t>04-HYD-WCL</t>
  </si>
  <si>
    <t>04-HYD-WCL-001</t>
  </si>
  <si>
    <t>WLV</t>
  </si>
  <si>
    <t>Rise/fall of rivers, lakes, ponds or swamps</t>
  </si>
  <si>
    <t>04-HYD-WLV</t>
  </si>
  <si>
    <t>04-HYD-WLV-001</t>
  </si>
  <si>
    <t>WSB</t>
  </si>
  <si>
    <t>Ripples, foam, surface movement</t>
  </si>
  <si>
    <t>04-HYD-WSB</t>
  </si>
  <si>
    <t>04-HYD-WSB-001</t>
  </si>
  <si>
    <t>04-HYD-WTR</t>
  </si>
  <si>
    <t>WTR</t>
  </si>
  <si>
    <t>Water surface appearance/ripples/currents</t>
  </si>
  <si>
    <t>04-HYD-WTR-001</t>
  </si>
  <si>
    <t>Traditional ritual observations/ Divinatory/ Hidden indicators</t>
  </si>
  <si>
    <t>RIT</t>
  </si>
  <si>
    <t>Ritual/ hidden indicators</t>
  </si>
  <si>
    <t>05-RIT-001</t>
  </si>
  <si>
    <t>DIV</t>
  </si>
  <si>
    <t>Other divination/ritual signs</t>
  </si>
  <si>
    <t>05-RIT-DIV</t>
  </si>
  <si>
    <t>05-RIT-DIV-001</t>
  </si>
  <si>
    <t>Seasonal/rainfall outlook within specific cultural systems</t>
  </si>
  <si>
    <t>Documented in specific cultural forecasting systems; specialist knowledge</t>
  </si>
  <si>
    <t>DRM</t>
  </si>
  <si>
    <t>Dreams/visions interpreted as weather signs</t>
  </si>
  <si>
    <t>05-RIT-DRM</t>
  </si>
  <si>
    <t>05-RIT-DRM-001</t>
  </si>
  <si>
    <t>INT</t>
  </si>
  <si>
    <t>(He-goat) Intestines</t>
  </si>
  <si>
    <t>05-RIT-INT</t>
  </si>
  <si>
    <t>ISC</t>
  </si>
  <si>
    <t>Traditional calendar/time markers used to anticipate seasons</t>
  </si>
  <si>
    <t>05-RIT-ISC</t>
  </si>
  <si>
    <t>05-RIT-ISC-001</t>
  </si>
  <si>
    <t>Liver</t>
  </si>
  <si>
    <t>05-RIT-LIV</t>
  </si>
  <si>
    <t>05-RIT-LIV-001</t>
  </si>
  <si>
    <t>05-RIT-OTH</t>
  </si>
  <si>
    <t>05-RIT-OTH-001</t>
  </si>
  <si>
    <t>SPL</t>
  </si>
  <si>
    <t>Spleen</t>
  </si>
  <si>
    <t>05-RIT-SPL</t>
  </si>
  <si>
    <t>05-RIT-SPL-001</t>
  </si>
  <si>
    <t>VIS</t>
  </si>
  <si>
    <t>Other animal viscera/body organs</t>
  </si>
  <si>
    <t>05-RIT-VIS</t>
  </si>
  <si>
    <t>05-RIT-VIS-001</t>
  </si>
  <si>
    <t>Sensory/ Human body physiological responses (Meteorosensitivity)</t>
  </si>
  <si>
    <t>SEN</t>
  </si>
  <si>
    <t>Human body sensations</t>
  </si>
  <si>
    <t>06-SEN-001</t>
  </si>
  <si>
    <t>BRH</t>
  </si>
  <si>
    <t>Breathing/sinus/body-air sensitivity</t>
  </si>
  <si>
    <t>06-SEN-BRH</t>
  </si>
  <si>
    <t>06-SEN-BRH-001</t>
  </si>
  <si>
    <t>Perceived atmospheric/weather change</t>
  </si>
  <si>
    <t>Documented, but less frequently than atmospheric/biological indicators</t>
  </si>
  <si>
    <t>BTP</t>
  </si>
  <si>
    <t>Feeling unusually hot/cold at particular times</t>
  </si>
  <si>
    <t>06-SEN-BTP</t>
  </si>
  <si>
    <t>06-SEN-BTP-001</t>
  </si>
  <si>
    <t>06-SEN-TMP</t>
  </si>
  <si>
    <t>EYE</t>
  </si>
  <si>
    <t>Eye / head sensations (twitching, headache)</t>
  </si>
  <si>
    <t>06-SEN-EYE</t>
  </si>
  <si>
    <t>06-SEN-EYE-001</t>
  </si>
  <si>
    <t>Humidity (body sensitivity)</t>
  </si>
  <si>
    <t>06-SEN-HUM</t>
  </si>
  <si>
    <t>06-SEN-HUM-001</t>
  </si>
  <si>
    <t>06-SEN-OTH</t>
  </si>
  <si>
    <t>06-SEN-OTH-001</t>
  </si>
  <si>
    <t>PAI</t>
  </si>
  <si>
    <t>Joint/body aches or pains linked to weather changes</t>
  </si>
  <si>
    <t>06-SEN-PAI</t>
  </si>
  <si>
    <t>SKN</t>
  </si>
  <si>
    <t>Skin sensation/itching/dryness linked to weather</t>
  </si>
  <si>
    <t>06-SEN-SKN</t>
  </si>
  <si>
    <t>06-SEN-SKN-001</t>
  </si>
  <si>
    <t>SML</t>
  </si>
  <si>
    <t>Smell</t>
  </si>
  <si>
    <t>06-SEN-SML</t>
  </si>
  <si>
    <t>06-SEN-SML-001</t>
  </si>
  <si>
    <t>Perceived atmospheric/weather change Use for body/ personal smell sensitivity only; smells of the air, earth or rain go under 02-ATM-ODR.</t>
  </si>
  <si>
    <t>Temperature (body sensitivity)</t>
  </si>
  <si>
    <t>06-SEN-TMP-001</t>
  </si>
  <si>
    <t>PST</t>
  </si>
  <si>
    <t>Pasture/ browse/ fodder condition (greenness, regrowth, drying) — vegetation condition</t>
  </si>
  <si>
    <t>01-PLT-PST</t>
  </si>
  <si>
    <t>01-PLT-PST-001</t>
  </si>
  <si>
    <t>Season quality, drought onset, pasture outlook; compare with NDMA VCI3M</t>
  </si>
  <si>
    <t>Added v4</t>
  </si>
  <si>
    <t>CRP</t>
  </si>
  <si>
    <t>Crop condition/ crop stress (wilting, yellowing, early tasselling)</t>
  </si>
  <si>
    <t>01-PLT-CRP</t>
  </si>
  <si>
    <t>01-PLT-CRP-001</t>
  </si>
  <si>
    <t>In-season dry-spell and drought signal; links to crop advisories</t>
  </si>
  <si>
    <t>Merged from every uploaded legend (Master, v2, Global additions, Africa-wide catalogue, harmonised and dated community forms) and the v2 validation Lists. All codes follow the realigned six-category numbering (01 Biological, 02 Atmospheric, 03 Astronomical, 04 Hydrological, 05 Ritual, 06 Sensory); codes from older legends have been converted by their type letters. v4 (Oct 2026): 01-PLT-PST and 01-PLT-CRP added for vegetation-condition forecasting; four more near-duplicates given a preferred code. 162 codes in total.</t>
  </si>
  <si>
    <t>Global prior multipliers by indicator code (from the TILKIT Priority Matrix)</t>
  </si>
  <si>
    <t>Composite W = 0.40 × Prevalence + 0.30 × Reliability + 0.30 × Lead-time (0–3 scales); multiplier = W ÷ mean(W), 1.00 = average priority. A GLOBAL, literature-based prior for new/ unscored indicators only: once an Indicator ID has ≥3 scored seasons its own hit rate overrides it. Applied in the tally only when the switch on the Seasonal Tercile Tally tab is set to 1 (Yes). Lookup order: 10-character code (e.g., 01-AST-STR), then type (e.g., 01-PLT), then category (e.g., 05).</t>
  </si>
  <si>
    <t>Code (lookup key)</t>
  </si>
  <si>
    <t>Priority Matrix row</t>
  </si>
  <si>
    <t>Suggested multiplier</t>
  </si>
  <si>
    <t>Composite W</t>
  </si>
  <si>
    <t>Evidence basis (Priority Matrix)</t>
  </si>
  <si>
    <t>Stars — Priority Matrix type 01-STR (old matrix numbering; now 03-AST)</t>
  </si>
  <si>
    <t>Pleiades on 4 continents; Zimbabwe 44% vs moon 33%; Andean El Nino ~6 months ahead</t>
  </si>
  <si>
    <t>Moon — Priority Matrix type 01-MON (old matrix numbering; now 03-AST)</t>
  </si>
  <si>
    <t>Halos, crescent inclination, phases; Africa-wide &amp; South Asia; Borana rate moon highly</t>
  </si>
  <si>
    <t>Sun — Priority Matrix type 01-SUN (old matrix numbering; now 03-AST)</t>
  </si>
  <si>
    <t>Solar rings, sunrise colour; more often validating than primary; long lead possible</t>
  </si>
  <si>
    <t>Wind — Priority Matrix type 02-WND (old matrix numbering; now 02-ATM)</t>
  </si>
  <si>
    <t>Pacific wind lore (Vanuatu); wind direction Malawi; good medium lead-time</t>
  </si>
  <si>
    <t>Clouds — Priority Matrix type 02-CLD (old matrix numbering; now 02-ATM)</t>
  </si>
  <si>
    <t>Dark clouds rated BEST onset indicator Uganda; cloud morphology core in Kenya/Malawi</t>
  </si>
  <si>
    <t>Temperature — Priority Matrix type 02-TMP (old matrix numbering; now 02-ATM)</t>
  </si>
  <si>
    <t>&gt;70% households Lushoto Tanzania; heat-haze and cold-snap signs</t>
  </si>
  <si>
    <t>Thunder &amp; lightning — Priority Matrix type 02-THU/LTG (old matrix numbering; now 02-ATM)</t>
  </si>
  <si>
    <t>Strong short-term (hours-days) signals; onset confirmation</t>
  </si>
  <si>
    <t>Mist/fog &amp; rainbow — Priority Matrix type 02-MST/RBW (old matrix numbering; now 02-ATM)</t>
  </si>
  <si>
    <t>Dew/fog timing Nepal; rainbow direction S. Africa; short lead</t>
  </si>
  <si>
    <t>Soil/dust &amp; dew — Priority Matrix type 02-SOL/DEW (old matrix numbering; now 02-ATM)</t>
  </si>
  <si>
    <t>Dust-devils, soil moisture smell; dew timing; secondary signs</t>
  </si>
  <si>
    <t>Hydrological (waves, foam) — Priority Matrix type 02-HYD (old matrix numbering; now 04-HYD)</t>
  </si>
  <si>
    <t>Coastal/Pacific micro-zones only (waves, sea-foam); long lead where used</t>
  </si>
  <si>
    <t>Plants / crops (tree, shrub, grass phenology) — Priority Matrix type 03-PLT (old matrix numbering; now 01-PLT)</t>
  </si>
  <si>
    <t>Mvule 60% Hoima; Acacia tortilis Borana; Andean potato-calendar plants; flowering = longest bio lead-time (weeks-months)</t>
  </si>
  <si>
    <t>Animals (birds, insects, amphibians, mammals) — Priority Matrix type 03-ANI (old matrix numbering; now 01-ANI)</t>
  </si>
  <si>
    <t>Most-cited sub-type globally; frogs 68% households Rakai; birds/army ants/butterflies E. Africa; universal short-to-medium lead</t>
  </si>
  <si>
    <t>Rituals / divinatory (intestines, liver) — Priority Matrix type 04-RIT (old matrix numbering; now 05-RIT)</t>
  </si>
  <si>
    <t>Borana Uchuu ~1% specialists; secrecy limits corroboration &amp; verification</t>
  </si>
  <si>
    <t>Sensory / body (pain, palpitations, smell) — Priority Matrix type 05-SEN (old matrix numbering; now 06-SEN)</t>
  </si>
  <si>
    <t>Lushoto eye palpitation; S. Africa joint pain ~15% of use; individual-specific</t>
  </si>
  <si>
    <t>Category: 01 Biological / Ecological</t>
  </si>
  <si>
    <t>Most documented category across 5 continents; frogs 68% &amp; Mvule 60% of households (Uganda); strong in Andes, Africa, Pacific</t>
  </si>
  <si>
    <t>Category: 02 Atmospheric / Physical / Meteorological</t>
  </si>
  <si>
    <t>Near-universal; dark clouds rated BEST onset indicator (Uganda); core of Pacific wind lore; Malawi cloud/wind reliance</t>
  </si>
  <si>
    <t>Category: 03 Astronomical / Astrological / Celestial</t>
  </si>
  <si>
    <t>Pleiades markers on 4 continents; Borana rate stars/moon MOST effective; Andean El Nino forecast ~6 months ahead</t>
  </si>
  <si>
    <t>Category: 04 Hydrological/ Water-related (Priority Matrix type 02-HYD)</t>
  </si>
  <si>
    <t>Category: 05 Traditional Rituals / Divinatory</t>
  </si>
  <si>
    <t>Least widespread; Borana Uchuu restricted to ~1% specialists; seasonal forecasts possible but rare &amp; secret</t>
  </si>
  <si>
    <t>Category: 06 Sensory / Human body physiological</t>
  </si>
  <si>
    <t>Sporadic: Lushoto (eye palpitation), S. Africa (~15% of use); short lead-time, individual-specific</t>
  </si>
  <si>
    <t>Source: TILKIT_Priority_Matrix.xlsx (Category Matrix, Type Matrix, Methodology). Codes in column A map the Priority Matrix types onto the Indicator Code Legend sub-types.</t>
  </si>
  <si>
    <t>Weighting Options — confidence score, hazard priority, indicative decision relevance and a worked numeric example</t>
  </si>
  <si>
    <t>Not all indicators carry equal strategic weight. The core TILKIT tally (simple count) treats every sign equally; the Weighting Protocol already gives each sign a Final Weight = Base Weight (track record) × Decision relevance (V, 1–3). This tab adds two adjustable layers: (A) a Confidence score (log column DQ) that summarises how much trust a sign deserves, and (B) hazard priority factors (log column DR) that let a site give extra weight to signs that inform its priority hazards. Yellow cells are editable; everything else is calculated.</t>
  </si>
  <si>
    <t>A. Confidence score — dimensions and adjustable weights (feeds log column DQ, 0–100)</t>
  </si>
  <si>
    <t>Dimension</t>
  </si>
  <si>
    <t>Log column(s)</t>
  </si>
  <si>
    <t>Weight (edit)</t>
  </si>
  <si>
    <t>Share</t>
  </si>
  <si>
    <t>Scoring rule (each dimension scored 0–1)</t>
  </si>
  <si>
    <t>Track record/ reliability</t>
  </si>
  <si>
    <t>CA (from M or hit rate BQ)</t>
  </si>
  <si>
    <t>Base Weight ÷ 3. Uses current rating until 3 scored seasons, then the hit-rate band (≥70% → 3, ≥40% → 2, else 1).</t>
  </si>
  <si>
    <t>Corroboration</t>
  </si>
  <si>
    <t>Number of independent Confirmed + Approved records, capped at 3, ÷ 3.</t>
  </si>
  <si>
    <t>Validation breadth</t>
  </si>
  <si>
    <t>Community/Plenary-endorsed 1.00; FGD-validated only 0.75; Sub-community-specific 0.50; Provisional/emerging 0.25; Contested 0.</t>
  </si>
  <si>
    <t>Lead time</t>
  </si>
  <si>
    <t>K ÷ 3 (months 1.00, weeks 0.67, days 0.33). Longer lead = more decision value for seasonal planning.</t>
  </si>
  <si>
    <t>Stability</t>
  </si>
  <si>
    <t>OK 1.00; FLAG (≥2-point swing historical → current) 0.25; not rated 0.50.</t>
  </si>
  <si>
    <t>Agreement with KMD/ KMSA</t>
  </si>
  <si>
    <t>Agrees 1.00; Differs by one class 0.50; Opposite 0; no KMD/ KMSA value 0.50 (neutral). Disagreement is not "wrong" — it is a prompt for the residual-risk check.</t>
  </si>
  <si>
    <t>Observer numbers</t>
  </si>
  <si>
    <t>Number of observers, capped at 3, ÷ 3.</t>
  </si>
  <si>
    <t>Technical verification</t>
  </si>
  <si>
    <t>Verified by technical expert 1.00, otherwise 0.</t>
  </si>
  <si>
    <t>Reading the score: 70–100 High confidence; 50–69 Medium; below 50 Low. Weights can be any positive numbers — they are normalised.</t>
  </si>
  <si>
    <t>B. Hazard priority factors (feeds log column DR; used only in the priority-adjusted tally on the Tally tab)</t>
  </si>
  <si>
    <t>Set factors from the site's priority hazards (e.g., from the County CIDP/ ward climate risk assessment). 1.00 = neutral. The indicative values below suit a drought- and flood-exposed ASAL site; set all to 1.00 to switch the layer off.</t>
  </si>
  <si>
    <t>Code (BU)</t>
  </si>
  <si>
    <t>Hazard</t>
  </si>
  <si>
    <t>Rationale</t>
  </si>
  <si>
    <t>Factor (edit)</t>
  </si>
  <si>
    <t>Drought/ dry spell</t>
  </si>
  <si>
    <t>Highest livelihood losses in ASAL; NDMA drought cycle management</t>
  </si>
  <si>
    <t>Excess rain/ flood</t>
  </si>
  <si>
    <t>Loss of life, assets and access; KMD/ KMSA flood advisories</t>
  </si>
  <si>
    <t>Windstorm</t>
  </si>
  <si>
    <t>Localised damage</t>
  </si>
  <si>
    <t>Erratic/ unreliable distribution</t>
  </si>
  <si>
    <t>Drives crop failure even in normal-total seasons</t>
  </si>
  <si>
    <t>Heat stress</t>
  </si>
  <si>
    <t>Health and livestock stress</t>
  </si>
  <si>
    <t>Pest/ disease outbreak risk</t>
  </si>
  <si>
    <t>Locusts, FAW, RVF and livestock disease follow wet/ dry anomalies</t>
  </si>
  <si>
    <t>Other</t>
  </si>
  <si>
    <t>None/ not applicable</t>
  </si>
  <si>
    <t>Sign implies no hazard</t>
  </si>
  <si>
    <t>C. Indicative decision relevance (strategic weight 1–3) by indicator role — guidance for column V</t>
  </si>
  <si>
    <t>Indicator role</t>
  </si>
  <si>
    <t>Typical signs</t>
  </si>
  <si>
    <t>Default V</t>
  </si>
  <si>
    <t>Typical lead</t>
  </si>
  <si>
    <t>Raise to 3 when … / lower to 1 when …</t>
  </si>
  <si>
    <t>Onset signals with weeks–months lead</t>
  </si>
  <si>
    <t>Tree flowering (01-PLT-FLW), Pleiades position (03-AST-SSG), bird arrival (01-ANI-MIG)</t>
  </si>
  <si>
    <t>Weeks–months</t>
  </si>
  <si>
    <t>Raise: directly sets planting/ land-preparation dates. Lower to 2 where the sign has not been scored yet in this site.</t>
  </si>
  <si>
    <t>Drought/ dry-spell signals in pastoral areas</t>
  </si>
  <si>
    <t>Spring/ pan levels (04-HYD-LVL), leaf shedding (01-PLT-LFS), livestock body condition (01-ANI-CON)</t>
  </si>
  <si>
    <t>Raise: triggers herd movement, destocking, water trucking. Lower: sign only describes current conditions.</t>
  </si>
  <si>
    <t>Flood/ excess-rain signals near rivers and dams</t>
  </si>
  <si>
    <t>River level (04-HYD-LVL), ant movement to high ground (01-ANI-ANT), frogs (01-ANI-FRO)</t>
  </si>
  <si>
    <t>Days–weeks</t>
  </si>
  <si>
    <t>Raise: settlement or school near flood plain. Lower: upland sites with no exposure.</t>
  </si>
  <si>
    <t>Distribution/ dry-spell-within-season signals</t>
  </si>
  <si>
    <t>Wind direction (02-ATM-WDR), moon halo (03-AST-HAL)</t>
  </si>
  <si>
    <t>Weeks</t>
  </si>
  <si>
    <t>Raise: crop variety/ staggered planting depends on it.</t>
  </si>
  <si>
    <t>Cessation signals</t>
  </si>
  <si>
    <t>Rain-end signs (02-ATM-RCS), dew (02-ATM-DEW)</t>
  </si>
  <si>
    <t>Raise: harvest/ drying and post-harvest losses are a priority.</t>
  </si>
  <si>
    <t>Vegetation/ pasture condition signals</t>
  </si>
  <si>
    <t>Grass greening (01-PLT-VEG), pasture (01-PLT-PST)</t>
  </si>
  <si>
    <t>Raise to 3 in pastoral wards (feeds the vegetation index and NDMA comparison).</t>
  </si>
  <si>
    <t>Short-lead confirmation signals</t>
  </si>
  <si>
    <t>Thunder, lightning, dark clouds, red ants</t>
  </si>
  <si>
    <t>Hours–days</t>
  </si>
  <si>
    <t>Keep at 1 for the seasonal tally but use for emergency/ operational advisories (lightning safety, flash floods).</t>
  </si>
  <si>
    <t>Ritual/ sensory signals</t>
  </si>
  <si>
    <t>05-RIT-*, 06-SEN-*</t>
  </si>
  <si>
    <t>Variable</t>
  </si>
  <si>
    <t>Raise only after a scored track record (≥3 seasons, hit rate ≥70%) and with consent/ do-no-harm cleared.</t>
  </si>
  <si>
    <t>D. Worked numeric example (hypothetical — six signs at one site, OND 2026). All weights below are live formulas: change the yellow cells to see the effect.</t>
  </si>
  <si>
    <t>Sign (hypothetical)</t>
  </si>
  <si>
    <t>Tercile U (3/2/1)</t>
  </si>
  <si>
    <t>Current rating M</t>
  </si>
  <si>
    <t>Corroborations BL</t>
  </si>
  <si>
    <t>Scored seasons BM</t>
  </si>
  <si>
    <t>Hits BN</t>
  </si>
  <si>
    <t>Hit rate</t>
  </si>
  <si>
    <t>Decision relevance V</t>
  </si>
  <si>
    <t>Hazard code BU</t>
  </si>
  <si>
    <t>Base Weight</t>
  </si>
  <si>
    <t>Final Weight</t>
  </si>
  <si>
    <t>Hazard factor</t>
  </si>
  <si>
    <t>Priority weight</t>
  </si>
  <si>
    <t>Frogs croaking at the dam (01-ANI-FRO-001)</t>
  </si>
  <si>
    <t>Acacia flowering heavily (01-PLT-FLW-001)</t>
  </si>
  <si>
    <t>Wind from the east (02-ATM-WDR-001)</t>
  </si>
  <si>
    <t>Pleiades low at dusk (03-AST-SSG-001)</t>
  </si>
  <si>
    <t>Spring discharge falling (04-HYD-LVL-001)</t>
  </si>
  <si>
    <t>Joint pains in elders (06-SEN-PAI-001)</t>
  </si>
  <si>
    <t>Weighted (Final Weight)</t>
  </si>
  <si>
    <t>Priority-adjusted</t>
  </si>
  <si>
    <t>Priority %</t>
  </si>
  <si>
    <t>Above normal</t>
  </si>
  <si>
    <t>Below normal</t>
  </si>
  <si>
    <t>How to read it</t>
  </si>
  <si>
    <t>Simple tally (core TILKIT): 3 of 6 signs point above normal → 50% above, 17% normal, 33% below. Weighting changes the picture: the acacia sign has a 100% hit rate over 3 scored seasons (Base 3 × V 3 = 9) while the Pleiades sign has dropped to a 33% hit rate (Base 1 × V 3 = 3) and the joint-pain sign has a low rating and low relevance (1 × 1 = 1). Final weights: above 6 + 9 + 1 = 16, normal 4, below 3 + 6 = 9 → 55% above, 14% normal, 31% below. With the hazard-priority layer (flood and drought signals × 1.5) the above-normal share rises to 58% because the strongest above-normal signs also inform the flood decision. All three readings point the same way, so the community message is 'above normal — prepare for floods, waterlogging and livestock disease', with the spring-discharge sign kept as a residual-risk watch for a dry micro-zone.</t>
  </si>
  <si>
    <t>E. What is still needed to raise confidence (beyond the present protocol)</t>
  </si>
  <si>
    <t>Independence/ composite screening (Protocol Step 5) is still manual — record clusters of related signs (e.g., frogs + ants + clouds after the same storm) in BA and reduce V so one event is not voted three times.</t>
  </si>
  <si>
    <t>Spatial representativeness: AR is free text; consider coding it (1 whole ward, 2 several villages, 3 micro-zone) so a micro-zone sign does not carry a ward-wide weight.</t>
  </si>
  <si>
    <t>Skill against climatology: a 33% hit rate is what chance gives for three terciles — report hit rate minus 33% (skill above chance) once ≥5 seasons exist; until then treat &lt;40% as no skill.</t>
  </si>
  <si>
    <t>Sample size: hit rates from 3 seasons are unstable; show the count (BM) next to every rate and move to the hit-rate phase only at ≥3 scored seasons (as now), ideally ≥5 before giving Base Weight 3.</t>
  </si>
  <si>
    <t>Probability calibration: compare the weighted % with outcomes over several seasons (e.g., when the tally said 60% above normal, how often was it above normal?) — a reliability diagram per site.</t>
  </si>
  <si>
    <t>Agreement with KMD/ KMSA as a confidence dimension (DK, added) — a sign that repeatedly opposes the official forecast and is then proved right is strong evidence of local value (residual risk).</t>
  </si>
  <si>
    <t>Observer diversity (BG–BK) and verification (AE) are now in the score; facilitation must still ensure women, youth and persons with disability are present in the FGD.</t>
  </si>
  <si>
    <t>Climate-change drift (CP): a sign flagged STRONG should have its Base Weight reviewed before the next season even if its 3-season hit rate is still acceptable.</t>
  </si>
  <si>
    <t>TILKIT Log — Which Fields Respond to the Five Barriers to Climate Information Service Use</t>
  </si>
  <si>
    <t>The five barriers below (salience, access, legitimacy, equity, integration) are widely recognized obstacles to communities actually using climate information services. This tab maps which fields in the TILKIT Weather Indicator Log respond to each barrier, and is honest about which barriers are only partly addressed by the log itself — some depend more on facilitation practice and downstream dissemination design than on any spreadsheet field.</t>
  </si>
  <si>
    <t>Barrier</t>
  </si>
  <si>
    <t>Field Code(s)</t>
  </si>
  <si>
    <t>Field Name</t>
  </si>
  <si>
    <t>How It Responds</t>
  </si>
  <si>
    <t>Coverage</t>
  </si>
  <si>
    <t>SALIENCE  —  Is the information meaningful and decision-relevant?</t>
  </si>
  <si>
    <t>Interpretation of the indicator behaviour in local weather-prediction terms</t>
  </si>
  <si>
    <t>Anchors interpretation in local terms, not abstract meteorological language</t>
  </si>
  <si>
    <t>Moderate</t>
  </si>
  <si>
    <t>W, V, X</t>
  </si>
  <si>
    <t>Recommended actions/ strategies; Decision relevance; Sector impact rating</t>
  </si>
  <si>
    <t>Converts a bare prediction into something tied directly to a real local decision — the standout salience provision Decision relevance (1–3) and the sector impact rating (3 High/ 2 Medium/ 1 Low/ 0 Not sure, with + or −) now record how decision-relevant each prediction is and for which sectors.</t>
  </si>
  <si>
    <t>Strong</t>
  </si>
  <si>
    <t>Geographic scope of applicability</t>
  </si>
  <si>
    <t>Prevents an indicator being treated as generally relevant when it only applies to a specific micro-zone</t>
  </si>
  <si>
    <t>Reference to Integrated Consensus Forecast</t>
  </si>
  <si>
    <t>Keeps the indicator traceably connected to the decision-relevant output it fed into</t>
  </si>
  <si>
    <t>ACCESS  —  Can communities actually reach and use the information?</t>
  </si>
  <si>
    <t>Language of the local name/ description</t>
  </si>
  <si>
    <t>Preserves the information in the language it was actually given in</t>
  </si>
  <si>
    <t>Audio/ video recording reference</t>
  </si>
  <si>
    <t>Supports non-text-based access for low-literacy community members</t>
  </si>
  <si>
    <t>Photos (at least three)</t>
  </si>
  <si>
    <t>Visual evidence usable regardless of literacy</t>
  </si>
  <si>
    <t>—</t>
  </si>
  <si>
    <t>GAP: not a log field</t>
  </si>
  <si>
    <t>Partly closed in v4: dissemination date, channels, reach, inclusion (women, youth, PWD), understanding and action taken are now tracked per sign (DA–DI) and summarised on the Tally tab (rows 89–97). Accessible formats and channel planning still sit downstream, but the log can now show whether the advisory actually reached and helped people.</t>
  </si>
  <si>
    <t>Partial</t>
  </si>
  <si>
    <t>LEGITIMACY  —  Is the information trusted and credibly produced?</t>
  </si>
  <si>
    <t>AB–AF</t>
  </si>
  <si>
    <t>Observed by → Confirmed by → Approved by → Verified by (technical expert)</t>
  </si>
  <si>
    <t>The log's single strongest legitimacy mechanism — a four-step, named sign-off chain combining community and technical authority</t>
  </si>
  <si>
    <t>Validation status</t>
  </si>
  <si>
    <t>Makes the degree of communal endorsement explicit and honest, rather than implying uniform legitimacy for everything logged</t>
  </si>
  <si>
    <t>J, L, M</t>
  </si>
  <si>
    <t>Historical/ emerging flag; historical and current reliability ratings</t>
  </si>
  <si>
    <t>Track record over time is itself a legitimacy signal, distinct from a one-off claim</t>
  </si>
  <si>
    <t>AG, AZ, BA, CA–CB</t>
  </si>
  <si>
    <t>Calibration; Hit/ Miss; composite-indicator notes</t>
  </si>
  <si>
    <t>Turns legitimacy into something empirically demonstrated, not just asserted</t>
  </si>
  <si>
    <t>Consent/ data-sharing preference</t>
  </si>
  <si>
    <t>An often-missed legitimacy dimension — respecting the community's own authority over how its knowledge is used and attributed</t>
  </si>
  <si>
    <t>EQUITY  —  Whose knowledge and voice is actually represented?</t>
  </si>
  <si>
    <t>Specify which group(s) recognize, dispute, or hold this indicator</t>
  </si>
  <si>
    <t>The direct equity provision — stops one group's knowledge (often elder or male) from being silently generalized as "the community's" view</t>
  </si>
  <si>
    <t>"Sub-community-specific" validation status option</t>
  </si>
  <si>
    <t>Gives thin, non-universal knowledge a legitimate, honestly-labeled place instead of forcing a false universal-consensus claim, or discarding it</t>
  </si>
  <si>
    <t>BG–BK</t>
  </si>
  <si>
    <t>Observer Demographic Profile (number of observers; gender, age/ generation, livelihood, and disability composition)</t>
  </si>
  <si>
    <t>New fields added specifically to close this gap — tags every entry with who actually contributed it, enabling a dataset-wide equity audit (e.g., are women, youth, or persons with disabilities under-represented as contributors overall) rather than relying only on a conditional, per-indicator free-text note</t>
  </si>
  <si>
    <t>GAP: partially closed, not fully</t>
  </si>
  <si>
    <t>The Observer Demographic Profile fields make representation measurable across the dataset, but measurement alone doesn't make an FGD inclusive in the first place — that still depends entirely on facilitation practice (deliberate group composition, distributing diverse voices across groups). These fields turn an invisible problem into a visible, auditable one; they don't replace the facilitation work of fixing it.</t>
  </si>
  <si>
    <t>INTEGRATION  —  Does ITK actually connect with the scientific/institutional system?</t>
  </si>
  <si>
    <t>Tercile rating (3=Above/ 2=Normal/ 1=Below/ 0=No prediction)</t>
  </si>
  <si>
    <t>The most important integration design choice in the log — using the same format meteorological forecasts use is what makes direct comparison and combination possible at all</t>
  </si>
  <si>
    <t>AE, AG</t>
  </si>
  <si>
    <t>Verified by technical expert; Calibration</t>
  </si>
  <si>
    <t>Brings formal technical review directly into the ITK data pipeline, rather than keeping it a separate community-only process</t>
  </si>
  <si>
    <t>AS, AV, AZ</t>
  </si>
  <si>
    <t>Actual outcome; actual classification; Hit/ Miss</t>
  </si>
  <si>
    <t>Lets ITK indicators be scored for skill on the same empirical footing meteorological forecasts are scored on</t>
  </si>
  <si>
    <t>Explicit traceability from an individual indicator to the combined, integrated output it informed</t>
  </si>
  <si>
    <t>Do-no-harm/ safety flag</t>
  </si>
  <si>
    <t>A governance checkpoint ensuring ITK-derived advisories don't bypass technical safety oversight</t>
  </si>
  <si>
    <t>Summary: Overall Coverage by Barrier</t>
  </si>
  <si>
    <t>Overall Log Coverage</t>
  </si>
  <si>
    <t>Key Takeaway</t>
  </si>
  <si>
    <t>Legitimacy</t>
  </si>
  <si>
    <t>Best-served barrier — multi-field, multi-mechanism (sign-off chain, validation status, calibration)</t>
  </si>
  <si>
    <t>Integration</t>
  </si>
  <si>
    <t>Second best-served — the tercile rating format is the core design choice that enables it</t>
  </si>
  <si>
    <t>Salience</t>
  </si>
  <si>
    <t>Moderate–Strong</t>
  </si>
  <si>
    <t>Recommended-actions field is the standout single provision</t>
  </si>
  <si>
    <t>Equity</t>
  </si>
  <si>
    <t>Partial→Moderate</t>
  </si>
  <si>
    <t>Now includes observer demographic tagging (BG–BK) for dataset-wide auditing, but still depends on inclusive FGD facilitation to actually be equitable, not just measurable</t>
  </si>
  <si>
    <t>Access</t>
  </si>
  <si>
    <t>v4 adds dissemination and feedback tracking (DA–DI); channel planning still happens downstream</t>
  </si>
  <si>
    <t>v4 additions by barrier</t>
  </si>
  <si>
    <t>CQ, CU–CW</t>
  </si>
  <si>
    <t>Vegetation outlook; lead time; decision horizon; objectives</t>
  </si>
  <si>
    <t>Ties each sign to a decision window and to pasture — the key pastoral decision</t>
  </si>
  <si>
    <t>DA–DI</t>
  </si>
  <si>
    <t>Dissemination, channels, reach, inclusion, understanding, action</t>
  </si>
  <si>
    <t>Measures whether the advisory reached women, youth and PWD in time</t>
  </si>
  <si>
    <t>CN–CP, DQ</t>
  </si>
  <si>
    <t>Change and driver; climate-change flag; confidence score</t>
  </si>
  <si>
    <t>Shows openly when a sign is weakening rather than defending it</t>
  </si>
  <si>
    <t>DE, DI</t>
  </si>
  <si>
    <t>Women/ youth/ PWD reached; inclusion share</t>
  </si>
  <si>
    <t>Equity of the output, not only of the contributors (BG–BK)</t>
  </si>
  <si>
    <t>KMD/ KMSA tercile and agreement; NDMA phase; residual risk; message</t>
  </si>
  <si>
    <t>Direct side-by-side comparison with the official products and a message back to them</t>
  </si>
  <si>
    <t>Framework Crosswalk — which columns, questions and provisions of the Indicator Log answer each question</t>
  </si>
  <si>
    <t>Column letters refer to "Sheet 1 - Indicator Log". Status: Existing = already in v3; v4 = added or repaired in this version; Gap = still handled outside the log.</t>
  </si>
  <si>
    <t>1. Site → Hazard → Risk → Impact → Opportunity → Action → Advisory → Action plans</t>
  </si>
  <si>
    <t>Aspect</t>
  </si>
  <si>
    <t>Field / question / provision</t>
  </si>
  <si>
    <t>How it responds</t>
  </si>
  <si>
    <t>Status</t>
  </si>
  <si>
    <t>Site/ Area/ Location</t>
  </si>
  <si>
    <t>F, AI, AJ, AK, AL, Z, AA, O, AR, AQ</t>
  </si>
  <si>
    <t>Locality description; site, ward, county, country; GPS; landmark; where sighted; geographic scope; which group holds it</t>
  </si>
  <si>
    <t>Places each sign at a point (Z, AA), a reporting unit (AI–AL) and an area of validity (AR) — the tally filters on AI</t>
  </si>
  <si>
    <t>Existing</t>
  </si>
  <si>
    <t>Hazards</t>
  </si>
  <si>
    <t>H, BU, BB, DM</t>
  </si>
  <si>
    <t>What the sign predicts; hazard type (main hazard first); do-no-harm flag; residual hazard not in official products</t>
  </si>
  <si>
    <t>Turns the weather prediction into a named hazard; BU drives the priority weight (DR)</t>
  </si>
  <si>
    <t>Existing + v4</t>
  </si>
  <si>
    <t>Risks</t>
  </si>
  <si>
    <t>BV, X, AR, DN</t>
  </si>
  <si>
    <t>Who/ what is exposed and vulnerable; sector impact rating (−); micro-zone; residual risk description</t>
  </si>
  <si>
    <t>Hazard × exposure × vulnerability in community words</t>
  </si>
  <si>
    <t>Impacts</t>
  </si>
  <si>
    <t>I, X, BV</t>
  </si>
  <si>
    <t>Impact-based application by sector; sector rating 3/2/1/0 with + or −; anticipated impact</t>
  </si>
  <si>
    <t>The impact-based forecasting core of the log</t>
  </si>
  <si>
    <t>Opportunities</t>
  </si>
  <si>
    <t>BW, X (+)</t>
  </si>
  <si>
    <t>Opportunity flag and description; positive sector ratings</t>
  </si>
  <si>
    <t>Captures the upside (water harvesting, expanded planting, markets)</t>
  </si>
  <si>
    <t>Action/ possible intervention/ solutions</t>
  </si>
  <si>
    <t>W, CW, CX, CY, CZ</t>
  </si>
  <si>
    <t>Recommended actions; objectives served; timing; implemented; result</t>
  </si>
  <si>
    <t>From advice to tracked early action and its effect</t>
  </si>
  <si>
    <t>Advisory</t>
  </si>
  <si>
    <t>W, BB, BF, DA–DI, DP; Tally B16–B18, B84–B87</t>
  </si>
  <si>
    <t>Actions; safety check; link to the Integrated Consensus Forecast; dissemination record; message for KMD/ NDMA</t>
  </si>
  <si>
    <t>The advisory is built at plenary from W + tally + KMD comparison; v4 tracks whether it went out and worked</t>
  </si>
  <si>
    <t>Community Representatives Action Plan</t>
  </si>
  <si>
    <t>BX (with W, AB–AD, CW–CZ)</t>
  </si>
  <si>
    <t>Action ID/ date linking to the separate plan</t>
  </si>
  <si>
    <t>Reference only — the plan itself is held outside the log</t>
  </si>
  <si>
    <t>Existing (Gap: content outside)</t>
  </si>
  <si>
    <t>Intermediary Officer Action Plan</t>
  </si>
  <si>
    <t>BY (with AE, BB, DJ–DL)</t>
  </si>
  <si>
    <t>Reference only; the officer also verifies (AE) and brings the KMD/ NDMA view (DJ, DL)</t>
  </si>
  <si>
    <t>Integrated Action Plan</t>
  </si>
  <si>
    <t>BZ, BF, DO; Tally B78, B84–B87, B102</t>
  </si>
  <si>
    <t>Integrated action ID; consensus forecast ID; residual risk planned?; triggers</t>
  </si>
  <si>
    <t>Joins community and technical plans; unplanned residual risks are listed for it (Tally B102)</t>
  </si>
  <si>
    <t>2. Impact-based forecasting (IBF) — from "what the weather will be" to "what the weather will do"</t>
  </si>
  <si>
    <t>IBF step 1: hazard forecast</t>
  </si>
  <si>
    <t>H, P–U, K</t>
  </si>
  <si>
    <t>Onset, cessation, distribution, amount; lead time</t>
  </si>
  <si>
    <t>Same tercile and window format as the KMD/ KMSA outlook</t>
  </si>
  <si>
    <t>IBF step 2: exposure and vulnerability</t>
  </si>
  <si>
    <t>BV, AR, AQ, BG–BK</t>
  </si>
  <si>
    <t>Who and what is exposed; where; which group</t>
  </si>
  <si>
    <t>Local knowledge of exposure that national products do not hold</t>
  </si>
  <si>
    <t>IBF step 3: impact</t>
  </si>
  <si>
    <t>Impact by sector with direction and severity (3/2/1/0)</t>
  </si>
  <si>
    <t>Severity × likelihood matrix possible: X (severity) × tally % (likelihood)</t>
  </si>
  <si>
    <t>IBF step 4: risk-based warning</t>
  </si>
  <si>
    <t>V, BU, DR, Tally B84–B87</t>
  </si>
  <si>
    <t>Decision relevance; hazard; priority factor; triggers</t>
  </si>
  <si>
    <t>Warning level linked to the hazard and the decision</t>
  </si>
  <si>
    <t>v4</t>
  </si>
  <si>
    <t>IBF step 5: response</t>
  </si>
  <si>
    <t>W, BW, BX–BZ, CW–CZ</t>
  </si>
  <si>
    <t>Actions, opportunities, plans, early actions and results</t>
  </si>
  <si>
    <t>Closes the IBF chain with action and its outcome</t>
  </si>
  <si>
    <t>How TILKIT aligns with IBF</t>
  </si>
  <si>
    <t>TILKIT is impact-based by design: every sign is interpreted in sector-impact terms (I, X) and turned into advice (W) by the people exposed.</t>
  </si>
  <si>
    <t>Unlike top-down IBF, the impact layer is produced by the community; v4 adds the warning-level, communication and verification steps WMO-No. 1150 expects (triggers, DA–DI, CZ).</t>
  </si>
  <si>
    <t>Aligned</t>
  </si>
  <si>
    <t>3. Calibration — prior evidence and track record (TILKIT scoring method)</t>
  </si>
  <si>
    <t>Prior evidence (before scoring)</t>
  </si>
  <si>
    <t>J, L, M, CF, Prior Multipliers tab</t>
  </si>
  <si>
    <t>History; historical and current reliability; literature-based prior multiplier</t>
  </si>
  <si>
    <t>Rating-based phase: Base Weight = current rating (M); optional global prior from the Priority Matrix</t>
  </si>
  <si>
    <t>AC, AD, BL, CA (cap)</t>
  </si>
  <si>
    <t>Confirmed and approved records</t>
  </si>
  <si>
    <t>Base Weight capped at 2 until ≥2 corroborating records</t>
  </si>
  <si>
    <t>Existing (v4: duplicates excluded)</t>
  </si>
  <si>
    <t>Track record</t>
  </si>
  <si>
    <t>AS–AV, AW–AY, AZ, BM–BS, BT</t>
  </si>
  <si>
    <t>Actual onset/ cessation/ distribution/ tercile; checks; Hit/ Miss/ False Start; rates; phase</t>
  </si>
  <si>
    <t>From 3 scored seasons the hit-rate band replaces the rating (≥70% → 3, ≥40% → 2, else 1)</t>
  </si>
  <si>
    <t>Weight and confidence</t>
  </si>
  <si>
    <t>CA, CB, CG, DQ</t>
  </si>
  <si>
    <t>Base, Final, tally weight; confidence score</t>
  </si>
  <si>
    <t>Final = Base × V; v4 confidence score adds validation, lead, stability, agreement, observers, verification</t>
  </si>
  <si>
    <t>4. Detecting and explaining climate-change impacts on ITK indicators</t>
  </si>
  <si>
    <t>Indicator becoming new/ rarer</t>
  </si>
  <si>
    <t>J, CN (Disappeared/ Less often)</t>
  </si>
  <si>
    <t>History class; observed change</t>
  </si>
  <si>
    <t>Elders report loss or decline of signs</t>
  </si>
  <si>
    <t>Reliability decline</t>
  </si>
  <si>
    <t>L vs M, CC, BQ</t>
  </si>
  <si>
    <t>Historical vs current rating; stability flag; hit rate trend</t>
  </si>
  <si>
    <t>A drop from L to M, or hit rate &lt;40% after 3 seasons</t>
  </si>
  <si>
    <t>Timing shift</t>
  </si>
  <si>
    <t>CI, CL, CM; Calendar tab section C</t>
  </si>
  <si>
    <t>Date sighted vs expected month; shift in months</t>
  </si>
  <si>
    <t>Measured shift against the elders' calendar, by category</t>
  </si>
  <si>
    <t>Explanation/ attribution</t>
  </si>
  <si>
    <t>CO, BA, AQ</t>
  </si>
  <si>
    <t>Likely driver (climate change, land use, water development…); notes; dissenting groups</t>
  </si>
  <si>
    <t>Separates climate drivers from non-climatic causes (habitat loss, dams)</t>
  </si>
  <si>
    <t>Overall flag</t>
  </si>
  <si>
    <t>CP; Tally B103–B104</t>
  </si>
  <si>
    <t>Climate-change signal flag (5 signals)</t>
  </si>
  <si>
    <t>STRONG = review weight and meaning before next season</t>
  </si>
  <si>
    <t>5. Spatial and temporal aspects (for trends and patterns)</t>
  </si>
  <si>
    <t>Spatial</t>
  </si>
  <si>
    <t>F, Z, AA, O, AI, AJ, AK, AL, AR, AQ, BU/BV; CE (site filter); Calendar B4</t>
  </si>
  <si>
    <t>Locality; GPS; landmark; site to country; geographic scope; groups; tally by site</t>
  </si>
  <si>
    <t>Allows mapping signs and tallies by site, ward and county, and comparison of sites</t>
  </si>
  <si>
    <t>Temporal</t>
  </si>
  <si>
    <t>K, O, P, Q, R, S, AM, AN, AS, AT, AW, AX, BL–BT, CI–CM, CU, CV, DB, DH</t>
  </si>
  <si>
    <t>Lead time; sighting; onset and cessation windows; season; dates; checks; multi-season metrics; calendar; lead days; warning lead</t>
  </si>
  <si>
    <t>Builds season-by-season series per Indicator ID: hit rates, shifts and lead times show trends</t>
  </si>
  <si>
    <t>Trend analysis tip</t>
  </si>
  <si>
    <t>AH + AM</t>
  </si>
  <si>
    <t>Same ID every season</t>
  </si>
  <si>
    <t>Pivot by AH × AM on BQ (hit rate), CM (shift) and DQ (confidence) to see which signs are improving or failing</t>
  </si>
  <si>
    <t>Method</t>
  </si>
  <si>
    <t>6. Vegetation condition forecasting and index</t>
  </si>
  <si>
    <t>Vegetation signs</t>
  </si>
  <si>
    <t>01-PLT-VEG, 01-PLT-PST, 01-PLT-CRP, 01-PLT-LFS…</t>
  </si>
  <si>
    <t>Legend codes for greenness, pasture, crop stress, leaf shedding</t>
  </si>
  <si>
    <t>v4 adds pasture and crop condition codes</t>
  </si>
  <si>
    <t>Forecast per sign</t>
  </si>
  <si>
    <t>Predicted vegetation/ pasture condition 3/2/1/0</t>
  </si>
  <si>
    <t>Every sign can carry a vegetation forecast, not only plant signs</t>
  </si>
  <si>
    <t>Index</t>
  </si>
  <si>
    <t>Tally rows 67–74</t>
  </si>
  <si>
    <t>TILKIT Vegetation Condition Index 0–100 (weighted); class; NDMA VCI3M</t>
  </si>
  <si>
    <t>Community proxy compared with the satellite VCI3M used by NDMA</t>
  </si>
  <si>
    <t>Verification</t>
  </si>
  <si>
    <t>CR, CS, CT</t>
  </si>
  <si>
    <t>Actual VCI3M; class; check</t>
  </si>
  <si>
    <t>Lets vegetation forecasts be scored like rainfall forecasts</t>
  </si>
  <si>
    <t>7. Forecast-based anticipatory action (multi-objective)</t>
  </si>
  <si>
    <t>Lead time and horizon</t>
  </si>
  <si>
    <t>K, CU, CV</t>
  </si>
  <si>
    <t>Lead class; days available; strategic/ tactical/ operational/ emergency</t>
  </si>
  <si>
    <t>Matches each sign to the decisions it can still inform</t>
  </si>
  <si>
    <t>Triggers</t>
  </si>
  <si>
    <t>Tally B82–B87</t>
  </si>
  <si>
    <t>Thresholds; drought, flood, vegetation triggers; KMD backing</t>
  </si>
  <si>
    <t>Indicative ACTIVATE/ READINESS levels from the weighted tally and confidence</t>
  </si>
  <si>
    <t>Multi-objective framework</t>
  </si>
  <si>
    <t>CW (objectives), X (sectors), BW (opportunities), DR (hazard priority)</t>
  </si>
  <si>
    <t>Lives, assets, food, water, education, environment, income</t>
  </si>
  <si>
    <t>Records which objectives each early action serves so trade-offs can be seen</t>
  </si>
  <si>
    <t>Action and result</t>
  </si>
  <si>
    <t>W, CX, CY, CZ, BX–BZ</t>
  </si>
  <si>
    <t>Action; timing; implemented; result; plans</t>
  </si>
  <si>
    <t>Shows whether anticipatory action happened before the hazard and reduced losses</t>
  </si>
  <si>
    <t>8. Effectiveness of drought warning communication and dissemination</t>
  </si>
  <si>
    <t>Did it go out, in time?</t>
  </si>
  <si>
    <t>DA, DB, DH; Tally B90, B96–B97</t>
  </si>
  <si>
    <t>Disseminated; date; warning lead; late advisories</t>
  </si>
  <si>
    <t>Timeliness relative to the predicted onset</t>
  </si>
  <si>
    <t>How and to whom?</t>
  </si>
  <si>
    <t>DC, DD, DE, DI, AO, BD</t>
  </si>
  <si>
    <t>Channels; reach; women/ youth/ PWD; inclusion share; language; audio</t>
  </si>
  <si>
    <t>Reach and inclusion of the warning</t>
  </si>
  <si>
    <t>Was it understood and used?</t>
  </si>
  <si>
    <t>DF, DG, CY, CZ</t>
  </si>
  <si>
    <t>% understood; % acted; action implemented; result</t>
  </si>
  <si>
    <t>Effectiveness = understood × acted × losses avoided</t>
  </si>
  <si>
    <t>9. Residual risk missed by conventional climate services and adaptation planning</t>
  </si>
  <si>
    <t>Comparison with official products</t>
  </si>
  <si>
    <t>DJ, DK, DL; Tally B76–B79</t>
  </si>
  <si>
    <t>KMD/ KMSA tercile; agreement; NDMA phase</t>
  </si>
  <si>
    <t>Shows where community signs disagree with the county outlook</t>
  </si>
  <si>
    <t>Residual risk record</t>
  </si>
  <si>
    <t>DM, DN, DO; Tally B100–B102</t>
  </si>
  <si>
    <t>Hazard/ place/ timing/ group not covered; description; planned?</t>
  </si>
  <si>
    <t>Names the risk, who is exposed, and whether a plan covers it</t>
  </si>
  <si>
    <t>Sources of residual risk TILKIT sees</t>
  </si>
  <si>
    <t>AR, AQ, BV, H, I, R–T</t>
  </si>
  <si>
    <t>Micro-zones; sub-groups; local impacts; distribution and cessation</t>
  </si>
  <si>
    <t>County outlooks are coarse; TILKIT adds micro-zone dry spells, onset in one valley, pests, local flash floods and impacts on specific groups</t>
  </si>
  <si>
    <t>How to address it</t>
  </si>
  <si>
    <t>BZ, CW–CZ, DP</t>
  </si>
  <si>
    <t>Integrated Action Plan; early actions; message back to KMD/ NDMA</t>
  </si>
  <si>
    <t>Residual risks go into the Integrated Action Plan and back to the county advisory/ bulletin</t>
  </si>
  <si>
    <t>10. Linking TILKIT to the seasonal weather indicator calendar</t>
  </si>
  <si>
    <t>Calendar slot of each sign</t>
  </si>
  <si>
    <t>CK, CL, 05-RIT-ISC</t>
  </si>
  <si>
    <t>Local calendar period; expected month; traditional calendar markers</t>
  </si>
  <si>
    <t>Places each sign on the community calendar</t>
  </si>
  <si>
    <t>Actual timing</t>
  </si>
  <si>
    <t>O, CI, CJ, AN</t>
  </si>
  <si>
    <t>Sighting date and month; data-collection date</t>
  </si>
  <si>
    <t>Places each sighting on the same calendar</t>
  </si>
  <si>
    <t>Calendar views</t>
  </si>
  <si>
    <t>Seasonal Indicator Calendar tab</t>
  </si>
  <si>
    <t>Expected vs observed matrices; shift; OND phase calendar</t>
  </si>
  <si>
    <t>Shows which months to watch which signs, and drift over years</t>
  </si>
  <si>
    <t>11. Improving KMD/ KMSA forecast and NDMA bulletin messaging</t>
  </si>
  <si>
    <t>Same format as official products</t>
  </si>
  <si>
    <t>U, P–T, AV</t>
  </si>
  <si>
    <t>Tercile, onset/ cessation windows, distribution</t>
  </si>
  <si>
    <t>Community and official forecasts can be compared one-to-one</t>
  </si>
  <si>
    <t>Local evidence for the message</t>
  </si>
  <si>
    <t>C, D, G, AO, DP</t>
  </si>
  <si>
    <t>Local names, behaviour, language, suggested message</t>
  </si>
  <si>
    <t>Messages can quote a sign people already trust ("when the frogs croak at the dam …")</t>
  </si>
  <si>
    <t>Where official and local agree/ differ</t>
  </si>
  <si>
    <t>DK, Tally B78–B79</t>
  </si>
  <si>
    <t>Agreement</t>
  </si>
  <si>
    <t>Agree → one joint message; differ → explain both; opposite → integration session</t>
  </si>
  <si>
    <t>Local impacts and actions</t>
  </si>
  <si>
    <t>I, X, BV, W, CW</t>
  </si>
  <si>
    <t>Sector impacts and actions in local terms</t>
  </si>
  <si>
    <t>Adds the "what to do here" that county advisories and NDMA bulletins lack</t>
  </si>
  <si>
    <t>Pasture and early-warning phase</t>
  </si>
  <si>
    <t>CQ, Tally 67–74, DL</t>
  </si>
  <si>
    <t>Vegetation forecast and index; NDMA phase</t>
  </si>
  <si>
    <t>Gives NDMA a forward-looking community pasture outlook next to the VCI3M</t>
  </si>
  <si>
    <t>Feedback loop</t>
  </si>
  <si>
    <t>DA–DG, AZ, CZ</t>
  </si>
  <si>
    <t>Reach, understanding, action, verification</t>
  </si>
  <si>
    <t>Evidence on which messages and channels work, to share at the county climate outlook forum</t>
  </si>
  <si>
    <t>TILKIT references (de-duplicated and completed, v4)</t>
  </si>
  <si>
    <t>Formal publications on the TILKIT innovation are listed below. TILKIT PSP is being piloted in Kenya (https://www.linkedin.com/posts/adaptation-consortium_greenschools-climateaction-communityresilience-activity-7365685626811072512-F2A8/) and Ghana (https://www.linkedin.com/posts/adaptation-consortium_locallyledadaptation-climateresilience-tilkit-activity-7485702024588791808-2Z4G/). Further improvements are being documented during the two pilots.</t>
  </si>
  <si>
    <t>A. TILKIT publications</t>
  </si>
  <si>
    <t>Osumba J.J.L., Radeny M., Recha J.W., Oroma G.W., Nzoka O., Mbingo J., Warinda E. and Mwale S. (2023). Towards a Replicable Innovative Tool for Adaptive Climate Monitoring and Weather Forecasting Using Traditional Indigenous and Local Indicators to Strengthen Agro-Weather Resilience at Scale. FARA Research Report 7(25): 296–320. https://library.faraafrica.org/2023/04/26/towards-a-replicable-innovative-tool-for-adaptive-climate-monitoring-and-weather-forecasting-using-traditional-indigenous-and-local-indicators-to-strengthen-agro-weather-resilience-at-scale/ (PDF: https://library.faraafrica.org/storage/2023/04/FRR-Vol-725296-320.pdf; the DOI 10.59101/frr072325 is reported inactive)</t>
  </si>
  <si>
    <t>Osumba J., Ahlers M. and Makonnen B. (2023). How to weave local and indigenous knowledge in climate monitoring and weather forecasting in Africa. AICCRA Programme Blog, CGIAR. https://aiccra.cgiar.org/news/how-weave-local-and-indigenous-knowledge-climate-monitoring-and-weather-forecasting-africa</t>
  </si>
  <si>
    <t>Osumba J. (2022). Participation Report at the Biennial Africa Climate-Smart Agriculture Conference (FARA) in Ghana. AICCRA Conference Participation Report. CGSpace.</t>
  </si>
  <si>
    <t>Osumba J.J.L., Recha J.W. and Oroma G.W. (2021). Appendix A Table A1/ Box 1/ Box 2: Indigenous technical knowledge (ITK) local weather indicator monitoring and tracking tool. In: Transforming Agricultural Extension Service Delivery through Innovative Bottom–Up Climate-Resilient Agribusiness Farmer Field Schools. Sustainability 13(7): 3938. https://www.mdpi.com/2071-1050/13/7/3938</t>
  </si>
  <si>
    <t>Osumba J.J.L. (2020). Mainstreaming climate change response in Field School Methodology to strengthen climate-resilient service delivery. Selected practices. Digital Report of the Virtual Knowledge Share Fair, 19–23 October 2020.</t>
  </si>
  <si>
    <t>Towards a Rights-based Innovative Traditional Knowledge Tool for Systematic Weather Forecasting and Decision Support by Indigenous and Local Communities (policy brief). CEMIRIDE. https://www.cemiride.org/traditional-weather-forecasting-policy-brief/</t>
  </si>
  <si>
    <t>B. Related literature on indigenous forecasting and integration</t>
  </si>
  <si>
    <t>Making Climate Services Actionable for Farmers in Ghana: The Value of Co-Production and Knowledge Integration. SpringerLink.</t>
  </si>
  <si>
    <t>Techniques and skills of indigenous weather and seasonal climate forecast in Northern Ghana. Taylor &amp; Francis Online.</t>
  </si>
  <si>
    <t>Towards weather and climate services that integrate indigenous and scientific forecasts to improve forecast reliability and acceptability in Ghana. ScienceDirect.</t>
  </si>
  <si>
    <t>Guye M., Legesse A. and Mohammed Y. (2022). Indigenous weather forecasting among Gujii pastoralists in southern Ethiopia: towards monitoring drought. Pastoralism 12: 43. https://link.springer.com/article/10.1186/s13570-022-00258-0 (indicator species becoming scarce — climate-change impact on ITK indicators)</t>
  </si>
  <si>
    <t>Integrating Indigenous and scientific early warning systems for climate resilience in the Karamoja Cluster of Kenya and Uganda (2026). Discover Sustainability. https://link.springer.com/article/10.1007/s43621-026-03271-0</t>
  </si>
  <si>
    <t>Maastricht University and Climate Resilient Borderlands Horn of Africa (2024). Climate Resilience in the Karamoja Cluster: A Recommendations Report (unpublished).</t>
  </si>
  <si>
    <t>Møller N.B. (2014). Practical Approaches to Integrating Community Based Adaptation in Local Planning in Northern Ghana. ALP Ghana. https://peoplefoodandnature.org/blog/practical-approaches-to-integrating-community-based-adaptation-in-local-planning-in-northern-ghana/</t>
  </si>
  <si>
    <t>C. Climate services, impact-based forecasting and drought early warning (used for the v4 extensions)</t>
  </si>
  <si>
    <t>Kenya Meteorological Department (2026). OND 2026 Seasonal Forecast (county onset, cessation, distribution and sector advisories). https://meteo.go.ke/documents/4790/OND_2026__Seasonal_Forecast.pdf</t>
  </si>
  <si>
    <t>National Drought Management Authority (2026). National Drought Early Warning Bulletin, July 2026 (drought phases, VCI3M). https://knowledgeweb.ndma.go.ke/Content/LibraryDocuments/National_Drought_Early_Warning_Bulletin_July_202620260819151459.pdf</t>
  </si>
  <si>
    <t>Klisch A. and Atzberger C. (2016). Operational drought monitoring in Kenya using MODIS NDVI time series. Remote Sensing 8(4): 267 (VCI3M classes used by NDMA: &lt;10 extreme, 10–20 severe, 20–35 moderate, 35–50 normal, ≥50 above normal).</t>
  </si>
  <si>
    <t>WMO (2015). WMO Guidelines on Multi-hazard Impact-based Forecast and Warning Services (WMO-No. 1150). Geneva: World Meteorological Organization.</t>
  </si>
  <si>
    <t>An Economic Valuation of the Kenya Meteorological Department's Decentralised Provision. IIED. https://www.iied.org/22066g</t>
  </si>
  <si>
    <t>CES – Climate &amp; Environmental Services. https://ces-global.org/</t>
  </si>
  <si>
    <t>Change Log v4 — errors, duplications and omissions found in v3 and how each was fixed (19 Oct 2026)</t>
  </si>
  <si>
    <t>Sheet</t>
  </si>
  <si>
    <t>Location</t>
  </si>
  <si>
    <t>Issue found</t>
  </si>
  <si>
    <t>Fix</t>
  </si>
  <si>
    <t>Sheet 1 - Indicator Log</t>
  </si>
  <si>
    <t>D3</t>
  </si>
  <si>
    <t>Garbled wording ("exhibits itself to that predicts")</t>
  </si>
  <si>
    <t>Header rewritten</t>
  </si>
  <si>
    <t>E3</t>
  </si>
  <si>
    <t>Example duplicated column D ("tree flowering intensity") instead of giving a prediction</t>
  </si>
  <si>
    <t>F3</t>
  </si>
  <si>
    <t>Duplicated AI (site) and AM (season/ year)</t>
  </si>
  <si>
    <t>AG4</t>
  </si>
  <si>
    <t>Used a numeric code (2 hits, 1 false starts, 0 misses) that conflicted with AZ and with the word-based dropdown</t>
  </si>
  <si>
    <t>AM4</t>
  </si>
  <si>
    <t>Example ('2026 Short Rains') contradicted the 'OND 2026' format the tally needs</t>
  </si>
  <si>
    <t>AP4</t>
  </si>
  <si>
    <t>Header listed 4 merged options; dropdown has 5 different ones</t>
  </si>
  <si>
    <t>AZ4</t>
  </si>
  <si>
    <t>Numbered 3/2/1 options while the dropdown and formulas use words only</t>
  </si>
  <si>
    <t>BB4</t>
  </si>
  <si>
    <t>Typo "laready"</t>
  </si>
  <si>
    <t>J3</t>
  </si>
  <si>
    <t>Dropdown allowed only 2/1 although the header defines 3/2/1/0</t>
  </si>
  <si>
    <t>K3</t>
  </si>
  <si>
    <t>No dropdown and no link to decision horizons</t>
  </si>
  <si>
    <t>O3</t>
  </si>
  <si>
    <t>Date and place mixed in one text cell — could not be calculated with</t>
  </si>
  <si>
    <t>BU4</t>
  </si>
  <si>
    <t>No rule for which hazard drives the priority weighting</t>
  </si>
  <si>
    <t>AU5</t>
  </si>
  <si>
    <t>Stray value in a guide row (3)</t>
  </si>
  <si>
    <t>Cleared</t>
  </si>
  <si>
    <t>BK5</t>
  </si>
  <si>
    <t>Stray value in a guide row (1)</t>
  </si>
  <si>
    <t>Y6</t>
  </si>
  <si>
    <t>Stray value in a guide row (' ')</t>
  </si>
  <si>
    <t>A7 (comment)</t>
  </si>
  <si>
    <t>Comment proposed an older ordering (01 Astronomical … 03 Biological) that conflicts with the realigned codes</t>
  </si>
  <si>
    <t>Comment replaced with the realigned scheme</t>
  </si>
  <si>
    <t>J12:J500 dropdown</t>
  </si>
  <si>
    <t>Allowed only 2,1</t>
  </si>
  <si>
    <t>Now 3,2,1,0 as in header</t>
  </si>
  <si>
    <t>AH12:AH500 validation</t>
  </si>
  <si>
    <t>Custom rule was the constant "1" (validated nothing)</t>
  </si>
  <si>
    <t>Now checks the prefix against the Legend (warning)</t>
  </si>
  <si>
    <t>K12:K500</t>
  </si>
  <si>
    <t>No dropdown on lead time</t>
  </si>
  <si>
    <t>Dropdown 3,2,1,0 added</t>
  </si>
  <si>
    <t>BH–BJ</t>
  </si>
  <si>
    <t>Coded demographic columns had no dropdowns</t>
  </si>
  <si>
    <t>Dropdowns added (codes as in headers)</t>
  </si>
  <si>
    <t>CI–DT</t>
  </si>
  <si>
    <t>No fields for seasonal-calendar timing, climate-change detection, vegetation condition, anticipatory action, dissemination, KMD/ NDMA comparison, residual risk, confidence or priority weighting</t>
  </si>
  <si>
    <t>38 new columns added after CH (existing columns unchanged in position)</t>
  </si>
  <si>
    <t>BL–BP (rows 12–500)</t>
  </si>
  <si>
    <t>Duplicate rows for the same ID/ site/ season inflated corroboration and scored-season counts (header says "number of seasons")</t>
  </si>
  <si>
    <t>Counts now use only the first record (helper DT); BM = BN+BO+BP</t>
  </si>
  <si>
    <t>CC (rows 12–500)</t>
  </si>
  <si>
    <t>A rating of 0 (= Not sure) was treated as a number, so L = 2/3 with M = 0 raised a false "large swing" flag</t>
  </si>
  <si>
    <t>Ratings of 0 are now ignored by the stability flag</t>
  </si>
  <si>
    <t>CE (rows 12–500)</t>
  </si>
  <si>
    <t>Duplicate rows were flagged in CD but still counted twice in the tally</t>
  </si>
  <si>
    <t>CE now returns "Excluded: duplicate (later row)" for the later copy</t>
  </si>
  <si>
    <t>Weighting Options</t>
  </si>
  <si>
    <t>new tab</t>
  </si>
  <si>
    <t>No adjustable strategic/ confidence weighting or worked numeric example</t>
  </si>
  <si>
    <t>Tab added with confidence dimensions, hazard priority factors, indicative V by role, live worked example and remaining needs</t>
  </si>
  <si>
    <t>Seasonal Tercile Tally</t>
  </si>
  <si>
    <t>B11:B13, D11:D13</t>
  </si>
  <si>
    <t>Tally repeated the eligibility gate in its own COUNTIFS/ SUMIFS, separately from the log column CE — two versions of the same rule could drift apart, and duplicates were counted twice</t>
  </si>
  <si>
    <t>Now counts CE = "Counted*" only, so the tally and the log status column always agree</t>
  </si>
  <si>
    <t>B16, B17, B50</t>
  </si>
  <si>
    <t>On a tie the first tercile listed was shown as "leading"</t>
  </si>
  <si>
    <t>Tie is now reported explicitly</t>
  </si>
  <si>
    <t>A29/B29, A31/B31</t>
  </si>
  <si>
    <t>Duplicates counted from CD (both copies); no reconciliation between tally total and counted rows</t>
  </si>
  <si>
    <t>Counts excluded later duplicates; reconciliation check added</t>
  </si>
  <si>
    <t>B3/B4 comments</t>
  </si>
  <si>
    <t>Pointed to old columns Y and Z and an old season format ("2026 Long Rains")</t>
  </si>
  <si>
    <t>Now point to AI and AM, example "OND 2026"</t>
  </si>
  <si>
    <t>rows 56–109</t>
  </si>
  <si>
    <t>No priority/ confidence summary, vegetation index, KMD/ KMSA comparison, triggers, communication or residual-risk summary</t>
  </si>
  <si>
    <t>Section added (all formulas, same counted rows)</t>
  </si>
  <si>
    <t>No way to link sightings to the seasonal weather indicator calendar</t>
  </si>
  <si>
    <t>Tab added: expected vs observed month matrices by category, shift and change summary, OND phase calendar aligned to KMD/ KMSA and NDMA products</t>
  </si>
  <si>
    <t>Indicator Code Legend</t>
  </si>
  <si>
    <t>I31 (01-ANI-BFD)</t>
  </si>
  <si>
    <t>Feeding/ foraging change duplicates feeding behaviour — no preferred code was set</t>
  </si>
  <si>
    <t>Preferred code 01-ANI-FED set</t>
  </si>
  <si>
    <t>I33 (01-ANI-BMG)</t>
  </si>
  <si>
    <t>Bird seasonal migration duplicates general migration — no preferred code was set</t>
  </si>
  <si>
    <t>Preferred code 01-ANI-MIG set</t>
  </si>
  <si>
    <t>I75 (02-ATM-HAL)</t>
  </si>
  <si>
    <t>Same sign (sun/ moon halo) under two categories — no preferred code was set</t>
  </si>
  <si>
    <t>Preferred code 03-AST-HAL set</t>
  </si>
  <si>
    <t>I138 (04-HYD-SPD)</t>
  </si>
  <si>
    <t>Spring appearance/ discharge duplicates water flow/ spring discharge — no preferred code was set</t>
  </si>
  <si>
    <t>Preferred code 04-HYD-FLW set</t>
  </si>
  <si>
    <t>rows 166–167</t>
  </si>
  <si>
    <t>No codes for pasture/ fodder or crop condition (needed for a vegetation condition index)</t>
  </si>
  <si>
    <t>01-PLT-PST and 01-PLT-CRP added</t>
  </si>
  <si>
    <t>Prior Multipliers</t>
  </si>
  <si>
    <t>B6:B55</t>
  </si>
  <si>
    <t>Row labels used the Priority Matrix's old numbering (e.g., 'Type: 03-PLT Plants', 'Type: 01-STR Stars') that clashes with the realigned legend codes in column A</t>
  </si>
  <si>
    <t>Labels now show the type name first and say which numbering the old code belongs to</t>
  </si>
  <si>
    <t>How to Use</t>
  </si>
  <si>
    <t>B42</t>
  </si>
  <si>
    <t>Example said "Category 03 Biological/ Ecological" (03 is Astronomical) and "Historical 2" (scale is now 3/2/1/0)</t>
  </si>
  <si>
    <t>Corrected</t>
  </si>
  <si>
    <t>B35</t>
  </si>
  <si>
    <t>Conversion rule referred to a 2/1 history code that the log no longer uses</t>
  </si>
  <si>
    <t>B49</t>
  </si>
  <si>
    <t>Claimed the sheet was renamed "Indicator Log"; it is still "Sheet 1 - Indicator Log"</t>
  </si>
  <si>
    <t>B6/B7</t>
  </si>
  <si>
    <t>Typing and auto-column lists left out BU–BZ (typed) and AW–AY, CH (auto)</t>
  </si>
  <si>
    <t>Community Data List</t>
  </si>
  <si>
    <t>D17</t>
  </si>
  <si>
    <t>Option wording differed from the dropdown (e.g., "Community-Plenary-endorsed")</t>
  </si>
  <si>
    <t>Matches the dropdown</t>
  </si>
  <si>
    <t>C42</t>
  </si>
  <si>
    <t>Said "BL–CH (auto columns)" although BU–BZ are typed and AW–AY are auto</t>
  </si>
  <si>
    <t>Corrected list</t>
  </si>
  <si>
    <t>rows 46–59</t>
  </si>
  <si>
    <t>FGD questions H, I, J, K, W, X and BU–BW were not in the list; no v4 items</t>
  </si>
  <si>
    <t>Section E added</t>
  </si>
  <si>
    <t>Barriers Addressed</t>
  </si>
  <si>
    <t>B7/C7</t>
  </si>
  <si>
    <t>Pointed to column I as "local meaning"; I is the impact-based application, H is the interpretation</t>
  </si>
  <si>
    <t>Now H</t>
  </si>
  <si>
    <t>References</t>
  </si>
  <si>
    <t>whole tab</t>
  </si>
  <si>
    <t>Six entries listed twice (A16–A25 repeated in A29–A38), the Karamoja report twice, an unfinished sentence in A2, a "utm_source=chatgpt" tracking tag in a URL</t>
  </si>
  <si>
    <t>Rebuilt as one de-duplicated, grouped list; 8 sources added for the v4 extensions</t>
  </si>
  <si>
    <t>Framework Crosswalk</t>
  </si>
  <si>
    <t>No single place showing which columns answer each programme question</t>
  </si>
  <si>
    <t>Tab added with 11 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</si>
</sst>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
    <numFmt numFmtId="166" formatCode="dd\-mmm\-yyyy"/>
  </numFmts>
  <fonts count="33" x14ac:knownFonts="1">
    <font>
      <sz val="11"/>
      <color theme="1"/>
      <name val="Calibri"/>
      <family val="2"/>
      <charset val="1"/>
    </font>
    <font>
      <b/>
      <sz val="16"/>
      <name val="Calibri"/>
      <family val="2"/>
      <charset val="1"/>
    </font>
    <font>
      <b/>
      <sz val="11"/>
      <name val="Calibri"/>
      <family val="2"/>
      <charset val="1"/>
    </font>
    <font>
      <sz val="11"/>
      <name val="Calibri"/>
      <family val="2"/>
      <charset val="1"/>
    </font>
    <font>
      <b/>
      <sz val="12"/>
      <name val="Calibri"/>
      <family val="2"/>
      <charset val="1"/>
    </font>
    <font>
      <b/>
      <sz val="11"/>
      <color rgb="FF000000"/>
      <name val="Calibri"/>
      <charset val="1"/>
    </font>
    <font>
      <b/>
      <sz val="10"/>
      <color rgb="FF000000"/>
      <name val="Calibri"/>
      <charset val="1"/>
    </font>
    <font>
      <sz val="10"/>
      <color rgb="FF000000"/>
      <name val="Calibri"/>
      <charset val="1"/>
    </font>
    <font>
      <b/>
      <sz val="14"/>
      <name val="Calibri"/>
      <family val="2"/>
      <charset val="1"/>
    </font>
    <font>
      <b/>
      <sz val="11"/>
      <color rgb="FFFFFFFF"/>
      <name val="Calibri"/>
      <family val="2"/>
      <charset val="1"/>
    </font>
    <font>
      <sz val="10"/>
      <name val="Calibri"/>
      <family val="2"/>
      <charset val="1"/>
    </font>
    <font>
      <b/>
      <sz val="10"/>
      <name val="Calibri"/>
      <family val="2"/>
      <charset val="1"/>
    </font>
    <font>
      <i/>
      <sz val="10"/>
      <name val="Calibri"/>
      <family val="2"/>
      <charset val="1"/>
    </font>
    <font>
      <b/>
      <sz val="10"/>
      <color rgb="FFFFFFFF"/>
      <name val="Calibri"/>
      <charset val="1"/>
    </font>
    <font>
      <b/>
      <sz val="12"/>
      <color rgb="FFC00000"/>
      <name val="Calibri"/>
      <charset val="1"/>
    </font>
    <font>
      <sz val="8"/>
      <color rgb="FF808080"/>
      <name val="Calibri"/>
      <family val="2"/>
      <charset val="1"/>
    </font>
    <font>
      <sz val="10"/>
      <color theme="1" tint="4.9897762993255407E-2"/>
      <name val="Calibri"/>
      <family val="2"/>
      <charset val="1"/>
    </font>
    <font>
      <sz val="10"/>
      <color theme="1" tint="4.9897762993255407E-2"/>
      <name val="Calibri"/>
      <family val="2"/>
      <charset val="1"/>
    </font>
    <font>
      <sz val="10"/>
      <color rgb="FFFF0000"/>
      <name val="Calibri"/>
      <family val="2"/>
      <charset val="1"/>
    </font>
    <font>
      <sz val="10"/>
      <name val="Arial"/>
      <family val="2"/>
    </font>
    <font>
      <sz val="12"/>
      <color theme="1"/>
      <name val="Calibri"/>
      <family val="2"/>
      <charset val="1"/>
    </font>
    <font>
      <b/>
      <sz val="12"/>
      <color rgb="FF0000FF"/>
      <name val="Calibri"/>
      <family val="2"/>
      <charset val="1"/>
    </font>
    <font>
      <i/>
      <sz val="12"/>
      <color rgb="FF808080"/>
      <name val="Calibri"/>
      <family val="2"/>
      <charset val="1"/>
    </font>
    <font>
      <i/>
      <sz val="12"/>
      <name val="Calibri"/>
      <family val="2"/>
      <charset val="1"/>
    </font>
    <font>
      <b/>
      <sz val="12"/>
      <color rgb="FFFFFFFF"/>
      <name val="Calibri"/>
      <family val="2"/>
      <charset val="1"/>
    </font>
    <font>
      <sz val="12"/>
      <name val="Calibri"/>
      <family val="2"/>
      <charset val="1"/>
    </font>
    <font>
      <b/>
      <sz val="10"/>
      <color rgb="FF1F4E78"/>
      <name val="Calibri"/>
      <charset val="1"/>
    </font>
    <font>
      <b/>
      <sz val="14"/>
      <color rgb="FF000000"/>
      <name val="Calibri"/>
      <charset val="1"/>
    </font>
    <font>
      <sz val="10"/>
      <color rgb="FF808080"/>
      <name val="Calibri"/>
      <charset val="1"/>
    </font>
    <font>
      <sz val="8"/>
      <color rgb="FF808080"/>
      <name val="Calibri"/>
      <charset val="1"/>
    </font>
    <font>
      <i/>
      <sz val="9"/>
      <color rgb="FF000000"/>
      <name val="Calibri"/>
      <charset val="1"/>
    </font>
    <font>
      <i/>
      <sz val="9"/>
      <name val="Calibri"/>
      <family val="2"/>
      <charset val="1"/>
    </font>
    <font>
      <sz val="10"/>
      <name val="Consolas"/>
      <family val="3"/>
      <charset val="1"/>
    </font>
  </fonts>
  <fills count="19">
    <fill>
      <patternFill patternType="none"/>
    </fill>
    <fill>
      <patternFill patternType="gray125"/>
    </fill>
    <fill>
      <patternFill patternType="solid">
        <fgColor rgb="FFE8EFE6"/>
        <bgColor rgb="FFE2EFDA"/>
      </patternFill>
    </fill>
    <fill>
      <patternFill patternType="solid">
        <fgColor rgb="FFD7EBD9"/>
        <bgColor rgb="FFE2EFDA"/>
      </patternFill>
    </fill>
    <fill>
      <patternFill patternType="solid">
        <fgColor rgb="FF1E3A2F"/>
        <bgColor rgb="FF285228"/>
      </patternFill>
    </fill>
    <fill>
      <patternFill patternType="solid">
        <fgColor rgb="FFFFF2CC"/>
        <bgColor rgb="FFF3EEE3"/>
      </patternFill>
    </fill>
    <fill>
      <patternFill patternType="solid">
        <fgColor rgb="FFDDEBF7"/>
        <bgColor rgb="FFE7E6E6"/>
      </patternFill>
    </fill>
    <fill>
      <patternFill patternType="solid">
        <fgColor rgb="FFE7E6E6"/>
        <bgColor rgb="FFE8EFE6"/>
      </patternFill>
    </fill>
    <fill>
      <patternFill patternType="solid">
        <fgColor rgb="FF1F4E78"/>
        <bgColor rgb="FF285228"/>
      </patternFill>
    </fill>
    <fill>
      <patternFill patternType="solid">
        <fgColor rgb="FFFFFF00"/>
        <bgColor rgb="FFFFCC00"/>
      </patternFill>
    </fill>
    <fill>
      <patternFill patternType="solid">
        <fgColor rgb="FFE2EFDA"/>
        <bgColor rgb="FFE8EFE6"/>
      </patternFill>
    </fill>
    <fill>
      <patternFill patternType="solid">
        <fgColor rgb="FFF3EEE3"/>
        <bgColor rgb="FFE8EFE6"/>
      </patternFill>
    </fill>
    <fill>
      <patternFill patternType="solid">
        <fgColor rgb="FFD9D9D9"/>
        <bgColor rgb="FFDDDDDD"/>
      </patternFill>
    </fill>
    <fill>
      <patternFill patternType="solid">
        <fgColor rgb="FF2C5F2D"/>
        <bgColor rgb="FF285228"/>
      </patternFill>
    </fill>
    <fill>
      <patternFill patternType="solid">
        <fgColor rgb="FF97BC62"/>
        <bgColor rgb="FF999999"/>
      </patternFill>
    </fill>
    <fill>
      <patternFill patternType="solid">
        <fgColor rgb="FF4A5A44"/>
        <bgColor rgb="FF595959"/>
      </patternFill>
    </fill>
    <fill>
      <patternFill patternType="solid">
        <fgColor rgb="FFD9A441"/>
        <bgColor rgb="FFFF8080"/>
      </patternFill>
    </fill>
    <fill>
      <patternFill patternType="solid">
        <fgColor rgb="FF285228"/>
        <bgColor rgb="FF2C5F2D"/>
      </patternFill>
    </fill>
    <fill>
      <patternFill patternType="solid">
        <fgColor rgb="FFFF0000"/>
        <bgColor indexed="64"/>
      </patternFill>
    </fill>
  </fills>
  <borders count="8">
    <border>
      <left/>
      <right/>
      <top/>
      <bottom/>
      <diagonal/>
    </border>
    <border>
      <left/>
      <right/>
      <top/>
      <bottom style="thin">
        <color rgb="FFDDDDDD"/>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bottom style="thin">
        <color rgb="FFCCCCCC"/>
      </bottom>
      <diagonal/>
    </border>
  </borders>
  <cellStyleXfs count="1">
    <xf numFmtId="0" fontId="0" fillId="0" borderId="0"/>
  </cellStyleXfs>
  <cellXfs count="140">
    <xf numFmtId="0" fontId="0" fillId="0" borderId="0" xfId="0"/>
    <xf numFmtId="0" fontId="17" fillId="0" borderId="3" xfId="0" applyFont="1" applyBorder="1" applyAlignment="1">
      <alignment horizontal="center" vertical="top"/>
    </xf>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3" xfId="0" applyFont="1" applyBorder="1" applyAlignment="1">
      <alignment horizontal="left" vertical="top" wrapText="1"/>
    </xf>
    <xf numFmtId="0" fontId="14" fillId="9" borderId="3" xfId="0" applyFont="1" applyFill="1" applyBorder="1" applyAlignment="1">
      <alignment horizontal="center" vertical="top" wrapText="1"/>
    </xf>
    <xf numFmtId="0" fontId="5" fillId="0" borderId="0" xfId="0" applyFont="1" applyBorder="1" applyAlignment="1">
      <alignment vertical="top" wrapText="1"/>
    </xf>
    <xf numFmtId="0" fontId="12" fillId="0" borderId="0" xfId="0" applyFont="1" applyBorder="1"/>
    <xf numFmtId="0" fontId="4" fillId="7" borderId="0" xfId="0" applyFont="1" applyFill="1" applyBorder="1"/>
    <xf numFmtId="0" fontId="4" fillId="6" borderId="0" xfId="0" applyFont="1" applyFill="1" applyBorder="1"/>
    <xf numFmtId="0" fontId="4" fillId="5" borderId="0" xfId="0" applyFont="1" applyFill="1" applyBorder="1"/>
    <xf numFmtId="0" fontId="4" fillId="3" borderId="0" xfId="0" applyFont="1" applyFill="1" applyBorder="1"/>
    <xf numFmtId="0" fontId="0" fillId="0" borderId="0" xfId="0" applyFont="1" applyBorder="1" applyAlignment="1">
      <alignment vertical="top" wrapText="1"/>
    </xf>
    <xf numFmtId="0" fontId="8" fillId="0" borderId="0" xfId="0" applyFont="1" applyBorder="1"/>
    <xf numFmtId="0" fontId="1" fillId="0" borderId="0"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0" fillId="2" borderId="0" xfId="0" applyFill="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9" fillId="4" borderId="0" xfId="0" applyFont="1" applyFill="1"/>
    <xf numFmtId="0" fontId="10" fillId="0" borderId="1" xfId="0" applyFont="1" applyBorder="1" applyAlignment="1">
      <alignment vertical="top" wrapText="1"/>
    </xf>
    <xf numFmtId="0" fontId="11" fillId="0" borderId="1" xfId="0" applyFont="1" applyBorder="1" applyAlignment="1">
      <alignment vertical="top" wrapText="1"/>
    </xf>
    <xf numFmtId="0" fontId="13" fillId="8" borderId="2" xfId="0" applyFont="1" applyFill="1" applyBorder="1" applyAlignment="1">
      <alignment horizontal="center" vertical="center" wrapText="1"/>
    </xf>
    <xf numFmtId="0" fontId="15" fillId="0" borderId="3" xfId="0" applyFont="1" applyBorder="1" applyAlignment="1">
      <alignment horizontal="center"/>
    </xf>
    <xf numFmtId="0" fontId="16" fillId="0" borderId="3" xfId="0" applyFont="1" applyBorder="1" applyAlignment="1">
      <alignment horizontal="left" vertical="top" wrapText="1"/>
    </xf>
    <xf numFmtId="0" fontId="16" fillId="0" borderId="3" xfId="0" applyFont="1" applyBorder="1" applyAlignment="1">
      <alignment vertical="top" wrapText="1"/>
    </xf>
    <xf numFmtId="0" fontId="17" fillId="0" borderId="3" xfId="0" applyFont="1" applyBorder="1" applyAlignment="1">
      <alignment horizontal="center" vertical="top"/>
    </xf>
    <xf numFmtId="0" fontId="10" fillId="0" borderId="3" xfId="0" applyFont="1" applyBorder="1" applyAlignment="1">
      <alignment horizontal="left" vertical="top" wrapText="1"/>
    </xf>
    <xf numFmtId="0" fontId="17" fillId="0" borderId="3" xfId="0" applyFont="1" applyBorder="1" applyAlignment="1">
      <alignment horizontal="left" vertical="top" wrapText="1"/>
    </xf>
    <xf numFmtId="0" fontId="10" fillId="0" borderId="3" xfId="0" applyFont="1" applyBorder="1" applyAlignment="1">
      <alignment vertical="top" wrapText="1"/>
    </xf>
    <xf numFmtId="164" fontId="17" fillId="0" borderId="3" xfId="0" applyNumberFormat="1" applyFont="1" applyBorder="1" applyAlignment="1">
      <alignment horizontal="left" vertical="top" wrapText="1"/>
    </xf>
    <xf numFmtId="0" fontId="17" fillId="0" borderId="3" xfId="0" applyFont="1" applyBorder="1"/>
    <xf numFmtId="164" fontId="17" fillId="0" borderId="3" xfId="0" applyNumberFormat="1" applyFont="1" applyBorder="1"/>
    <xf numFmtId="0" fontId="18" fillId="0" borderId="3" xfId="0" applyFont="1" applyBorder="1" applyAlignment="1">
      <alignment horizontal="left" vertical="top" wrapText="1"/>
    </xf>
    <xf numFmtId="0" fontId="0" fillId="0" borderId="3" xfId="0" applyBorder="1"/>
    <xf numFmtId="0" fontId="17" fillId="0" borderId="0" xfId="0" applyFont="1" applyAlignment="1">
      <alignment vertical="top" wrapText="1"/>
    </xf>
    <xf numFmtId="164" fontId="17" fillId="0" borderId="0" xfId="0" applyNumberFormat="1" applyFont="1" applyAlignment="1">
      <alignment vertical="top" wrapText="1"/>
    </xf>
    <xf numFmtId="0" fontId="0" fillId="0" borderId="0" xfId="0" applyFont="1"/>
    <xf numFmtId="164" fontId="0" fillId="0" borderId="0" xfId="0" applyNumberFormat="1"/>
    <xf numFmtId="0" fontId="10" fillId="0" borderId="4" xfId="0" applyFont="1" applyBorder="1" applyAlignment="1">
      <alignment horizontal="center" vertical="center"/>
    </xf>
    <xf numFmtId="9" fontId="10" fillId="0" borderId="4" xfId="0" applyNumberFormat="1" applyFont="1" applyBorder="1" applyAlignment="1">
      <alignment horizontal="center" vertical="center"/>
    </xf>
    <xf numFmtId="2" fontId="10" fillId="0" borderId="4" xfId="0" applyNumberFormat="1" applyFont="1" applyBorder="1" applyAlignment="1">
      <alignment horizontal="center" vertical="center"/>
    </xf>
    <xf numFmtId="14" fontId="0" fillId="0" borderId="0" xfId="0" applyNumberFormat="1"/>
    <xf numFmtId="0" fontId="10" fillId="0" borderId="4" xfId="0" applyFont="1" applyBorder="1" applyAlignment="1">
      <alignment horizontal="center" vertical="center"/>
    </xf>
    <xf numFmtId="0" fontId="10" fillId="0" borderId="3" xfId="0" applyFont="1" applyBorder="1" applyAlignment="1">
      <alignment horizontal="center" vertical="center"/>
    </xf>
    <xf numFmtId="9" fontId="10" fillId="0" borderId="3" xfId="0" applyNumberFormat="1" applyFont="1" applyBorder="1" applyAlignment="1">
      <alignment horizontal="center" vertical="center"/>
    </xf>
    <xf numFmtId="2" fontId="10" fillId="0" borderId="3" xfId="0" applyNumberFormat="1" applyFont="1" applyBorder="1" applyAlignment="1">
      <alignment horizontal="center" vertical="center"/>
    </xf>
    <xf numFmtId="14" fontId="17" fillId="0" borderId="0" xfId="0" applyNumberFormat="1" applyFont="1" applyAlignment="1">
      <alignment vertical="top" wrapText="1"/>
    </xf>
    <xf numFmtId="0" fontId="20" fillId="0" borderId="0" xfId="0" applyFont="1"/>
    <xf numFmtId="0" fontId="4" fillId="0" borderId="3" xfId="0" applyFont="1" applyBorder="1" applyAlignment="1">
      <alignment horizontal="left" vertical="top" wrapText="1"/>
    </xf>
    <xf numFmtId="0" fontId="21" fillId="9" borderId="3" xfId="0" applyFont="1" applyFill="1" applyBorder="1" applyAlignment="1">
      <alignment horizontal="left" vertical="top" wrapText="1"/>
    </xf>
    <xf numFmtId="0" fontId="22" fillId="0" borderId="0" xfId="0" applyFont="1"/>
    <xf numFmtId="0" fontId="21" fillId="9" borderId="0" xfId="0" applyFont="1" applyFill="1"/>
    <xf numFmtId="0" fontId="23" fillId="0" borderId="6" xfId="0" applyFont="1" applyBorder="1" applyAlignment="1">
      <alignment horizontal="left" vertical="top" wrapText="1"/>
    </xf>
    <xf numFmtId="0" fontId="24" fillId="4" borderId="3" xfId="0" applyFont="1" applyFill="1" applyBorder="1" applyAlignment="1">
      <alignment horizontal="center" vertical="center" wrapText="1"/>
    </xf>
    <xf numFmtId="0" fontId="4" fillId="0" borderId="7" xfId="0" applyFont="1" applyBorder="1" applyAlignment="1">
      <alignment horizontal="left" vertical="top" wrapText="1"/>
    </xf>
    <xf numFmtId="0" fontId="25" fillId="0" borderId="7" xfId="0" applyFont="1" applyBorder="1" applyAlignment="1">
      <alignment horizontal="center" vertical="center" wrapText="1"/>
    </xf>
    <xf numFmtId="9" fontId="25" fillId="0" borderId="7" xfId="0" applyNumberFormat="1" applyFont="1" applyBorder="1" applyAlignment="1">
      <alignment horizontal="center" vertical="center" wrapText="1"/>
    </xf>
    <xf numFmtId="165" fontId="25" fillId="0" borderId="7" xfId="0" applyNumberFormat="1" applyFont="1" applyBorder="1" applyAlignment="1">
      <alignment horizontal="center" vertical="center" wrapText="1"/>
    </xf>
    <xf numFmtId="0" fontId="4" fillId="10" borderId="7" xfId="0" applyFont="1" applyFill="1" applyBorder="1" applyAlignment="1">
      <alignment horizontal="left" vertical="top" wrapText="1"/>
    </xf>
    <xf numFmtId="0" fontId="4" fillId="10" borderId="7" xfId="0" applyFont="1" applyFill="1" applyBorder="1" applyAlignment="1">
      <alignment horizontal="center" vertical="center" wrapText="1"/>
    </xf>
    <xf numFmtId="9" fontId="4" fillId="10" borderId="7" xfId="0" applyNumberFormat="1" applyFont="1" applyFill="1" applyBorder="1" applyAlignment="1">
      <alignment horizontal="center" vertical="center" wrapText="1"/>
    </xf>
    <xf numFmtId="165" fontId="4" fillId="10" borderId="7" xfId="0" applyNumberFormat="1" applyFont="1" applyFill="1" applyBorder="1" applyAlignment="1">
      <alignment horizontal="center" vertical="center" wrapText="1"/>
    </xf>
    <xf numFmtId="0" fontId="4" fillId="0" borderId="6" xfId="0" applyFont="1" applyBorder="1" applyAlignment="1">
      <alignment horizontal="left" vertical="top" wrapText="1"/>
    </xf>
    <xf numFmtId="0" fontId="4" fillId="0" borderId="0" xfId="0" applyFont="1"/>
    <xf numFmtId="0" fontId="6" fillId="0" borderId="0" xfId="0" applyFont="1"/>
    <xf numFmtId="0" fontId="24" fillId="4" borderId="0" xfId="0" applyFont="1" applyFill="1" applyAlignment="1">
      <alignment wrapText="1"/>
    </xf>
    <xf numFmtId="166" fontId="20" fillId="0" borderId="0" xfId="0" applyNumberFormat="1" applyFont="1"/>
    <xf numFmtId="0" fontId="24" fillId="4" borderId="0" xfId="0" applyFont="1" applyFill="1"/>
    <xf numFmtId="9" fontId="20" fillId="0" borderId="0" xfId="0" applyNumberFormat="1" applyFont="1"/>
    <xf numFmtId="165" fontId="20" fillId="0" borderId="0" xfId="0" applyNumberFormat="1" applyFont="1"/>
    <xf numFmtId="0" fontId="26" fillId="0" borderId="0" xfId="0" applyFont="1" applyAlignment="1">
      <alignment vertical="top"/>
    </xf>
    <xf numFmtId="165" fontId="7" fillId="0" borderId="0" xfId="0" applyNumberFormat="1" applyFont="1" applyAlignment="1">
      <alignment vertical="top" wrapText="1"/>
    </xf>
    <xf numFmtId="9" fontId="7" fillId="0" borderId="0" xfId="0" applyNumberFormat="1" applyFont="1" applyAlignment="1">
      <alignment vertical="top" wrapText="1"/>
    </xf>
    <xf numFmtId="0" fontId="7" fillId="9" borderId="0" xfId="0" applyFont="1" applyFill="1" applyAlignment="1">
      <alignment vertical="top" wrapText="1"/>
    </xf>
    <xf numFmtId="9" fontId="7" fillId="9" borderId="0" xfId="0" applyNumberFormat="1" applyFont="1" applyFill="1" applyAlignment="1">
      <alignment vertical="top" wrapText="1"/>
    </xf>
    <xf numFmtId="3" fontId="7" fillId="0" borderId="0" xfId="0" applyNumberFormat="1" applyFont="1" applyAlignment="1">
      <alignment vertical="top" wrapText="1"/>
    </xf>
    <xf numFmtId="1" fontId="7" fillId="0" borderId="0" xfId="0" applyNumberFormat="1" applyFont="1" applyAlignment="1">
      <alignment vertical="top" wrapText="1"/>
    </xf>
    <xf numFmtId="0" fontId="27" fillId="0" borderId="0" xfId="0" applyFont="1" applyAlignment="1">
      <alignment vertical="top"/>
    </xf>
    <xf numFmtId="0" fontId="7" fillId="0" borderId="0" xfId="0" applyFont="1" applyAlignment="1">
      <alignment vertical="top"/>
    </xf>
    <xf numFmtId="0" fontId="5" fillId="0" borderId="0" xfId="0" applyFont="1" applyAlignment="1">
      <alignment vertical="top"/>
    </xf>
    <xf numFmtId="0" fontId="28" fillId="0" borderId="0" xfId="0" applyFont="1" applyAlignment="1">
      <alignment vertical="top" wrapText="1"/>
    </xf>
    <xf numFmtId="0" fontId="29" fillId="0" borderId="0" xfId="0" applyFont="1"/>
    <xf numFmtId="0" fontId="7" fillId="0" borderId="0" xfId="0" applyFont="1" applyAlignment="1">
      <alignment horizontal="center" vertical="center" wrapText="1"/>
    </xf>
    <xf numFmtId="0" fontId="6" fillId="0" borderId="0" xfId="0" applyFont="1" applyAlignment="1">
      <alignment horizontal="center" vertical="center" wrapText="1"/>
    </xf>
    <xf numFmtId="0" fontId="8" fillId="0" borderId="0" xfId="0" applyFont="1"/>
    <xf numFmtId="0" fontId="9" fillId="4" borderId="0" xfId="0" applyFont="1" applyFill="1" applyAlignment="1">
      <alignment vertical="top" wrapText="1"/>
    </xf>
    <xf numFmtId="0" fontId="10" fillId="0" borderId="0" xfId="0" applyFont="1" applyAlignment="1">
      <alignment vertical="top" wrapText="1"/>
    </xf>
    <xf numFmtId="2" fontId="10" fillId="0" borderId="0" xfId="0" applyNumberFormat="1" applyFont="1" applyAlignment="1">
      <alignment vertical="top" wrapText="1"/>
    </xf>
    <xf numFmtId="0" fontId="10" fillId="11" borderId="0" xfId="0" applyFont="1" applyFill="1" applyAlignment="1">
      <alignment vertical="top" wrapText="1"/>
    </xf>
    <xf numFmtId="2" fontId="10" fillId="11" borderId="0" xfId="0" applyNumberFormat="1" applyFont="1" applyFill="1" applyAlignment="1">
      <alignment vertical="top" wrapText="1"/>
    </xf>
    <xf numFmtId="0" fontId="30" fillId="0" borderId="0" xfId="0" applyFont="1"/>
    <xf numFmtId="0" fontId="31" fillId="0" borderId="0" xfId="0" applyFont="1"/>
    <xf numFmtId="9" fontId="6" fillId="0" borderId="0" xfId="0" applyNumberFormat="1" applyFont="1" applyAlignment="1">
      <alignment vertical="top" wrapText="1"/>
    </xf>
    <xf numFmtId="2" fontId="7" fillId="9" borderId="0" xfId="0" applyNumberFormat="1" applyFont="1" applyFill="1" applyAlignment="1">
      <alignment vertical="top" wrapText="1"/>
    </xf>
    <xf numFmtId="2" fontId="7" fillId="0" borderId="0" xfId="0" applyNumberFormat="1" applyFont="1" applyAlignment="1">
      <alignment vertical="top" wrapText="1"/>
    </xf>
    <xf numFmtId="165" fontId="6" fillId="0" borderId="0" xfId="0" applyNumberFormat="1" applyFont="1" applyAlignment="1">
      <alignment vertical="top" wrapText="1"/>
    </xf>
    <xf numFmtId="0" fontId="11" fillId="12" borderId="3" xfId="0" applyFont="1" applyFill="1" applyBorder="1" applyAlignment="1">
      <alignment horizontal="center" vertical="top" wrapText="1"/>
    </xf>
    <xf numFmtId="0" fontId="32" fillId="0" borderId="3" xfId="0" applyFont="1" applyBorder="1" applyAlignment="1">
      <alignment horizontal="left" vertical="top" wrapText="1"/>
    </xf>
    <xf numFmtId="0" fontId="11" fillId="0" borderId="3" xfId="0" applyFont="1" applyBorder="1" applyAlignment="1">
      <alignment horizontal="center" vertical="top" wrapText="1"/>
    </xf>
    <xf numFmtId="0" fontId="11" fillId="0" borderId="3" xfId="0" applyFont="1" applyBorder="1" applyAlignment="1">
      <alignment horizontal="left" vertical="top" wrapText="1"/>
    </xf>
    <xf numFmtId="0" fontId="11" fillId="15" borderId="3" xfId="0" applyFont="1" applyFill="1" applyBorder="1" applyAlignment="1">
      <alignment horizontal="center" vertical="top" wrapText="1"/>
    </xf>
    <xf numFmtId="0" fontId="11" fillId="17" borderId="3" xfId="0" applyFont="1" applyFill="1" applyBorder="1" applyAlignment="1">
      <alignment horizontal="center" vertical="top" wrapText="1"/>
    </xf>
    <xf numFmtId="0" fontId="11" fillId="13" borderId="3" xfId="0" applyFont="1" applyFill="1" applyBorder="1" applyAlignment="1">
      <alignment horizontal="center" vertical="top" wrapText="1"/>
    </xf>
    <xf numFmtId="0" fontId="11" fillId="16" borderId="3" xfId="0" applyFont="1" applyFill="1" applyBorder="1" applyAlignment="1">
      <alignment horizontal="center" vertical="top" wrapText="1"/>
    </xf>
    <xf numFmtId="0" fontId="11" fillId="14" borderId="3" xfId="0" applyFont="1" applyFill="1" applyBorder="1" applyAlignment="1">
      <alignment horizontal="center" vertical="top" wrapText="1"/>
    </xf>
    <xf numFmtId="0" fontId="7" fillId="0" borderId="2" xfId="0" applyFont="1" applyBorder="1" applyAlignment="1">
      <alignment vertical="top" wrapText="1"/>
    </xf>
    <xf numFmtId="0" fontId="10" fillId="0" borderId="3" xfId="0" applyFont="1" applyBorder="1" applyAlignment="1">
      <alignment horizontal="center" vertical="top" wrapText="1"/>
    </xf>
    <xf numFmtId="0" fontId="10" fillId="0" borderId="3" xfId="0" applyFont="1" applyBorder="1" applyAlignment="1">
      <alignment horizontal="left" vertical="top" wrapText="1"/>
    </xf>
    <xf numFmtId="0" fontId="4" fillId="9" borderId="5" xfId="0" applyFont="1" applyFill="1" applyBorder="1" applyAlignment="1">
      <alignment horizontal="center" vertical="center" wrapText="1"/>
    </xf>
    <xf numFmtId="0" fontId="20" fillId="0" borderId="0" xfId="0" applyFont="1" applyBorder="1" applyAlignment="1">
      <alignment vertical="top" wrapText="1"/>
    </xf>
    <xf numFmtId="0" fontId="23" fillId="0" borderId="0" xfId="0" applyFont="1" applyBorder="1" applyAlignment="1">
      <alignment vertical="top" wrapText="1"/>
    </xf>
    <xf numFmtId="0" fontId="7" fillId="0" borderId="0" xfId="0" applyFont="1" applyBorder="1" applyAlignment="1">
      <alignment vertical="top" wrapText="1"/>
    </xf>
    <xf numFmtId="0" fontId="13" fillId="8" borderId="2" xfId="0" applyFont="1" applyFill="1" applyBorder="1" applyAlignment="1">
      <alignment horizontal="center" vertical="center" wrapText="1"/>
    </xf>
    <xf numFmtId="0" fontId="1" fillId="9" borderId="5" xfId="0" applyFont="1" applyFill="1" applyBorder="1" applyAlignment="1">
      <alignment horizontal="center" vertical="top" wrapText="1"/>
    </xf>
    <xf numFmtId="0" fontId="12" fillId="0" borderId="6" xfId="0" applyFont="1" applyBorder="1" applyAlignment="1">
      <alignment horizontal="left" vertical="top" wrapText="1"/>
    </xf>
    <xf numFmtId="0" fontId="9" fillId="13" borderId="5" xfId="0" applyFont="1" applyFill="1" applyBorder="1" applyAlignment="1">
      <alignment horizontal="left" vertical="top" wrapText="1"/>
    </xf>
    <xf numFmtId="0" fontId="9" fillId="14" borderId="5" xfId="0" applyFont="1" applyFill="1" applyBorder="1" applyAlignment="1">
      <alignment horizontal="left" vertical="top" wrapText="1"/>
    </xf>
    <xf numFmtId="0" fontId="9" fillId="15" borderId="5" xfId="0" applyFont="1" applyFill="1" applyBorder="1" applyAlignment="1">
      <alignment horizontal="left" vertical="top" wrapText="1"/>
    </xf>
    <xf numFmtId="0" fontId="9" fillId="16" borderId="5" xfId="0" applyFont="1" applyFill="1" applyBorder="1" applyAlignment="1">
      <alignment horizontal="left" vertical="top" wrapText="1"/>
    </xf>
    <xf numFmtId="0" fontId="9" fillId="17" borderId="5" xfId="0" applyFont="1" applyFill="1" applyBorder="1" applyAlignment="1">
      <alignment horizontal="left" vertical="top" wrapText="1"/>
    </xf>
    <xf numFmtId="0" fontId="11" fillId="12" borderId="5" xfId="0" applyFont="1" applyFill="1" applyBorder="1" applyAlignment="1">
      <alignment horizontal="center" vertical="top" wrapText="1"/>
    </xf>
    <xf numFmtId="0" fontId="11" fillId="12" borderId="3" xfId="0" applyFont="1" applyFill="1" applyBorder="1" applyAlignment="1">
      <alignment horizontal="center" vertical="top" wrapText="1"/>
    </xf>
    <xf numFmtId="0" fontId="10" fillId="0" borderId="5" xfId="0" applyFont="1" applyBorder="1" applyAlignment="1">
      <alignment horizontal="left" vertical="top" wrapText="1"/>
    </xf>
    <xf numFmtId="0" fontId="5" fillId="10" borderId="0" xfId="0" applyFont="1" applyFill="1" applyBorder="1" applyAlignment="1">
      <alignment vertical="top"/>
    </xf>
    <xf numFmtId="0" fontId="17" fillId="18" borderId="0" xfId="0" applyFont="1" applyFill="1" applyAlignment="1">
      <alignment vertical="top" wrapText="1"/>
    </xf>
    <xf numFmtId="164" fontId="17" fillId="18" borderId="0" xfId="0" applyNumberFormat="1" applyFont="1" applyFill="1" applyAlignment="1">
      <alignment vertical="top" wrapText="1"/>
    </xf>
    <xf numFmtId="0" fontId="0" fillId="18" borderId="0" xfId="0" applyFill="1"/>
    <xf numFmtId="0" fontId="0" fillId="18" borderId="0" xfId="0" applyFont="1" applyFill="1"/>
    <xf numFmtId="164" fontId="0" fillId="18" borderId="0" xfId="0" applyNumberFormat="1" applyFill="1"/>
    <xf numFmtId="0" fontId="10" fillId="18" borderId="3" xfId="0" applyFont="1" applyFill="1" applyBorder="1" applyAlignment="1">
      <alignment horizontal="center" vertical="center"/>
    </xf>
    <xf numFmtId="9" fontId="10" fillId="18" borderId="3" xfId="0" applyNumberFormat="1" applyFont="1" applyFill="1" applyBorder="1" applyAlignment="1">
      <alignment horizontal="center" vertical="center"/>
    </xf>
    <xf numFmtId="2" fontId="10" fillId="18" borderId="3" xfId="0" applyNumberFormat="1" applyFont="1" applyFill="1" applyBorder="1" applyAlignment="1">
      <alignment horizontal="center" vertical="center"/>
    </xf>
    <xf numFmtId="14" fontId="0" fillId="18" borderId="0" xfId="0" applyNumberFormat="1" applyFill="1"/>
    <xf numFmtId="0" fontId="10" fillId="18" borderId="4" xfId="0" applyFont="1" applyFill="1" applyBorder="1" applyAlignment="1">
      <alignment horizontal="center" vertical="center"/>
    </xf>
    <xf numFmtId="9" fontId="10" fillId="18" borderId="4" xfId="0" applyNumberFormat="1" applyFont="1" applyFill="1" applyBorder="1" applyAlignment="1">
      <alignment horizontal="center" vertical="center"/>
    </xf>
    <xf numFmtId="2" fontId="10" fillId="18" borderId="4" xfId="0" applyNumberFormat="1" applyFont="1" applyFill="1" applyBorder="1" applyAlignment="1">
      <alignment horizontal="center" vertical="center"/>
    </xf>
  </cellXfs>
  <cellStyles count="1">
    <cellStyle name="Normal" xfId="0" builtinId="0"/>
  </cellStyles>
  <dxfs count="51">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C6EFCE"/>
        </patternFill>
      </fill>
    </dxf>
    <dxf>
      <fill>
        <patternFill>
          <bgColor rgb="FFFFC7CE"/>
        </patternFill>
      </fill>
    </dxf>
    <dxf>
      <fill>
        <patternFill>
          <bgColor rgb="FFFFEB9C"/>
        </patternFill>
      </fill>
    </dxf>
    <dxf>
      <fill>
        <patternFill>
          <bgColor rgb="FFFFC7CE"/>
        </patternFill>
      </fill>
    </dxf>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D9D9D9"/>
        </patternFill>
      </fill>
    </dxf>
    <dxf>
      <fill>
        <patternFill>
          <bgColor rgb="FFFFC7CE"/>
        </patternFill>
      </fill>
    </dxf>
    <dxf>
      <fill>
        <patternFill>
          <bgColor rgb="FFFFEB9C"/>
        </patternFill>
      </fill>
    </dxf>
    <dxf>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4A5A44"/>
      <rgbColor rgb="FF800080"/>
      <rgbColor rgb="FF2C5F2D"/>
      <rgbColor rgb="FFCCCCCC"/>
      <rgbColor rgb="FF808080"/>
      <rgbColor rgb="FFE8EFE6"/>
      <rgbColor rgb="FF993366"/>
      <rgbColor rgb="FFFFF2CC"/>
      <rgbColor rgb="FFDDEBF7"/>
      <rgbColor rgb="FF660066"/>
      <rgbColor rgb="FFFF8080"/>
      <rgbColor rgb="FF0066CC"/>
      <rgbColor rgb="FFD9D9D9"/>
      <rgbColor rgb="FF000080"/>
      <rgbColor rgb="FFFF00FF"/>
      <rgbColor rgb="FFF3EEE3"/>
      <rgbColor rgb="FF00FFFF"/>
      <rgbColor rgb="FF800080"/>
      <rgbColor rgb="FFC00000"/>
      <rgbColor rgb="FF008080"/>
      <rgbColor rgb="FF0000FF"/>
      <rgbColor rgb="FF00CCFF"/>
      <rgbColor rgb="FFD7EBD9"/>
      <rgbColor rgb="FFC6EFCE"/>
      <rgbColor rgb="FFFFEB9C"/>
      <rgbColor rgb="FFDDDDDD"/>
      <rgbColor rgb="FFE7E6E6"/>
      <rgbColor rgb="FFE2EFDA"/>
      <rgbColor rgb="FFFFC7CE"/>
      <rgbColor rgb="FF3366FF"/>
      <rgbColor rgb="FF33CCCC"/>
      <rgbColor rgb="FF97BC62"/>
      <rgbColor rgb="FFFFCC00"/>
      <rgbColor rgb="FFD9A441"/>
      <rgbColor rgb="FFFF6600"/>
      <rgbColor rgb="FF595959"/>
      <rgbColor rgb="FF999999"/>
      <rgbColor rgb="FF003366"/>
      <rgbColor rgb="FF339966"/>
      <rgbColor rgb="FF0D0D0D"/>
      <rgbColor rgb="FF285228"/>
      <rgbColor rgb="FF9C5700"/>
      <rgbColor rgb="FF993366"/>
      <rgbColor rgb="FF1F4E78"/>
      <rgbColor rgb="FF1E3A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zoomScaleNormal="100" workbookViewId="0">
      <selection sqref="A1:B1"/>
    </sheetView>
  </sheetViews>
  <sheetFormatPr defaultColWidth="8.6328125" defaultRowHeight="14.5" x14ac:dyDescent="0.35"/>
  <cols>
    <col min="1" max="1" width="34" customWidth="1"/>
    <col min="2" max="2" width="120" customWidth="1"/>
  </cols>
  <sheetData>
    <row r="1" spans="1:2" ht="20.25" customHeight="1" x14ac:dyDescent="0.35">
      <c r="A1" s="14" t="s">
        <v>0</v>
      </c>
      <c r="B1" s="14"/>
    </row>
    <row r="3" spans="1:2" ht="43.5" customHeight="1" x14ac:dyDescent="0.35">
      <c r="A3" s="15" t="s">
        <v>1</v>
      </c>
      <c r="B3" s="16" t="s">
        <v>2</v>
      </c>
    </row>
    <row r="5" spans="1:2" ht="15" customHeight="1" x14ac:dyDescent="0.35">
      <c r="A5" s="17" t="s">
        <v>3</v>
      </c>
      <c r="B5" s="18"/>
    </row>
    <row r="6" spans="1:2" ht="29" x14ac:dyDescent="0.35">
      <c r="A6" s="16" t="s">
        <v>4</v>
      </c>
      <c r="B6" s="16" t="s">
        <v>5</v>
      </c>
    </row>
    <row r="7" spans="1:2" ht="29" x14ac:dyDescent="0.35">
      <c r="A7" s="16" t="s">
        <v>6</v>
      </c>
      <c r="B7" s="16" t="s">
        <v>7</v>
      </c>
    </row>
    <row r="8" spans="1:2" x14ac:dyDescent="0.35">
      <c r="A8" s="16" t="s">
        <v>8</v>
      </c>
      <c r="B8" s="16" t="s">
        <v>9</v>
      </c>
    </row>
    <row r="9" spans="1:2" x14ac:dyDescent="0.35">
      <c r="A9" s="16" t="s">
        <v>10</v>
      </c>
      <c r="B9" s="16" t="s">
        <v>11</v>
      </c>
    </row>
    <row r="11" spans="1:2" ht="30.75" customHeight="1" x14ac:dyDescent="0.35">
      <c r="A11" s="17" t="s">
        <v>12</v>
      </c>
      <c r="B11" s="18"/>
    </row>
    <row r="12" spans="1:2" x14ac:dyDescent="0.35">
      <c r="A12" s="16" t="s">
        <v>13</v>
      </c>
      <c r="B12" s="16" t="s">
        <v>14</v>
      </c>
    </row>
    <row r="13" spans="1:2" ht="28.5" customHeight="1" x14ac:dyDescent="0.35">
      <c r="A13" s="16" t="s">
        <v>15</v>
      </c>
      <c r="B13" s="16" t="s">
        <v>16</v>
      </c>
    </row>
    <row r="14" spans="1:2" x14ac:dyDescent="0.35">
      <c r="A14" s="16" t="s">
        <v>17</v>
      </c>
      <c r="B14" s="16" t="s">
        <v>18</v>
      </c>
    </row>
    <row r="15" spans="1:2" x14ac:dyDescent="0.35">
      <c r="A15" s="16" t="s">
        <v>19</v>
      </c>
      <c r="B15" s="16" t="s">
        <v>20</v>
      </c>
    </row>
    <row r="16" spans="1:2" x14ac:dyDescent="0.35">
      <c r="A16" s="16" t="s">
        <v>21</v>
      </c>
      <c r="B16" s="16" t="s">
        <v>22</v>
      </c>
    </row>
    <row r="17" spans="1:2" x14ac:dyDescent="0.35">
      <c r="A17" s="16" t="s">
        <v>23</v>
      </c>
      <c r="B17" s="16" t="s">
        <v>24</v>
      </c>
    </row>
    <row r="18" spans="1:2" x14ac:dyDescent="0.35">
      <c r="A18" s="16" t="s">
        <v>25</v>
      </c>
      <c r="B18" s="16" t="s">
        <v>26</v>
      </c>
    </row>
    <row r="19" spans="1:2" ht="28.5" customHeight="1" x14ac:dyDescent="0.35">
      <c r="A19" s="16" t="s">
        <v>27</v>
      </c>
      <c r="B19" s="16" t="s">
        <v>28</v>
      </c>
    </row>
    <row r="20" spans="1:2" x14ac:dyDescent="0.35">
      <c r="A20" s="16" t="s">
        <v>29</v>
      </c>
      <c r="B20" s="16" t="s">
        <v>30</v>
      </c>
    </row>
    <row r="21" spans="1:2" x14ac:dyDescent="0.35">
      <c r="A21" s="16" t="s">
        <v>31</v>
      </c>
      <c r="B21" s="16" t="s">
        <v>32</v>
      </c>
    </row>
    <row r="23" spans="1:2" ht="15" customHeight="1" x14ac:dyDescent="0.35">
      <c r="A23" s="17" t="s">
        <v>33</v>
      </c>
      <c r="B23" s="18"/>
    </row>
    <row r="24" spans="1:2" x14ac:dyDescent="0.35">
      <c r="A24" s="16" t="s">
        <v>34</v>
      </c>
      <c r="B24" s="16" t="s">
        <v>35</v>
      </c>
    </row>
    <row r="25" spans="1:2" x14ac:dyDescent="0.35">
      <c r="A25" s="16" t="s">
        <v>36</v>
      </c>
      <c r="B25" s="16" t="s">
        <v>37</v>
      </c>
    </row>
    <row r="26" spans="1:2" x14ac:dyDescent="0.35">
      <c r="A26" s="16" t="s">
        <v>38</v>
      </c>
      <c r="B26" s="16" t="s">
        <v>39</v>
      </c>
    </row>
    <row r="27" spans="1:2" x14ac:dyDescent="0.35">
      <c r="A27" s="16" t="s">
        <v>40</v>
      </c>
      <c r="B27" s="16" t="s">
        <v>41</v>
      </c>
    </row>
    <row r="28" spans="1:2" x14ac:dyDescent="0.35">
      <c r="A28" s="16" t="s">
        <v>42</v>
      </c>
      <c r="B28" s="16" t="s">
        <v>43</v>
      </c>
    </row>
    <row r="29" spans="1:2" x14ac:dyDescent="0.35">
      <c r="A29" s="16" t="s">
        <v>44</v>
      </c>
      <c r="B29" s="16" t="s">
        <v>45</v>
      </c>
    </row>
    <row r="30" spans="1:2" x14ac:dyDescent="0.35">
      <c r="A30" s="16" t="s">
        <v>46</v>
      </c>
      <c r="B30" s="16" t="s">
        <v>47</v>
      </c>
    </row>
    <row r="31" spans="1:2" ht="28.5" customHeight="1" x14ac:dyDescent="0.35">
      <c r="A31" s="16" t="s">
        <v>48</v>
      </c>
      <c r="B31" s="16" t="s">
        <v>49</v>
      </c>
    </row>
    <row r="33" spans="1:2" ht="15" customHeight="1" x14ac:dyDescent="0.35">
      <c r="A33" s="17" t="s">
        <v>50</v>
      </c>
      <c r="B33" s="18"/>
    </row>
    <row r="34" spans="1:2" ht="28.5" customHeight="1" x14ac:dyDescent="0.35">
      <c r="A34" s="16" t="s">
        <v>51</v>
      </c>
      <c r="B34" s="16" t="s">
        <v>52</v>
      </c>
    </row>
    <row r="35" spans="1:2" ht="43.5" customHeight="1" x14ac:dyDescent="0.35">
      <c r="A35" s="16" t="s">
        <v>53</v>
      </c>
      <c r="B35" s="16" t="s">
        <v>54</v>
      </c>
    </row>
    <row r="36" spans="1:2" ht="28.5" customHeight="1" x14ac:dyDescent="0.35">
      <c r="A36" s="16" t="s">
        <v>55</v>
      </c>
      <c r="B36" s="16" t="s">
        <v>56</v>
      </c>
    </row>
    <row r="37" spans="1:2" ht="28.5" customHeight="1" x14ac:dyDescent="0.35">
      <c r="A37" s="16" t="s">
        <v>57</v>
      </c>
      <c r="B37" s="16" t="s">
        <v>58</v>
      </c>
    </row>
    <row r="38" spans="1:2" ht="72" customHeight="1" x14ac:dyDescent="0.35">
      <c r="A38" s="16" t="s">
        <v>59</v>
      </c>
      <c r="B38" s="16" t="s">
        <v>60</v>
      </c>
    </row>
    <row r="39" spans="1:2" ht="28.5" customHeight="1" x14ac:dyDescent="0.35">
      <c r="A39" s="16" t="s">
        <v>61</v>
      </c>
      <c r="B39" s="16" t="s">
        <v>62</v>
      </c>
    </row>
    <row r="41" spans="1:2" ht="30.75" customHeight="1" x14ac:dyDescent="0.35">
      <c r="A41" s="17" t="s">
        <v>63</v>
      </c>
      <c r="B41" s="18"/>
    </row>
    <row r="42" spans="1:2" ht="57.75" customHeight="1" x14ac:dyDescent="0.35">
      <c r="A42" s="16" t="s">
        <v>64</v>
      </c>
      <c r="B42" s="16" t="s">
        <v>65</v>
      </c>
    </row>
    <row r="44" spans="1:2" ht="15" customHeight="1" x14ac:dyDescent="0.35">
      <c r="A44" s="17" t="s">
        <v>66</v>
      </c>
      <c r="B44" s="18"/>
    </row>
    <row r="45" spans="1:2" ht="43.5" customHeight="1" x14ac:dyDescent="0.35">
      <c r="A45" s="16" t="s">
        <v>67</v>
      </c>
      <c r="B45" s="16" t="s">
        <v>68</v>
      </c>
    </row>
    <row r="46" spans="1:2" ht="28.5" customHeight="1" x14ac:dyDescent="0.35">
      <c r="A46" s="16" t="s">
        <v>69</v>
      </c>
      <c r="B46" s="16" t="s">
        <v>70</v>
      </c>
    </row>
    <row r="47" spans="1:2" ht="28.5" customHeight="1" x14ac:dyDescent="0.35">
      <c r="A47" s="16" t="s">
        <v>71</v>
      </c>
      <c r="B47" s="16" t="s">
        <v>72</v>
      </c>
    </row>
    <row r="48" spans="1:2" ht="43.5" customHeight="1" x14ac:dyDescent="0.35">
      <c r="A48" s="16" t="s">
        <v>73</v>
      </c>
      <c r="B48" s="16" t="s">
        <v>74</v>
      </c>
    </row>
    <row r="49" spans="1:2" ht="43.5" customHeight="1" x14ac:dyDescent="0.35">
      <c r="A49" s="16" t="s">
        <v>75</v>
      </c>
      <c r="B49" s="16" t="s">
        <v>76</v>
      </c>
    </row>
    <row r="50" spans="1:2" ht="43.5" customHeight="1" x14ac:dyDescent="0.35">
      <c r="A50" s="16" t="s">
        <v>77</v>
      </c>
      <c r="B50" s="16" t="s">
        <v>78</v>
      </c>
    </row>
    <row r="51" spans="1:2" ht="28.5" customHeight="1" x14ac:dyDescent="0.35">
      <c r="A51" s="16" t="s">
        <v>79</v>
      </c>
      <c r="B51" s="16" t="s">
        <v>80</v>
      </c>
    </row>
    <row r="53" spans="1:2" x14ac:dyDescent="0.35">
      <c r="A53" s="19" t="s">
        <v>81</v>
      </c>
    </row>
    <row r="54" spans="1:2" ht="26" x14ac:dyDescent="0.35">
      <c r="A54" s="20" t="s">
        <v>82</v>
      </c>
      <c r="B54" s="21" t="s">
        <v>83</v>
      </c>
    </row>
    <row r="55" spans="1:2" ht="26" x14ac:dyDescent="0.35">
      <c r="A55" s="20" t="s">
        <v>84</v>
      </c>
      <c r="B55" s="21" t="s">
        <v>85</v>
      </c>
    </row>
    <row r="56" spans="1:2" ht="26" x14ac:dyDescent="0.35">
      <c r="A56" s="20" t="s">
        <v>86</v>
      </c>
      <c r="B56" s="21" t="s">
        <v>87</v>
      </c>
    </row>
    <row r="57" spans="1:2" ht="26" x14ac:dyDescent="0.35">
      <c r="A57" s="20" t="s">
        <v>88</v>
      </c>
      <c r="B57" s="21" t="s">
        <v>89</v>
      </c>
    </row>
    <row r="58" spans="1:2" x14ac:dyDescent="0.35">
      <c r="A58" s="20" t="s">
        <v>90</v>
      </c>
      <c r="B58" s="21" t="s">
        <v>91</v>
      </c>
    </row>
    <row r="59" spans="1:2" ht="26" x14ac:dyDescent="0.35">
      <c r="A59" s="20" t="s">
        <v>92</v>
      </c>
      <c r="B59" s="21" t="s">
        <v>93</v>
      </c>
    </row>
    <row r="60" spans="1:2" x14ac:dyDescent="0.35">
      <c r="A60" s="20" t="s">
        <v>94</v>
      </c>
      <c r="B60" s="21" t="s">
        <v>95</v>
      </c>
    </row>
    <row r="61" spans="1:2" ht="26" x14ac:dyDescent="0.35">
      <c r="A61" s="20" t="s">
        <v>96</v>
      </c>
      <c r="B61" s="21" t="s">
        <v>97</v>
      </c>
    </row>
    <row r="62" spans="1:2" x14ac:dyDescent="0.35">
      <c r="A62" s="20" t="s">
        <v>98</v>
      </c>
      <c r="B62" s="21" t="s">
        <v>99</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9"/>
  <sheetViews>
    <sheetView zoomScaleNormal="100" workbookViewId="0">
      <pane ySplit="3" topLeftCell="A4" activePane="bottomLeft" state="frozen"/>
      <selection pane="bottomLeft" activeCell="D7" sqref="D7"/>
    </sheetView>
  </sheetViews>
  <sheetFormatPr defaultColWidth="8.6328125" defaultRowHeight="14.5" x14ac:dyDescent="0.35"/>
  <cols>
    <col min="1" max="1" width="4" customWidth="1"/>
    <col min="2" max="2" width="46" customWidth="1"/>
    <col min="3" max="3" width="22" customWidth="1"/>
    <col min="4" max="4" width="44" customWidth="1"/>
    <col min="5" max="5" width="24" customWidth="1"/>
    <col min="6" max="6" width="18" customWidth="1"/>
    <col min="7" max="7" width="28" customWidth="1"/>
  </cols>
  <sheetData>
    <row r="1" spans="1:7" ht="18" customHeight="1" x14ac:dyDescent="0.45">
      <c r="A1" s="13" t="s">
        <v>100</v>
      </c>
      <c r="B1" s="13"/>
      <c r="C1" s="13"/>
      <c r="D1" s="13"/>
      <c r="E1" s="13"/>
      <c r="F1" s="13"/>
      <c r="G1" s="13"/>
    </row>
    <row r="2" spans="1:7" ht="31.5" customHeight="1" x14ac:dyDescent="0.35">
      <c r="A2" s="12" t="s">
        <v>101</v>
      </c>
      <c r="B2" s="12"/>
      <c r="C2" s="12"/>
      <c r="D2" s="12"/>
      <c r="E2" s="12"/>
      <c r="F2" s="12"/>
      <c r="G2" s="12"/>
    </row>
    <row r="4" spans="1:7" ht="15" customHeight="1" x14ac:dyDescent="0.35">
      <c r="A4" s="11" t="s">
        <v>102</v>
      </c>
      <c r="B4" s="11"/>
      <c r="C4" s="11"/>
      <c r="D4" s="11"/>
      <c r="E4" s="11"/>
      <c r="F4" s="11"/>
      <c r="G4" s="11"/>
    </row>
    <row r="5" spans="1:7" x14ac:dyDescent="0.35">
      <c r="A5" s="22" t="s">
        <v>103</v>
      </c>
      <c r="B5" s="22" t="s">
        <v>104</v>
      </c>
      <c r="C5" s="22" t="s">
        <v>105</v>
      </c>
      <c r="D5" s="22" t="s">
        <v>106</v>
      </c>
      <c r="E5" s="22" t="s">
        <v>107</v>
      </c>
      <c r="F5" s="22" t="s">
        <v>108</v>
      </c>
      <c r="G5" s="22" t="s">
        <v>109</v>
      </c>
    </row>
    <row r="6" spans="1:7" ht="25.5" customHeight="1" x14ac:dyDescent="0.35">
      <c r="A6" s="23">
        <v>1</v>
      </c>
      <c r="B6" s="23" t="s">
        <v>110</v>
      </c>
      <c r="C6" s="23" t="s">
        <v>111</v>
      </c>
      <c r="D6" s="23" t="s">
        <v>112</v>
      </c>
      <c r="E6" s="23" t="s">
        <v>113</v>
      </c>
      <c r="F6" s="23" t="s">
        <v>114</v>
      </c>
      <c r="G6" s="23" t="s">
        <v>115</v>
      </c>
    </row>
    <row r="7" spans="1:7" ht="25.5" customHeight="1" x14ac:dyDescent="0.35">
      <c r="A7" s="23">
        <v>2</v>
      </c>
      <c r="B7" s="23" t="s">
        <v>116</v>
      </c>
      <c r="C7" s="23" t="s">
        <v>117</v>
      </c>
      <c r="D7" s="23" t="s">
        <v>118</v>
      </c>
      <c r="E7" s="23" t="s">
        <v>113</v>
      </c>
      <c r="F7" s="23" t="s">
        <v>119</v>
      </c>
      <c r="G7" s="23" t="s">
        <v>115</v>
      </c>
    </row>
    <row r="8" spans="1:7" x14ac:dyDescent="0.35">
      <c r="A8" s="23">
        <v>3</v>
      </c>
      <c r="B8" s="23" t="s">
        <v>120</v>
      </c>
      <c r="C8" s="23" t="s">
        <v>121</v>
      </c>
      <c r="D8" s="23" t="s">
        <v>122</v>
      </c>
      <c r="E8" s="23" t="s">
        <v>123</v>
      </c>
      <c r="F8" s="23" t="s">
        <v>124</v>
      </c>
      <c r="G8" s="23" t="s">
        <v>125</v>
      </c>
    </row>
    <row r="9" spans="1:7" ht="25.5" customHeight="1" x14ac:dyDescent="0.35">
      <c r="A9" s="23">
        <v>4</v>
      </c>
      <c r="B9" s="24" t="s">
        <v>126</v>
      </c>
      <c r="C9" s="23" t="s">
        <v>127</v>
      </c>
      <c r="D9" s="23" t="s">
        <v>128</v>
      </c>
      <c r="E9" s="23" t="s">
        <v>129</v>
      </c>
      <c r="F9" s="23" t="s">
        <v>130</v>
      </c>
      <c r="G9" s="23" t="s">
        <v>131</v>
      </c>
    </row>
    <row r="10" spans="1:7" ht="25.5" customHeight="1" x14ac:dyDescent="0.35">
      <c r="A10" s="23">
        <v>5</v>
      </c>
      <c r="B10" s="24" t="s">
        <v>132</v>
      </c>
      <c r="C10" s="23" t="s">
        <v>133</v>
      </c>
      <c r="D10" s="23" t="s">
        <v>134</v>
      </c>
      <c r="E10" s="23" t="s">
        <v>129</v>
      </c>
      <c r="F10" s="23" t="s">
        <v>130</v>
      </c>
      <c r="G10" s="23" t="s">
        <v>135</v>
      </c>
    </row>
    <row r="11" spans="1:7" ht="25.5" customHeight="1" x14ac:dyDescent="0.35">
      <c r="A11" s="23">
        <v>6</v>
      </c>
      <c r="B11" s="24" t="s">
        <v>136</v>
      </c>
      <c r="C11" s="23" t="s">
        <v>137</v>
      </c>
      <c r="D11" s="23" t="s">
        <v>138</v>
      </c>
      <c r="E11" s="23" t="s">
        <v>129</v>
      </c>
      <c r="F11" s="23" t="s">
        <v>130</v>
      </c>
      <c r="G11" s="23" t="s">
        <v>139</v>
      </c>
    </row>
    <row r="12" spans="1:7" ht="25.5" customHeight="1" x14ac:dyDescent="0.35">
      <c r="A12" s="23">
        <v>7</v>
      </c>
      <c r="B12" s="24" t="s">
        <v>140</v>
      </c>
      <c r="C12" s="23" t="s">
        <v>141</v>
      </c>
      <c r="D12" s="23" t="s">
        <v>142</v>
      </c>
      <c r="E12" s="23" t="s">
        <v>129</v>
      </c>
      <c r="F12" s="23" t="s">
        <v>130</v>
      </c>
      <c r="G12" s="23" t="s">
        <v>143</v>
      </c>
    </row>
    <row r="13" spans="1:7" x14ac:dyDescent="0.35">
      <c r="A13" s="23">
        <v>8</v>
      </c>
      <c r="B13" s="23" t="s">
        <v>144</v>
      </c>
      <c r="C13" s="23" t="s">
        <v>145</v>
      </c>
      <c r="D13" s="23" t="s">
        <v>146</v>
      </c>
      <c r="E13" s="23" t="s">
        <v>147</v>
      </c>
      <c r="F13" s="23" t="s">
        <v>119</v>
      </c>
      <c r="G13" s="23" t="s">
        <v>148</v>
      </c>
    </row>
    <row r="14" spans="1:7" ht="26" x14ac:dyDescent="0.35">
      <c r="A14" s="23">
        <v>9</v>
      </c>
      <c r="B14" s="23" t="s">
        <v>149</v>
      </c>
      <c r="C14" s="23" t="s">
        <v>150</v>
      </c>
      <c r="D14" s="23" t="s">
        <v>151</v>
      </c>
      <c r="E14" s="23" t="s">
        <v>119</v>
      </c>
      <c r="F14" s="23" t="s">
        <v>119</v>
      </c>
      <c r="G14" s="23" t="s">
        <v>148</v>
      </c>
    </row>
    <row r="15" spans="1:7" x14ac:dyDescent="0.35">
      <c r="A15" s="23">
        <v>10</v>
      </c>
      <c r="B15" s="23" t="s">
        <v>152</v>
      </c>
      <c r="C15" s="23" t="s">
        <v>153</v>
      </c>
      <c r="D15" s="23" t="s">
        <v>154</v>
      </c>
      <c r="E15" s="23" t="s">
        <v>155</v>
      </c>
      <c r="F15" s="23" t="s">
        <v>156</v>
      </c>
      <c r="G15" s="23" t="s">
        <v>157</v>
      </c>
    </row>
    <row r="16" spans="1:7" ht="25.5" customHeight="1" x14ac:dyDescent="0.35">
      <c r="A16" s="23">
        <v>11</v>
      </c>
      <c r="B16" s="23" t="s">
        <v>158</v>
      </c>
      <c r="C16" s="23" t="s">
        <v>159</v>
      </c>
      <c r="D16" s="23" t="s">
        <v>122</v>
      </c>
      <c r="E16" s="23" t="s">
        <v>160</v>
      </c>
      <c r="F16" s="23" t="s">
        <v>161</v>
      </c>
      <c r="G16" s="23" t="s">
        <v>157</v>
      </c>
    </row>
    <row r="17" spans="1:7" ht="39" customHeight="1" x14ac:dyDescent="0.35">
      <c r="A17" s="23">
        <v>12</v>
      </c>
      <c r="B17" s="23" t="s">
        <v>162</v>
      </c>
      <c r="C17" s="23" t="s">
        <v>163</v>
      </c>
      <c r="D17" s="23" t="s">
        <v>164</v>
      </c>
      <c r="E17" s="23" t="s">
        <v>165</v>
      </c>
      <c r="F17" s="23" t="s">
        <v>165</v>
      </c>
      <c r="G17" s="23" t="s">
        <v>166</v>
      </c>
    </row>
    <row r="19" spans="1:7" ht="15" customHeight="1" x14ac:dyDescent="0.35">
      <c r="A19" s="10" t="s">
        <v>167</v>
      </c>
      <c r="B19" s="10"/>
      <c r="C19" s="10"/>
      <c r="D19" s="10"/>
      <c r="E19" s="10"/>
      <c r="F19" s="10"/>
      <c r="G19" s="10"/>
    </row>
    <row r="20" spans="1:7" x14ac:dyDescent="0.35">
      <c r="A20" s="22" t="s">
        <v>103</v>
      </c>
      <c r="B20" s="22" t="s">
        <v>104</v>
      </c>
      <c r="C20" s="22" t="s">
        <v>105</v>
      </c>
      <c r="D20" s="22" t="s">
        <v>106</v>
      </c>
      <c r="E20" s="22" t="s">
        <v>107</v>
      </c>
      <c r="F20" s="22" t="s">
        <v>108</v>
      </c>
      <c r="G20" s="22" t="s">
        <v>109</v>
      </c>
    </row>
    <row r="21" spans="1:7" x14ac:dyDescent="0.35">
      <c r="A21" s="23">
        <v>1</v>
      </c>
      <c r="B21" s="23" t="s">
        <v>168</v>
      </c>
      <c r="C21" s="23" t="s">
        <v>169</v>
      </c>
      <c r="D21" s="23" t="s">
        <v>170</v>
      </c>
      <c r="E21" s="23" t="s">
        <v>123</v>
      </c>
      <c r="F21" s="23" t="s">
        <v>124</v>
      </c>
      <c r="G21" s="23" t="s">
        <v>171</v>
      </c>
    </row>
    <row r="22" spans="1:7" x14ac:dyDescent="0.35">
      <c r="A22" s="23">
        <v>2</v>
      </c>
      <c r="B22" s="23" t="s">
        <v>172</v>
      </c>
      <c r="C22" s="23" t="s">
        <v>173</v>
      </c>
      <c r="D22" s="23" t="s">
        <v>146</v>
      </c>
      <c r="E22" s="23" t="s">
        <v>147</v>
      </c>
      <c r="F22" s="23" t="s">
        <v>119</v>
      </c>
      <c r="G22" s="23" t="s">
        <v>174</v>
      </c>
    </row>
    <row r="23" spans="1:7" ht="25.5" customHeight="1" x14ac:dyDescent="0.35">
      <c r="A23" s="23">
        <v>3</v>
      </c>
      <c r="B23" s="23" t="s">
        <v>175</v>
      </c>
      <c r="C23" s="23" t="s">
        <v>176</v>
      </c>
      <c r="D23" s="23" t="s">
        <v>177</v>
      </c>
      <c r="E23" s="23" t="s">
        <v>119</v>
      </c>
      <c r="F23" s="23" t="s">
        <v>119</v>
      </c>
      <c r="G23" s="23" t="s">
        <v>178</v>
      </c>
    </row>
    <row r="24" spans="1:7" ht="25.5" customHeight="1" x14ac:dyDescent="0.35">
      <c r="A24" s="23">
        <v>4</v>
      </c>
      <c r="B24" s="23" t="s">
        <v>179</v>
      </c>
      <c r="C24" s="23" t="s">
        <v>180</v>
      </c>
      <c r="D24" s="23" t="s">
        <v>181</v>
      </c>
      <c r="E24" s="23" t="s">
        <v>182</v>
      </c>
      <c r="F24" s="23" t="s">
        <v>124</v>
      </c>
      <c r="G24" s="23" t="s">
        <v>171</v>
      </c>
    </row>
    <row r="25" spans="1:7" x14ac:dyDescent="0.35">
      <c r="A25" s="23">
        <v>5</v>
      </c>
      <c r="B25" s="23" t="s">
        <v>183</v>
      </c>
      <c r="C25" s="23" t="s">
        <v>184</v>
      </c>
      <c r="D25" s="23" t="s">
        <v>185</v>
      </c>
      <c r="E25" s="23" t="s">
        <v>123</v>
      </c>
      <c r="F25" s="23" t="s">
        <v>124</v>
      </c>
      <c r="G25" s="23" t="s">
        <v>186</v>
      </c>
    </row>
    <row r="26" spans="1:7" x14ac:dyDescent="0.35">
      <c r="A26" s="23">
        <v>6</v>
      </c>
      <c r="B26" s="23" t="s">
        <v>187</v>
      </c>
      <c r="C26" s="23" t="s">
        <v>188</v>
      </c>
      <c r="D26" s="23" t="s">
        <v>189</v>
      </c>
      <c r="E26" s="23" t="s">
        <v>190</v>
      </c>
      <c r="F26" s="23" t="s">
        <v>119</v>
      </c>
      <c r="G26" s="23" t="s">
        <v>191</v>
      </c>
    </row>
    <row r="28" spans="1:7" ht="15" customHeight="1" x14ac:dyDescent="0.35">
      <c r="A28" s="9" t="s">
        <v>192</v>
      </c>
      <c r="B28" s="9"/>
      <c r="C28" s="9"/>
      <c r="D28" s="9"/>
      <c r="E28" s="9"/>
      <c r="F28" s="9"/>
      <c r="G28" s="9"/>
    </row>
    <row r="29" spans="1:7" x14ac:dyDescent="0.35">
      <c r="A29" s="22" t="s">
        <v>103</v>
      </c>
      <c r="B29" s="22" t="s">
        <v>104</v>
      </c>
      <c r="C29" s="22" t="s">
        <v>105</v>
      </c>
      <c r="D29" s="22" t="s">
        <v>106</v>
      </c>
      <c r="E29" s="22" t="s">
        <v>107</v>
      </c>
      <c r="F29" s="22" t="s">
        <v>108</v>
      </c>
      <c r="G29" s="22" t="s">
        <v>109</v>
      </c>
    </row>
    <row r="30" spans="1:7" ht="25.5" customHeight="1" x14ac:dyDescent="0.35">
      <c r="A30" s="23">
        <v>1</v>
      </c>
      <c r="B30" s="23" t="s">
        <v>193</v>
      </c>
      <c r="C30" s="23" t="s">
        <v>194</v>
      </c>
      <c r="D30" s="23" t="s">
        <v>195</v>
      </c>
      <c r="E30" s="23" t="s">
        <v>196</v>
      </c>
      <c r="F30" s="23" t="s">
        <v>197</v>
      </c>
      <c r="G30" s="23" t="s">
        <v>198</v>
      </c>
    </row>
    <row r="31" spans="1:7" ht="25.5" customHeight="1" x14ac:dyDescent="0.35">
      <c r="A31" s="23">
        <v>2</v>
      </c>
      <c r="B31" s="23" t="s">
        <v>199</v>
      </c>
      <c r="C31" s="23" t="s">
        <v>200</v>
      </c>
      <c r="D31" s="23" t="s">
        <v>195</v>
      </c>
      <c r="E31" s="23" t="s">
        <v>196</v>
      </c>
      <c r="F31" s="23" t="s">
        <v>201</v>
      </c>
      <c r="G31" s="23" t="s">
        <v>202</v>
      </c>
    </row>
    <row r="32" spans="1:7" ht="25.5" customHeight="1" x14ac:dyDescent="0.35">
      <c r="A32" s="23">
        <v>3</v>
      </c>
      <c r="B32" s="23" t="s">
        <v>203</v>
      </c>
      <c r="C32" s="23" t="s">
        <v>204</v>
      </c>
      <c r="D32" s="23" t="s">
        <v>205</v>
      </c>
      <c r="E32" s="23" t="s">
        <v>206</v>
      </c>
      <c r="F32" s="23" t="s">
        <v>207</v>
      </c>
      <c r="G32" s="23" t="s">
        <v>208</v>
      </c>
    </row>
    <row r="33" spans="1:7" ht="25.5" customHeight="1" x14ac:dyDescent="0.35">
      <c r="A33" s="23">
        <v>4</v>
      </c>
      <c r="B33" s="23" t="s">
        <v>209</v>
      </c>
      <c r="C33" s="23" t="s">
        <v>210</v>
      </c>
      <c r="D33" s="23" t="s">
        <v>211</v>
      </c>
      <c r="E33" s="23" t="s">
        <v>212</v>
      </c>
      <c r="F33" s="23" t="s">
        <v>207</v>
      </c>
      <c r="G33" s="23" t="s">
        <v>213</v>
      </c>
    </row>
    <row r="34" spans="1:7" ht="25.5" customHeight="1" x14ac:dyDescent="0.35">
      <c r="A34" s="23">
        <v>5</v>
      </c>
      <c r="B34" s="23" t="s">
        <v>214</v>
      </c>
      <c r="C34" s="23" t="s">
        <v>215</v>
      </c>
      <c r="D34" s="23" t="s">
        <v>216</v>
      </c>
      <c r="E34" s="23" t="s">
        <v>217</v>
      </c>
      <c r="F34" s="23" t="s">
        <v>218</v>
      </c>
      <c r="G34" s="23" t="s">
        <v>219</v>
      </c>
    </row>
    <row r="36" spans="1:7" ht="15" customHeight="1" x14ac:dyDescent="0.35">
      <c r="A36" s="8" t="s">
        <v>220</v>
      </c>
      <c r="B36" s="8"/>
      <c r="C36" s="8"/>
      <c r="D36" s="8"/>
      <c r="E36" s="8"/>
      <c r="F36" s="8"/>
      <c r="G36" s="8"/>
    </row>
    <row r="37" spans="1:7" x14ac:dyDescent="0.35">
      <c r="A37" s="22" t="s">
        <v>103</v>
      </c>
      <c r="B37" s="22" t="s">
        <v>104</v>
      </c>
      <c r="C37" s="22" t="s">
        <v>105</v>
      </c>
      <c r="D37" s="22" t="s">
        <v>106</v>
      </c>
      <c r="E37" s="22" t="s">
        <v>107</v>
      </c>
      <c r="F37" s="22" t="s">
        <v>108</v>
      </c>
      <c r="G37" s="22" t="s">
        <v>109</v>
      </c>
    </row>
    <row r="38" spans="1:7" ht="25.5" customHeight="1" x14ac:dyDescent="0.35">
      <c r="A38" s="23">
        <v>1</v>
      </c>
      <c r="B38" s="23" t="s">
        <v>221</v>
      </c>
      <c r="C38" s="23" t="s">
        <v>222</v>
      </c>
      <c r="D38" s="23" t="s">
        <v>223</v>
      </c>
      <c r="E38" s="23" t="s">
        <v>224</v>
      </c>
      <c r="F38" s="23" t="s">
        <v>225</v>
      </c>
      <c r="G38" s="23" t="s">
        <v>226</v>
      </c>
    </row>
    <row r="39" spans="1:7" x14ac:dyDescent="0.35">
      <c r="A39" s="23">
        <v>2</v>
      </c>
      <c r="B39" s="23" t="s">
        <v>227</v>
      </c>
      <c r="C39" s="23" t="s">
        <v>228</v>
      </c>
      <c r="D39" s="23" t="s">
        <v>229</v>
      </c>
      <c r="E39" s="23" t="s">
        <v>224</v>
      </c>
      <c r="F39" s="23" t="s">
        <v>225</v>
      </c>
      <c r="G39" s="23" t="s">
        <v>230</v>
      </c>
    </row>
    <row r="40" spans="1:7" ht="25.5" customHeight="1" x14ac:dyDescent="0.35">
      <c r="A40" s="23">
        <v>3</v>
      </c>
      <c r="B40" s="23" t="s">
        <v>231</v>
      </c>
      <c r="C40" s="23" t="s">
        <v>232</v>
      </c>
      <c r="D40" s="23" t="s">
        <v>122</v>
      </c>
      <c r="E40" s="23" t="s">
        <v>233</v>
      </c>
      <c r="F40" s="23" t="s">
        <v>234</v>
      </c>
      <c r="G40" s="23" t="s">
        <v>186</v>
      </c>
    </row>
    <row r="41" spans="1:7" x14ac:dyDescent="0.35">
      <c r="A41" s="23">
        <v>4</v>
      </c>
      <c r="B41" s="23" t="s">
        <v>235</v>
      </c>
      <c r="C41" s="23" t="s">
        <v>236</v>
      </c>
      <c r="D41" s="23" t="s">
        <v>237</v>
      </c>
      <c r="E41" s="23" t="s">
        <v>224</v>
      </c>
      <c r="F41" s="23" t="s">
        <v>238</v>
      </c>
      <c r="G41" s="23" t="s">
        <v>239</v>
      </c>
    </row>
    <row r="42" spans="1:7" ht="52" x14ac:dyDescent="0.35">
      <c r="A42" s="23">
        <v>5</v>
      </c>
      <c r="B42" s="23" t="s">
        <v>240</v>
      </c>
      <c r="C42" s="23" t="s">
        <v>241</v>
      </c>
      <c r="D42" s="23" t="s">
        <v>242</v>
      </c>
      <c r="E42" s="23" t="s">
        <v>243</v>
      </c>
      <c r="F42" s="23" t="s">
        <v>244</v>
      </c>
      <c r="G42" s="23" t="s">
        <v>245</v>
      </c>
    </row>
    <row r="44" spans="1:7" x14ac:dyDescent="0.35">
      <c r="A44" s="7" t="s">
        <v>246</v>
      </c>
      <c r="B44" s="7"/>
      <c r="C44" s="7"/>
      <c r="D44" s="7"/>
      <c r="E44" s="7"/>
      <c r="F44" s="7"/>
      <c r="G44" s="7"/>
    </row>
    <row r="46" spans="1:7" ht="14.25" customHeight="1" x14ac:dyDescent="0.35">
      <c r="A46" s="6" t="s">
        <v>247</v>
      </c>
      <c r="B46" s="6"/>
      <c r="C46" s="6"/>
      <c r="D46" s="6"/>
      <c r="E46" s="6"/>
      <c r="F46" s="6"/>
      <c r="G46" s="6"/>
    </row>
    <row r="47" spans="1:7" x14ac:dyDescent="0.35">
      <c r="A47" s="25" t="s">
        <v>103</v>
      </c>
      <c r="B47" s="25" t="s">
        <v>104</v>
      </c>
      <c r="C47" s="25" t="s">
        <v>105</v>
      </c>
      <c r="D47" s="25" t="s">
        <v>106</v>
      </c>
      <c r="E47" s="25" t="s">
        <v>107</v>
      </c>
      <c r="F47" s="25" t="s">
        <v>108</v>
      </c>
      <c r="G47" s="25" t="s">
        <v>248</v>
      </c>
    </row>
    <row r="48" spans="1:7" ht="26" x14ac:dyDescent="0.35">
      <c r="A48" s="21">
        <v>1</v>
      </c>
      <c r="B48" s="21" t="s">
        <v>249</v>
      </c>
      <c r="C48" s="21" t="s">
        <v>250</v>
      </c>
      <c r="D48" s="21" t="s">
        <v>251</v>
      </c>
      <c r="E48" s="21" t="s">
        <v>147</v>
      </c>
      <c r="F48" s="21" t="s">
        <v>119</v>
      </c>
      <c r="G48" s="21" t="s">
        <v>252</v>
      </c>
    </row>
    <row r="49" spans="1:7" ht="26" x14ac:dyDescent="0.35">
      <c r="A49" s="21">
        <v>2</v>
      </c>
      <c r="B49" s="21" t="s">
        <v>253</v>
      </c>
      <c r="C49" s="21" t="s">
        <v>254</v>
      </c>
      <c r="D49" s="21" t="s">
        <v>255</v>
      </c>
      <c r="E49" s="21" t="s">
        <v>119</v>
      </c>
      <c r="F49" s="21" t="s">
        <v>119</v>
      </c>
      <c r="G49" s="21" t="s">
        <v>256</v>
      </c>
    </row>
    <row r="50" spans="1:7" x14ac:dyDescent="0.35">
      <c r="A50" s="21">
        <v>3</v>
      </c>
      <c r="B50" s="21" t="s">
        <v>257</v>
      </c>
      <c r="C50" s="21" t="s">
        <v>258</v>
      </c>
      <c r="D50" s="21" t="s">
        <v>259</v>
      </c>
      <c r="E50" s="21" t="s">
        <v>260</v>
      </c>
      <c r="F50" s="21" t="s">
        <v>119</v>
      </c>
      <c r="G50" s="21" t="s">
        <v>261</v>
      </c>
    </row>
    <row r="51" spans="1:7" x14ac:dyDescent="0.35">
      <c r="A51" s="21">
        <v>4</v>
      </c>
      <c r="B51" s="21" t="s">
        <v>262</v>
      </c>
      <c r="C51" s="21" t="s">
        <v>263</v>
      </c>
      <c r="D51" s="21" t="s">
        <v>264</v>
      </c>
      <c r="E51" s="21" t="s">
        <v>265</v>
      </c>
      <c r="F51" s="21" t="s">
        <v>119</v>
      </c>
      <c r="G51" s="21" t="s">
        <v>266</v>
      </c>
    </row>
    <row r="52" spans="1:7" x14ac:dyDescent="0.35">
      <c r="A52" s="21">
        <v>5</v>
      </c>
      <c r="B52" s="21" t="s">
        <v>267</v>
      </c>
      <c r="C52" s="21" t="s">
        <v>268</v>
      </c>
      <c r="D52" s="21" t="s">
        <v>112</v>
      </c>
      <c r="E52" s="21" t="s">
        <v>269</v>
      </c>
      <c r="F52" s="21" t="s">
        <v>119</v>
      </c>
      <c r="G52" s="21" t="s">
        <v>270</v>
      </c>
    </row>
    <row r="53" spans="1:7" x14ac:dyDescent="0.35">
      <c r="A53" s="21">
        <v>6</v>
      </c>
      <c r="B53" s="21" t="s">
        <v>271</v>
      </c>
      <c r="C53" s="21" t="s">
        <v>272</v>
      </c>
      <c r="D53" s="21" t="s">
        <v>273</v>
      </c>
      <c r="E53" s="21" t="s">
        <v>274</v>
      </c>
      <c r="F53" s="21" t="s">
        <v>119</v>
      </c>
      <c r="G53" s="21" t="s">
        <v>275</v>
      </c>
    </row>
    <row r="54" spans="1:7" ht="26" x14ac:dyDescent="0.35">
      <c r="A54" s="21">
        <v>7</v>
      </c>
      <c r="B54" s="21" t="s">
        <v>276</v>
      </c>
      <c r="C54" s="21" t="s">
        <v>277</v>
      </c>
      <c r="D54" s="21" t="s">
        <v>278</v>
      </c>
      <c r="E54" s="21" t="s">
        <v>279</v>
      </c>
      <c r="F54" s="21" t="s">
        <v>280</v>
      </c>
      <c r="G54" s="21" t="s">
        <v>281</v>
      </c>
    </row>
    <row r="55" spans="1:7" x14ac:dyDescent="0.35">
      <c r="A55" s="21">
        <v>8</v>
      </c>
      <c r="B55" s="21" t="s">
        <v>282</v>
      </c>
      <c r="C55" s="21" t="s">
        <v>283</v>
      </c>
      <c r="D55" s="21" t="s">
        <v>284</v>
      </c>
      <c r="E55" s="21" t="s">
        <v>285</v>
      </c>
      <c r="F55" s="21" t="s">
        <v>286</v>
      </c>
      <c r="G55" s="21" t="s">
        <v>261</v>
      </c>
    </row>
    <row r="56" spans="1:7" x14ac:dyDescent="0.35">
      <c r="A56" s="21">
        <v>9</v>
      </c>
      <c r="B56" s="21" t="s">
        <v>287</v>
      </c>
      <c r="C56" s="21" t="s">
        <v>288</v>
      </c>
      <c r="D56" s="21" t="s">
        <v>289</v>
      </c>
      <c r="E56" s="21" t="s">
        <v>290</v>
      </c>
      <c r="F56" s="21" t="s">
        <v>119</v>
      </c>
      <c r="G56" s="21" t="s">
        <v>291</v>
      </c>
    </row>
    <row r="57" spans="1:7" ht="26" x14ac:dyDescent="0.35">
      <c r="A57" s="21">
        <v>10</v>
      </c>
      <c r="B57" s="21" t="s">
        <v>292</v>
      </c>
      <c r="C57" s="21" t="s">
        <v>293</v>
      </c>
      <c r="D57" s="21" t="s">
        <v>294</v>
      </c>
      <c r="E57" s="21" t="s">
        <v>295</v>
      </c>
      <c r="F57" s="21" t="s">
        <v>296</v>
      </c>
      <c r="G57" s="21" t="s">
        <v>297</v>
      </c>
    </row>
    <row r="58" spans="1:7" ht="26" x14ac:dyDescent="0.35">
      <c r="A58" s="21">
        <v>11</v>
      </c>
      <c r="B58" s="21" t="s">
        <v>298</v>
      </c>
      <c r="C58" s="21" t="s">
        <v>299</v>
      </c>
      <c r="D58" s="21" t="s">
        <v>300</v>
      </c>
      <c r="E58" s="21" t="s">
        <v>301</v>
      </c>
      <c r="F58" s="21" t="s">
        <v>302</v>
      </c>
      <c r="G58" s="21" t="s">
        <v>303</v>
      </c>
    </row>
    <row r="59" spans="1:7" ht="26" x14ac:dyDescent="0.35">
      <c r="A59" s="21">
        <v>12</v>
      </c>
      <c r="B59" s="21" t="s">
        <v>304</v>
      </c>
      <c r="C59" s="21" t="s">
        <v>305</v>
      </c>
      <c r="D59" s="21" t="s">
        <v>306</v>
      </c>
      <c r="E59" s="21" t="s">
        <v>307</v>
      </c>
      <c r="F59" s="21" t="s">
        <v>308</v>
      </c>
      <c r="G59" s="21" t="s">
        <v>309</v>
      </c>
    </row>
  </sheetData>
  <mergeCells count="8">
    <mergeCell ref="A36:G36"/>
    <mergeCell ref="A44:G44"/>
    <mergeCell ref="A46:G46"/>
    <mergeCell ref="A1:G1"/>
    <mergeCell ref="A2:G2"/>
    <mergeCell ref="A4:G4"/>
    <mergeCell ref="A19:G19"/>
    <mergeCell ref="A28:G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T500"/>
  <sheetViews>
    <sheetView tabSelected="1" zoomScaleNormal="100" workbookViewId="0">
      <pane xSplit="2" topLeftCell="C1" activePane="topRight" state="frozen"/>
      <selection activeCell="A5" sqref="A5"/>
      <selection pane="topRight" activeCell="B42" sqref="B42"/>
    </sheetView>
  </sheetViews>
  <sheetFormatPr defaultColWidth="8.6328125" defaultRowHeight="14.5" x14ac:dyDescent="0.35"/>
  <cols>
    <col min="1" max="1" width="13.26953125" customWidth="1"/>
    <col min="2" max="2" width="15.1796875" customWidth="1"/>
    <col min="3" max="3" width="11.90625" customWidth="1"/>
    <col min="4" max="4" width="10.7265625" customWidth="1"/>
    <col min="5" max="5" width="13" customWidth="1"/>
    <col min="6" max="6" width="9.36328125" customWidth="1"/>
    <col min="7" max="7" width="9.1796875" customWidth="1"/>
    <col min="8" max="8" width="11.08984375" customWidth="1"/>
    <col min="9" max="9" width="13.54296875" customWidth="1"/>
    <col min="10" max="10" width="10" customWidth="1"/>
    <col min="11" max="11" width="9.90625" customWidth="1"/>
    <col min="12" max="12" width="11.36328125" customWidth="1"/>
    <col min="13" max="13" width="10.81640625" customWidth="1"/>
    <col min="14" max="14" width="13.26953125" customWidth="1"/>
    <col min="15" max="15" width="16" customWidth="1"/>
    <col min="16" max="16" width="12.7265625" customWidth="1"/>
    <col min="17" max="20" width="16" customWidth="1"/>
    <col min="21" max="21" width="19.08984375" customWidth="1"/>
    <col min="22" max="22" width="22" customWidth="1"/>
    <col min="23" max="23" width="15.08984375" customWidth="1"/>
    <col min="24" max="24" width="24" customWidth="1"/>
    <col min="25" max="25" width="14.1796875" customWidth="1"/>
    <col min="26" max="26" width="7.81640625" customWidth="1"/>
    <col min="27" max="27" width="13" customWidth="1"/>
    <col min="28" max="28" width="7.7265625" customWidth="1"/>
    <col min="29" max="29" width="11.90625" customWidth="1"/>
    <col min="30" max="30" width="13" customWidth="1"/>
    <col min="31" max="31" width="14.6328125" customWidth="1"/>
    <col min="32" max="32" width="16" customWidth="1"/>
    <col min="33" max="33" width="13" customWidth="1"/>
    <col min="34" max="34" width="16" customWidth="1"/>
    <col min="35" max="35" width="13" customWidth="1"/>
    <col min="36" max="38" width="16" customWidth="1"/>
    <col min="39" max="45" width="13" customWidth="1"/>
    <col min="46" max="47" width="16" customWidth="1"/>
    <col min="48" max="48" width="13" customWidth="1"/>
    <col min="49" max="51" width="16" customWidth="1"/>
    <col min="52" max="78" width="13" customWidth="1"/>
    <col min="79" max="79" width="24" customWidth="1"/>
    <col min="80" max="81" width="13" customWidth="1"/>
    <col min="82" max="83" width="24" customWidth="1"/>
    <col min="84" max="86" width="16" customWidth="1"/>
    <col min="87" max="87" width="18" customWidth="1"/>
    <col min="88" max="88" width="16" customWidth="1"/>
    <col min="89" max="90" width="18" customWidth="1"/>
    <col min="91" max="91" width="16" customWidth="1"/>
    <col min="92" max="93" width="18" customWidth="1"/>
    <col min="94" max="94" width="16" customWidth="1"/>
    <col min="95" max="96" width="18" customWidth="1"/>
    <col min="97" max="100" width="16" customWidth="1"/>
    <col min="101" max="111" width="18" customWidth="1"/>
    <col min="112" max="113" width="16" customWidth="1"/>
    <col min="114" max="114" width="18" customWidth="1"/>
    <col min="115" max="115" width="16" customWidth="1"/>
    <col min="116" max="120" width="18" customWidth="1"/>
    <col min="121" max="124" width="16" customWidth="1"/>
  </cols>
  <sheetData>
    <row r="1" spans="1:124" ht="25.5" customHeight="1" x14ac:dyDescent="0.35">
      <c r="A1" s="5" t="s">
        <v>310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row>
    <row r="2" spans="1:124" ht="12.5" customHeight="1" x14ac:dyDescent="0.35">
      <c r="A2" s="26" t="s">
        <v>311</v>
      </c>
      <c r="B2" s="26" t="s">
        <v>312</v>
      </c>
      <c r="C2" s="26" t="s">
        <v>313</v>
      </c>
      <c r="D2" s="26" t="s">
        <v>314</v>
      </c>
      <c r="E2" s="26" t="s">
        <v>315</v>
      </c>
      <c r="F2" s="26" t="s">
        <v>316</v>
      </c>
      <c r="G2" s="26" t="s">
        <v>317</v>
      </c>
      <c r="H2" s="26" t="s">
        <v>250</v>
      </c>
      <c r="I2" s="26" t="s">
        <v>318</v>
      </c>
      <c r="J2" s="26" t="s">
        <v>258</v>
      </c>
      <c r="K2" s="26" t="s">
        <v>263</v>
      </c>
      <c r="L2" s="26" t="s">
        <v>173</v>
      </c>
      <c r="M2" s="26" t="s">
        <v>145</v>
      </c>
      <c r="N2" s="26" t="s">
        <v>121</v>
      </c>
      <c r="O2" s="26" t="s">
        <v>169</v>
      </c>
      <c r="P2" s="26" t="s">
        <v>319</v>
      </c>
      <c r="Q2" s="26" t="s">
        <v>320</v>
      </c>
      <c r="R2" s="26" t="s">
        <v>321</v>
      </c>
      <c r="S2" s="26" t="s">
        <v>322</v>
      </c>
      <c r="T2" s="26" t="s">
        <v>137</v>
      </c>
      <c r="U2" s="26" t="s">
        <v>141</v>
      </c>
      <c r="V2" s="26" t="s">
        <v>150</v>
      </c>
      <c r="W2" s="26" t="s">
        <v>268</v>
      </c>
      <c r="X2" s="26" t="s">
        <v>323</v>
      </c>
      <c r="Y2" s="26" t="s">
        <v>324</v>
      </c>
      <c r="Z2" s="26" t="s">
        <v>325</v>
      </c>
      <c r="AA2" s="26" t="s">
        <v>326</v>
      </c>
      <c r="AB2" s="26" t="s">
        <v>184</v>
      </c>
      <c r="AC2" s="26" t="s">
        <v>153</v>
      </c>
      <c r="AD2" s="26" t="s">
        <v>159</v>
      </c>
      <c r="AE2" s="26" t="s">
        <v>232</v>
      </c>
      <c r="AF2" s="26" t="s">
        <v>236</v>
      </c>
      <c r="AG2" s="26" t="s">
        <v>327</v>
      </c>
      <c r="AH2" s="26" t="s">
        <v>222</v>
      </c>
      <c r="AI2" s="26" t="s">
        <v>328</v>
      </c>
      <c r="AJ2" s="26" t="s">
        <v>329</v>
      </c>
      <c r="AK2" s="26" t="s">
        <v>330</v>
      </c>
      <c r="AL2" s="26" t="s">
        <v>331</v>
      </c>
      <c r="AM2" s="26" t="s">
        <v>332</v>
      </c>
      <c r="AN2" s="26" t="s">
        <v>333</v>
      </c>
      <c r="AO2" s="26" t="s">
        <v>334</v>
      </c>
      <c r="AP2" s="26" t="s">
        <v>163</v>
      </c>
      <c r="AQ2" s="26" t="s">
        <v>335</v>
      </c>
      <c r="AR2" s="26" t="s">
        <v>176</v>
      </c>
      <c r="AS2" s="26" t="s">
        <v>194</v>
      </c>
      <c r="AT2" s="26" t="s">
        <v>200</v>
      </c>
      <c r="AU2" s="26" t="s">
        <v>204</v>
      </c>
      <c r="AV2" s="26" t="s">
        <v>210</v>
      </c>
      <c r="AW2" s="26" t="s">
        <v>336</v>
      </c>
      <c r="AX2" s="26" t="s">
        <v>337</v>
      </c>
      <c r="AY2" s="26" t="s">
        <v>338</v>
      </c>
      <c r="AZ2" s="26" t="s">
        <v>215</v>
      </c>
      <c r="BA2" s="26" t="s">
        <v>339</v>
      </c>
      <c r="BB2" s="26" t="s">
        <v>340</v>
      </c>
      <c r="BC2" s="26" t="s">
        <v>188</v>
      </c>
      <c r="BD2" s="26" t="s">
        <v>341</v>
      </c>
      <c r="BE2" s="26" t="s">
        <v>342</v>
      </c>
      <c r="BF2" s="26" t="s">
        <v>343</v>
      </c>
      <c r="BG2" s="26" t="s">
        <v>344</v>
      </c>
      <c r="BH2" s="26" t="s">
        <v>345</v>
      </c>
      <c r="BI2" s="26" t="s">
        <v>346</v>
      </c>
      <c r="BJ2" s="26" t="s">
        <v>347</v>
      </c>
      <c r="BK2" s="26" t="s">
        <v>348</v>
      </c>
      <c r="BL2" s="26" t="s">
        <v>349</v>
      </c>
      <c r="BM2" s="26" t="s">
        <v>350</v>
      </c>
      <c r="BN2" s="26" t="s">
        <v>351</v>
      </c>
      <c r="BO2" s="26" t="s">
        <v>352</v>
      </c>
      <c r="BP2" s="26" t="s">
        <v>353</v>
      </c>
      <c r="BQ2" s="26" t="s">
        <v>354</v>
      </c>
      <c r="BR2" s="26" t="s">
        <v>355</v>
      </c>
      <c r="BS2" s="26" t="s">
        <v>356</v>
      </c>
      <c r="BT2" s="26" t="s">
        <v>357</v>
      </c>
      <c r="BU2" s="26" t="s">
        <v>358</v>
      </c>
      <c r="BV2" s="26" t="s">
        <v>359</v>
      </c>
      <c r="BW2" s="26" t="s">
        <v>360</v>
      </c>
      <c r="BX2" s="26" t="s">
        <v>361</v>
      </c>
      <c r="BY2" s="26" t="s">
        <v>362</v>
      </c>
      <c r="BZ2" s="26" t="s">
        <v>363</v>
      </c>
      <c r="CA2" s="26" t="s">
        <v>364</v>
      </c>
      <c r="CB2" s="26" t="s">
        <v>365</v>
      </c>
      <c r="CC2" s="26" t="s">
        <v>366</v>
      </c>
      <c r="CD2" s="26" t="s">
        <v>367</v>
      </c>
      <c r="CE2" s="26" t="s">
        <v>368</v>
      </c>
      <c r="CF2" s="26" t="s">
        <v>369</v>
      </c>
      <c r="CG2" s="26" t="s">
        <v>370</v>
      </c>
      <c r="CH2" s="26" t="s">
        <v>371</v>
      </c>
      <c r="CI2" s="26" t="s">
        <v>372</v>
      </c>
      <c r="CJ2" s="26" t="s">
        <v>373</v>
      </c>
      <c r="CK2" s="26" t="s">
        <v>374</v>
      </c>
      <c r="CL2" s="26" t="s">
        <v>375</v>
      </c>
      <c r="CM2" s="26" t="s">
        <v>376</v>
      </c>
      <c r="CN2" s="26" t="s">
        <v>377</v>
      </c>
      <c r="CO2" s="26" t="s">
        <v>378</v>
      </c>
      <c r="CP2" s="26" t="s">
        <v>379</v>
      </c>
      <c r="CQ2" s="26" t="s">
        <v>288</v>
      </c>
      <c r="CR2" s="26" t="s">
        <v>380</v>
      </c>
      <c r="CS2" s="26" t="s">
        <v>381</v>
      </c>
      <c r="CT2" s="26" t="s">
        <v>382</v>
      </c>
      <c r="CU2" s="26" t="s">
        <v>383</v>
      </c>
      <c r="CV2" s="26" t="s">
        <v>384</v>
      </c>
      <c r="CW2" s="26" t="s">
        <v>385</v>
      </c>
      <c r="CX2" s="26" t="s">
        <v>386</v>
      </c>
      <c r="CY2" s="26" t="s">
        <v>387</v>
      </c>
      <c r="CZ2" s="26" t="s">
        <v>388</v>
      </c>
      <c r="DA2" s="26" t="s">
        <v>389</v>
      </c>
      <c r="DB2" s="26" t="s">
        <v>390</v>
      </c>
      <c r="DC2" s="26" t="s">
        <v>391</v>
      </c>
      <c r="DD2" s="26" t="s">
        <v>392</v>
      </c>
      <c r="DE2" s="26" t="s">
        <v>393</v>
      </c>
      <c r="DF2" s="26" t="s">
        <v>394</v>
      </c>
      <c r="DG2" s="26" t="s">
        <v>395</v>
      </c>
      <c r="DH2" s="26" t="s">
        <v>396</v>
      </c>
      <c r="DI2" s="26" t="s">
        <v>397</v>
      </c>
      <c r="DJ2" s="26" t="s">
        <v>398</v>
      </c>
      <c r="DK2" s="26" t="s">
        <v>399</v>
      </c>
      <c r="DL2" s="26" t="s">
        <v>400</v>
      </c>
      <c r="DM2" s="26" t="s">
        <v>401</v>
      </c>
      <c r="DN2" s="26" t="s">
        <v>402</v>
      </c>
      <c r="DO2" s="26" t="s">
        <v>403</v>
      </c>
      <c r="DP2" s="26" t="s">
        <v>404</v>
      </c>
      <c r="DQ2" s="26" t="s">
        <v>405</v>
      </c>
      <c r="DR2" s="26" t="s">
        <v>406</v>
      </c>
      <c r="DS2" s="26" t="s">
        <v>407</v>
      </c>
      <c r="DT2" s="26" t="s">
        <v>408</v>
      </c>
    </row>
    <row r="3" spans="1:124" ht="15.5" customHeight="1" x14ac:dyDescent="0.35">
      <c r="A3" s="4" t="s">
        <v>409</v>
      </c>
      <c r="B3" s="4" t="s">
        <v>410</v>
      </c>
      <c r="C3" s="4" t="s">
        <v>411</v>
      </c>
      <c r="D3" s="4" t="s">
        <v>412</v>
      </c>
      <c r="E3" s="4" t="s">
        <v>413</v>
      </c>
      <c r="F3" s="4" t="s">
        <v>414</v>
      </c>
      <c r="G3" s="4" t="s">
        <v>415</v>
      </c>
      <c r="H3" s="4" t="s">
        <v>416</v>
      </c>
      <c r="I3" s="4" t="s">
        <v>417</v>
      </c>
      <c r="J3" s="4" t="s">
        <v>418</v>
      </c>
      <c r="K3" s="4" t="s">
        <v>419</v>
      </c>
      <c r="L3" s="4" t="s">
        <v>420</v>
      </c>
      <c r="M3" s="4" t="s">
        <v>421</v>
      </c>
      <c r="N3" s="4" t="s">
        <v>422</v>
      </c>
      <c r="O3" s="3" t="s">
        <v>423</v>
      </c>
      <c r="P3" s="4" t="s">
        <v>424</v>
      </c>
      <c r="Q3" s="4"/>
      <c r="R3" s="4"/>
      <c r="S3" s="4"/>
      <c r="T3" s="4"/>
      <c r="U3" s="4"/>
      <c r="V3" s="4"/>
      <c r="W3" s="4"/>
      <c r="X3" s="4"/>
      <c r="Y3" s="2" t="s">
        <v>425</v>
      </c>
      <c r="Z3" s="27" t="s">
        <v>426</v>
      </c>
      <c r="AA3" s="27" t="s">
        <v>427</v>
      </c>
      <c r="AB3" s="1" t="s">
        <v>428</v>
      </c>
      <c r="AC3" s="1"/>
      <c r="AD3" s="1"/>
      <c r="AE3" s="1"/>
      <c r="AF3" s="1"/>
      <c r="AG3" s="29" t="s">
        <v>429</v>
      </c>
      <c r="AH3" s="110" t="s">
        <v>430</v>
      </c>
      <c r="AI3" s="110"/>
      <c r="AJ3" s="110"/>
      <c r="AK3" s="110"/>
      <c r="AL3" s="110"/>
      <c r="AM3" s="110"/>
      <c r="AN3" s="110"/>
      <c r="AO3" s="110"/>
      <c r="AP3" s="110" t="s">
        <v>431</v>
      </c>
      <c r="AQ3" s="110"/>
      <c r="AR3" s="110"/>
      <c r="AS3" s="110" t="s">
        <v>432</v>
      </c>
      <c r="AT3" s="110"/>
      <c r="AU3" s="110"/>
      <c r="AV3" s="110"/>
      <c r="AW3" s="110"/>
      <c r="AX3" s="110"/>
      <c r="AY3" s="110"/>
      <c r="AZ3" s="110"/>
      <c r="BA3" s="110"/>
      <c r="BB3" s="110" t="s">
        <v>433</v>
      </c>
      <c r="BC3" s="110"/>
      <c r="BD3" s="110"/>
      <c r="BE3" s="110"/>
      <c r="BF3" s="111" t="s">
        <v>434</v>
      </c>
      <c r="BG3" s="110" t="s">
        <v>435</v>
      </c>
      <c r="BH3" s="110"/>
      <c r="BI3" s="110"/>
      <c r="BJ3" s="110"/>
      <c r="BK3" s="110"/>
      <c r="BL3" s="110" t="s">
        <v>436</v>
      </c>
      <c r="BM3" s="110"/>
      <c r="BN3" s="110"/>
      <c r="BO3" s="110"/>
      <c r="BP3" s="110"/>
      <c r="BQ3" s="110"/>
      <c r="BR3" s="110"/>
      <c r="BS3" s="110"/>
      <c r="BT3" s="110"/>
      <c r="BU3" s="110" t="s">
        <v>437</v>
      </c>
      <c r="BV3" s="110"/>
      <c r="BW3" s="110"/>
      <c r="BX3" s="110"/>
      <c r="BY3" s="110"/>
      <c r="BZ3" s="110"/>
      <c r="CA3" s="110" t="s">
        <v>438</v>
      </c>
      <c r="CB3" s="110"/>
      <c r="CC3" s="110"/>
      <c r="CD3" s="110" t="s">
        <v>439</v>
      </c>
      <c r="CE3" s="110"/>
      <c r="CF3" s="110"/>
      <c r="CG3" s="110"/>
      <c r="CH3" s="110"/>
      <c r="CI3" s="110" t="s">
        <v>440</v>
      </c>
      <c r="CJ3" s="110"/>
      <c r="CK3" s="110"/>
      <c r="CL3" s="110"/>
      <c r="CM3" s="110"/>
      <c r="CN3" s="110"/>
      <c r="CO3" s="110"/>
      <c r="CP3" s="110"/>
      <c r="CQ3" s="110" t="s">
        <v>441</v>
      </c>
      <c r="CR3" s="110"/>
      <c r="CS3" s="110"/>
      <c r="CT3" s="110"/>
      <c r="CU3" s="110" t="s">
        <v>442</v>
      </c>
      <c r="CV3" s="110"/>
      <c r="CW3" s="110"/>
      <c r="CX3" s="110"/>
      <c r="CY3" s="110"/>
      <c r="CZ3" s="110"/>
      <c r="DA3" s="110" t="s">
        <v>443</v>
      </c>
      <c r="DB3" s="110"/>
      <c r="DC3" s="110"/>
      <c r="DD3" s="110"/>
      <c r="DE3" s="110"/>
      <c r="DF3" s="110"/>
      <c r="DG3" s="110"/>
      <c r="DH3" s="110"/>
      <c r="DI3" s="110"/>
      <c r="DJ3" s="110" t="s">
        <v>444</v>
      </c>
      <c r="DK3" s="110"/>
      <c r="DL3" s="110"/>
      <c r="DM3" s="110"/>
      <c r="DN3" s="110"/>
      <c r="DO3" s="110"/>
      <c r="DP3" s="110"/>
      <c r="DQ3" s="110" t="s">
        <v>445</v>
      </c>
      <c r="DR3" s="110"/>
      <c r="DS3" s="110"/>
      <c r="DT3" s="110"/>
    </row>
    <row r="4" spans="1:124" ht="11.5" customHeight="1" x14ac:dyDescent="0.35">
      <c r="A4" s="4"/>
      <c r="B4" s="4"/>
      <c r="C4" s="4"/>
      <c r="D4" s="4"/>
      <c r="E4" s="4"/>
      <c r="F4" s="4"/>
      <c r="G4" s="4"/>
      <c r="H4" s="4"/>
      <c r="I4" s="4"/>
      <c r="J4" s="4"/>
      <c r="K4" s="4"/>
      <c r="L4" s="4"/>
      <c r="M4" s="4"/>
      <c r="N4" s="4"/>
      <c r="O4" s="4"/>
      <c r="P4" s="27" t="s">
        <v>446</v>
      </c>
      <c r="Q4" s="28" t="s">
        <v>447</v>
      </c>
      <c r="R4" s="28" t="s">
        <v>448</v>
      </c>
      <c r="S4" s="28" t="s">
        <v>449</v>
      </c>
      <c r="T4" s="28" t="s">
        <v>450</v>
      </c>
      <c r="U4" s="27" t="s">
        <v>451</v>
      </c>
      <c r="V4" s="28" t="s">
        <v>452</v>
      </c>
      <c r="W4" s="27" t="s">
        <v>453</v>
      </c>
      <c r="X4" s="28" t="s">
        <v>454</v>
      </c>
      <c r="Y4" s="2"/>
      <c r="Z4" s="27"/>
      <c r="AA4" s="27"/>
      <c r="AB4" s="31" t="s">
        <v>455</v>
      </c>
      <c r="AC4" s="31" t="s">
        <v>456</v>
      </c>
      <c r="AD4" s="31" t="s">
        <v>457</v>
      </c>
      <c r="AE4" s="31" t="s">
        <v>458</v>
      </c>
      <c r="AF4" s="32" t="s">
        <v>459</v>
      </c>
      <c r="AG4" s="31" t="s">
        <v>460</v>
      </c>
      <c r="AH4" s="30" t="s">
        <v>461</v>
      </c>
      <c r="AI4" s="30" t="s">
        <v>462</v>
      </c>
      <c r="AJ4" s="32" t="s">
        <v>463</v>
      </c>
      <c r="AK4" s="32" t="s">
        <v>464</v>
      </c>
      <c r="AL4" s="32" t="s">
        <v>465</v>
      </c>
      <c r="AM4" s="30" t="s">
        <v>466</v>
      </c>
      <c r="AN4" s="30" t="s">
        <v>467</v>
      </c>
      <c r="AO4" s="30" t="s">
        <v>468</v>
      </c>
      <c r="AP4" s="30" t="s">
        <v>469</v>
      </c>
      <c r="AQ4" s="30" t="s">
        <v>470</v>
      </c>
      <c r="AR4" s="30" t="s">
        <v>471</v>
      </c>
      <c r="AS4" s="30" t="s">
        <v>472</v>
      </c>
      <c r="AT4" s="32" t="s">
        <v>473</v>
      </c>
      <c r="AU4" s="32" t="s">
        <v>474</v>
      </c>
      <c r="AV4" s="30" t="s">
        <v>475</v>
      </c>
      <c r="AW4" s="32" t="s">
        <v>476</v>
      </c>
      <c r="AX4" s="32" t="s">
        <v>477</v>
      </c>
      <c r="AY4" s="32" t="s">
        <v>478</v>
      </c>
      <c r="AZ4" s="30" t="s">
        <v>479</v>
      </c>
      <c r="BA4" s="30" t="s">
        <v>480</v>
      </c>
      <c r="BB4" s="30" t="s">
        <v>481</v>
      </c>
      <c r="BC4" s="30" t="s">
        <v>482</v>
      </c>
      <c r="BD4" s="30" t="s">
        <v>483</v>
      </c>
      <c r="BE4" s="30" t="s">
        <v>484</v>
      </c>
      <c r="BF4" s="111"/>
      <c r="BG4" s="30" t="s">
        <v>485</v>
      </c>
      <c r="BH4" s="30" t="s">
        <v>486</v>
      </c>
      <c r="BI4" s="30" t="s">
        <v>487</v>
      </c>
      <c r="BJ4" s="30" t="s">
        <v>488</v>
      </c>
      <c r="BK4" s="30" t="s">
        <v>489</v>
      </c>
      <c r="BL4" s="30" t="s">
        <v>490</v>
      </c>
      <c r="BM4" s="30" t="s">
        <v>491</v>
      </c>
      <c r="BN4" s="30" t="s">
        <v>492</v>
      </c>
      <c r="BO4" s="30" t="s">
        <v>493</v>
      </c>
      <c r="BP4" s="30" t="s">
        <v>494</v>
      </c>
      <c r="BQ4" s="30" t="s">
        <v>495</v>
      </c>
      <c r="BR4" s="30" t="s">
        <v>496</v>
      </c>
      <c r="BS4" s="30" t="s">
        <v>497</v>
      </c>
      <c r="BT4" s="30" t="s">
        <v>498</v>
      </c>
      <c r="BU4" s="30" t="s">
        <v>499</v>
      </c>
      <c r="BV4" s="30" t="s">
        <v>500</v>
      </c>
      <c r="BW4" s="30" t="s">
        <v>501</v>
      </c>
      <c r="BX4" s="30" t="s">
        <v>502</v>
      </c>
      <c r="BY4" s="30" t="s">
        <v>503</v>
      </c>
      <c r="BZ4" s="30" t="s">
        <v>504</v>
      </c>
      <c r="CA4" s="32" t="s">
        <v>505</v>
      </c>
      <c r="CB4" s="30" t="s">
        <v>506</v>
      </c>
      <c r="CC4" s="30" t="s">
        <v>507</v>
      </c>
      <c r="CD4" s="32" t="s">
        <v>508</v>
      </c>
      <c r="CE4" s="32" t="s">
        <v>509</v>
      </c>
      <c r="CF4" s="32" t="s">
        <v>510</v>
      </c>
      <c r="CG4" s="32" t="s">
        <v>511</v>
      </c>
      <c r="CH4" s="32" t="s">
        <v>512</v>
      </c>
      <c r="CI4" s="30" t="s">
        <v>513</v>
      </c>
      <c r="CJ4" s="30" t="s">
        <v>514</v>
      </c>
      <c r="CK4" s="30" t="s">
        <v>515</v>
      </c>
      <c r="CL4" s="30" t="s">
        <v>516</v>
      </c>
      <c r="CM4" s="30" t="s">
        <v>517</v>
      </c>
      <c r="CN4" s="30" t="s">
        <v>518</v>
      </c>
      <c r="CO4" s="30" t="s">
        <v>519</v>
      </c>
      <c r="CP4" s="30" t="s">
        <v>520</v>
      </c>
      <c r="CQ4" s="30" t="s">
        <v>521</v>
      </c>
      <c r="CR4" s="30" t="s">
        <v>522</v>
      </c>
      <c r="CS4" s="30" t="s">
        <v>523</v>
      </c>
      <c r="CT4" s="30" t="s">
        <v>524</v>
      </c>
      <c r="CU4" s="30" t="s">
        <v>525</v>
      </c>
      <c r="CV4" s="30" t="s">
        <v>526</v>
      </c>
      <c r="CW4" s="30" t="s">
        <v>527</v>
      </c>
      <c r="CX4" s="30" t="s">
        <v>528</v>
      </c>
      <c r="CY4" s="30" t="s">
        <v>529</v>
      </c>
      <c r="CZ4" s="30" t="s">
        <v>530</v>
      </c>
      <c r="DA4" s="30" t="s">
        <v>531</v>
      </c>
      <c r="DB4" s="30" t="s">
        <v>532</v>
      </c>
      <c r="DC4" s="30" t="s">
        <v>533</v>
      </c>
      <c r="DD4" s="30" t="s">
        <v>534</v>
      </c>
      <c r="DE4" s="30" t="s">
        <v>535</v>
      </c>
      <c r="DF4" s="30" t="s">
        <v>536</v>
      </c>
      <c r="DG4" s="30" t="s">
        <v>537</v>
      </c>
      <c r="DH4" s="30" t="s">
        <v>538</v>
      </c>
      <c r="DI4" s="30" t="s">
        <v>539</v>
      </c>
      <c r="DJ4" s="30" t="s">
        <v>540</v>
      </c>
      <c r="DK4" s="30" t="s">
        <v>541</v>
      </c>
      <c r="DL4" s="30" t="s">
        <v>542</v>
      </c>
      <c r="DM4" s="30" t="s">
        <v>543</v>
      </c>
      <c r="DN4" s="30" t="s">
        <v>544</v>
      </c>
      <c r="DO4" s="30" t="s">
        <v>545</v>
      </c>
      <c r="DP4" s="30" t="s">
        <v>546</v>
      </c>
      <c r="DQ4" s="30" t="s">
        <v>547</v>
      </c>
      <c r="DR4" s="30" t="s">
        <v>548</v>
      </c>
      <c r="DS4" s="30" t="s">
        <v>549</v>
      </c>
      <c r="DT4" s="30" t="s">
        <v>550</v>
      </c>
    </row>
    <row r="5" spans="1:124" ht="15" customHeight="1" x14ac:dyDescent="0.35">
      <c r="A5" s="27" t="s">
        <v>551</v>
      </c>
      <c r="B5" s="27" t="s">
        <v>552</v>
      </c>
      <c r="C5" s="31"/>
      <c r="D5" s="31"/>
      <c r="E5" s="31"/>
      <c r="F5" s="31"/>
      <c r="G5" s="31"/>
      <c r="H5" s="31"/>
      <c r="I5" s="31"/>
      <c r="J5" s="31"/>
      <c r="K5" s="31"/>
      <c r="L5" s="31"/>
      <c r="M5" s="31"/>
      <c r="N5" s="31"/>
      <c r="O5" s="33"/>
      <c r="P5" s="33"/>
      <c r="Q5" s="33"/>
      <c r="R5" s="31"/>
      <c r="S5" s="31"/>
      <c r="T5" s="31"/>
      <c r="U5" s="31"/>
      <c r="V5" s="31"/>
      <c r="W5" s="31"/>
      <c r="X5" s="31"/>
      <c r="Y5" s="31"/>
      <c r="Z5" s="31"/>
      <c r="AA5" s="31"/>
      <c r="AB5" s="34"/>
      <c r="AC5" s="34"/>
      <c r="AD5" s="34"/>
      <c r="AE5" s="34"/>
      <c r="AF5" s="34"/>
      <c r="AG5" s="34"/>
      <c r="AH5" s="34"/>
      <c r="AI5" s="34"/>
      <c r="AJ5" s="34"/>
      <c r="AK5" s="34"/>
      <c r="AL5" s="34"/>
      <c r="AM5" s="34"/>
      <c r="AN5" s="35"/>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row>
    <row r="6" spans="1:124" ht="16" customHeight="1" x14ac:dyDescent="0.35">
      <c r="A6" s="27" t="s">
        <v>553</v>
      </c>
      <c r="B6" s="27" t="s">
        <v>554</v>
      </c>
      <c r="C6" s="36"/>
      <c r="D6" s="31"/>
      <c r="E6" s="31"/>
      <c r="F6" s="31"/>
      <c r="G6" s="31"/>
      <c r="H6" s="31"/>
      <c r="I6" s="31"/>
      <c r="J6" s="31"/>
      <c r="K6" s="31"/>
      <c r="L6" s="31"/>
      <c r="M6" s="31"/>
      <c r="N6" s="31"/>
      <c r="O6" s="31"/>
      <c r="P6" s="31"/>
      <c r="Q6" s="31"/>
      <c r="R6" s="31"/>
      <c r="S6" s="31"/>
      <c r="T6" s="31"/>
      <c r="U6" s="31"/>
      <c r="V6" s="31"/>
      <c r="W6" s="31"/>
      <c r="X6" s="31"/>
      <c r="Y6" s="31"/>
      <c r="Z6" s="31"/>
      <c r="AA6" s="31"/>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row>
    <row r="7" spans="1:124" ht="13" customHeight="1" x14ac:dyDescent="0.35">
      <c r="A7" s="27" t="s">
        <v>555</v>
      </c>
      <c r="B7" s="27" t="s">
        <v>556</v>
      </c>
      <c r="C7" s="31"/>
      <c r="D7" s="31"/>
      <c r="E7" s="31"/>
      <c r="F7" s="31"/>
      <c r="G7" s="31"/>
      <c r="H7" s="31"/>
      <c r="I7" s="31"/>
      <c r="J7" s="31"/>
      <c r="K7" s="31"/>
      <c r="L7" s="31"/>
      <c r="M7" s="31"/>
      <c r="N7" s="31"/>
      <c r="O7" s="31"/>
      <c r="P7" s="31"/>
      <c r="Q7" s="31"/>
      <c r="R7" s="31"/>
      <c r="S7" s="31"/>
      <c r="T7" s="31"/>
      <c r="U7" s="31"/>
      <c r="V7" s="31"/>
      <c r="W7" s="31"/>
      <c r="X7" s="31"/>
      <c r="Y7" s="31"/>
      <c r="Z7" s="31"/>
      <c r="AA7" s="31"/>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row>
    <row r="8" spans="1:124" ht="12.5" customHeight="1" x14ac:dyDescent="0.35">
      <c r="A8" s="27" t="s">
        <v>557</v>
      </c>
      <c r="B8" s="27" t="s">
        <v>558</v>
      </c>
      <c r="C8" s="31"/>
      <c r="D8" s="31"/>
      <c r="E8" s="31"/>
      <c r="F8" s="31"/>
      <c r="G8" s="31"/>
      <c r="H8" s="31"/>
      <c r="I8" s="31"/>
      <c r="J8" s="31"/>
      <c r="K8" s="31"/>
      <c r="L8" s="31"/>
      <c r="M8" s="31"/>
      <c r="N8" s="31"/>
      <c r="O8" s="31"/>
      <c r="P8" s="31"/>
      <c r="Q8" s="31"/>
      <c r="R8" s="31"/>
      <c r="S8" s="31"/>
      <c r="T8" s="31"/>
      <c r="U8" s="31"/>
      <c r="V8" s="31"/>
      <c r="W8" s="31"/>
      <c r="X8" s="31"/>
      <c r="Y8" s="31"/>
      <c r="Z8" s="31"/>
      <c r="AA8" s="31"/>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row>
    <row r="9" spans="1:124" ht="13" customHeight="1" x14ac:dyDescent="0.35">
      <c r="A9" s="27" t="s">
        <v>559</v>
      </c>
      <c r="B9" s="27" t="s">
        <v>560</v>
      </c>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row>
    <row r="10" spans="1:124" ht="13.5" customHeight="1" x14ac:dyDescent="0.35">
      <c r="A10" s="27" t="s">
        <v>561</v>
      </c>
      <c r="B10" s="27" t="s">
        <v>562</v>
      </c>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row>
    <row r="11" spans="1:124" ht="14" customHeight="1" x14ac:dyDescent="0.35">
      <c r="A11" s="27" t="s">
        <v>563</v>
      </c>
      <c r="B11" s="27" t="s">
        <v>564</v>
      </c>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row>
    <row r="12" spans="1:124" ht="12.75" customHeight="1" x14ac:dyDescent="0.35">
      <c r="A12" s="38" t="s">
        <v>565</v>
      </c>
      <c r="B12" s="38"/>
      <c r="C12" s="38" t="s">
        <v>566</v>
      </c>
      <c r="D12" s="38"/>
      <c r="E12" s="38"/>
      <c r="F12" s="38"/>
      <c r="G12" s="38"/>
      <c r="H12" s="38"/>
      <c r="I12" s="38"/>
      <c r="J12" s="38"/>
      <c r="K12" s="38"/>
      <c r="L12" s="38">
        <v>3</v>
      </c>
      <c r="M12" s="38">
        <v>3</v>
      </c>
      <c r="N12" s="38">
        <v>1</v>
      </c>
      <c r="O12" s="38"/>
      <c r="P12" s="39"/>
      <c r="Q12" s="39"/>
      <c r="R12" s="39"/>
      <c r="S12" s="39"/>
      <c r="U12">
        <v>3</v>
      </c>
      <c r="V12">
        <v>3</v>
      </c>
      <c r="AC12">
        <v>1</v>
      </c>
      <c r="AD12">
        <v>1</v>
      </c>
      <c r="AH12" s="40" t="s">
        <v>567</v>
      </c>
      <c r="AI12" s="40" t="s">
        <v>568</v>
      </c>
      <c r="AJ12" s="40" t="s">
        <v>569</v>
      </c>
      <c r="AK12" s="40" t="s">
        <v>570</v>
      </c>
      <c r="AL12" s="40" t="s">
        <v>571</v>
      </c>
      <c r="AM12" s="40" t="s">
        <v>572</v>
      </c>
      <c r="AO12" s="40" t="s">
        <v>573</v>
      </c>
      <c r="AP12" s="40" t="s">
        <v>574</v>
      </c>
      <c r="AS12" s="41"/>
      <c r="AT12" s="41"/>
      <c r="AV12">
        <v>3</v>
      </c>
      <c r="AW12" t="str">
        <f t="shared" ref="AW12:AW75" si="0">IF(OR(AS12="",P12=""),"",IF(AS12&lt;P12,"Early",IF(AS12&gt;IF(Q12="",P12,Q12),"Late","Within window")))</f>
        <v/>
      </c>
      <c r="AX12" t="str">
        <f t="shared" ref="AX12:AX75" si="1">IF(OR(AT12="",R12=""),"",IF(AT12&lt;R12,"Early",IF(AT12&gt;IF(S12="",R12,S12),"Late","Within window")))</f>
        <v/>
      </c>
      <c r="AY12" t="str">
        <f t="shared" ref="AY12:AY75" si="2">IF(OR(AU12="",T12="",T12=0),"",IF(AU12=T12,"Matched",IF(ABS(AU12-T12)=1,"Off by one class","Missed")))</f>
        <v/>
      </c>
      <c r="AZ12" s="40" t="s">
        <v>575</v>
      </c>
      <c r="BA12" s="40" t="s">
        <v>576</v>
      </c>
      <c r="BL12" s="42">
        <f t="shared" ref="BL12:BL75" si="3">IF(AH12="","",COUNTIFS($AH$12:$AH$500,AH12,$AC$12:$AC$500,1,$AD$12:$AD$500,1,$DT$12:$DT$500,1))</f>
        <v>4</v>
      </c>
      <c r="BM12" s="42">
        <f t="shared" ref="BM12:BM75" si="4">IF(AH12="","",BN12+BO12+BP12)</f>
        <v>3</v>
      </c>
      <c r="BN12" s="42">
        <f t="shared" ref="BN12:BN75" si="5">IF(AH12="","",COUNTIFS($AH$12:$AH$500,AH12,$AZ$12:$AZ$500,"Hit",$DT$12:$DT$500,1))</f>
        <v>2</v>
      </c>
      <c r="BO12" s="42">
        <f t="shared" ref="BO12:BO75" si="6">IF(AH12="","",COUNTIFS($AH$12:$AH$500,AH12,$AZ$12:$AZ$500,"Miss",$DT$12:$DT$500,1))</f>
        <v>1</v>
      </c>
      <c r="BP12" s="42">
        <f t="shared" ref="BP12:BP75" si="7">IF(AH12="","",COUNTIFS($AH$12:$AH$500,AH12,$AZ$12:$AZ$500,"False Start",$DT$12:$DT$500,1))</f>
        <v>0</v>
      </c>
      <c r="BQ12" s="43">
        <f t="shared" ref="BQ12:BQ75" si="8">IF(OR(AH12="",BM12="",BM12=0),"",BN12/BM12)</f>
        <v>0.66666666666666663</v>
      </c>
      <c r="BR12" s="43">
        <f t="shared" ref="BR12:BR75" si="9">IF(OR(AH12="",BM12="",BM12=0),"",BO12/BM12)</f>
        <v>0.33333333333333331</v>
      </c>
      <c r="BS12" s="43">
        <f t="shared" ref="BS12:BS75" si="10">IF(OR(AH12="",BM12="",BM12=0),"",BP12/BM12)</f>
        <v>0</v>
      </c>
      <c r="BT12" s="42" t="str">
        <f t="shared" ref="BT12:BT75" si="11">IF(AH12="","",IF(BM12&gt;=3,"Hit-rate-based","Rating-based"))</f>
        <v>Hit-rate-based</v>
      </c>
      <c r="CA12" s="42">
        <f t="shared" ref="CA12:CA75" si="12">IF(AH12="","",IF(BT12="Hit-rate-based",MIN(IF(BL12&lt;2,2,3),IF(BQ12&gt;=0.7,3,IF(BQ12&gt;=0.4,2,1))),IF(OR(M12="",M12=0),"",MIN(IF(BL12&lt;2,2,3),M12))))</f>
        <v>2</v>
      </c>
      <c r="CB12" s="42">
        <f t="shared" ref="CB12:CB75" si="13">IF(OR(AH12="",CA12=""),"",CA12*IF(OR(V12="",V12=0),1,V12))</f>
        <v>6</v>
      </c>
      <c r="CC12" s="42" t="str">
        <f t="shared" ref="CC12:CC75" si="14">IF(OR(AH12="",L12="",M12="",L12=0,M12=0),"",IF(ABS(L12-M12)&gt;=2,"FLAG: Review — large swing","OK"))</f>
        <v>OK</v>
      </c>
      <c r="CD12" s="42" t="str">
        <f t="shared" ref="CD12:CD75" si="15">IF(AH12="","",IF(COUNTIFS($AH$12:$AH$500,AH12,$AI$12:$AI$500,AI12,$AM$12:$AM$500,AM12)&gt;1,"DUPLICATE: same ID, site and season",IF(AND(N12=1,U12&lt;&gt;"",U12&lt;&gt;0,OR(V12="",V12=0)),"Check: decision relevance missing","OK")))</f>
        <v>OK</v>
      </c>
      <c r="CE12" s="42" t="str">
        <f>IF(AH12="","",IF(OR(AI12&lt;&gt;'Seasonal Tercile Tally'!$B$3,AM12&lt;&gt;'Seasonal Tercile Tally'!$B$4),"Other site/ season",IF(DT12=0,"Excluded: duplicate (later row)",IF(N12&lt;&gt;1,"Excluded: not sighted",IF(AC12&lt;&gt;1,"Excluded: not confirmed",IF(AD12&lt;&gt;1,"Excluded: not approved",IF(AP12="Contested","Excluded: contested",IF(OR(U12="",U12=0),"Excluded: no tercile",IF(CB12="","Counted (simple tally only — no weight)","Counted")))))))))</f>
        <v>Other site/ season</v>
      </c>
      <c r="CF12" s="44">
        <f>IF(AH12="","",IFERROR(INDEX('Prior Multipliers'!$C$6:$C$70,MATCH(LEFT(AH12,10),'Prior Multipliers'!$A$6:$A$70,0)),IFERROR(INDEX('Prior Multipliers'!$C$6:$C$70,MATCH(LEFT(AH12,6),'Prior Multipliers'!$A$6:$A$70,0)),IFERROR(INDEX('Prior Multipliers'!$C$6:$C$70,MATCH(LEFT(AH12,2),'Prior Multipliers'!$A$6:$A$70,0)),1))))</f>
        <v>1.21</v>
      </c>
      <c r="CG12" s="44">
        <f>IF(CB12="","",IF(AND('Seasonal Tercile Tally'!$B$5=1,BT12="Rating-based"),CB12*CF12,CB12))</f>
        <v>6</v>
      </c>
      <c r="CH12" s="44">
        <f t="shared" ref="CH12:CH75" si="16">IF(ISNUMBER(CG12),CG12,0)</f>
        <v>6</v>
      </c>
      <c r="CI12" s="45"/>
      <c r="CJ12" s="42" t="str">
        <f t="shared" ref="CJ12:CJ75" si="17">IF(CI12="","",MONTH(CI12))</f>
        <v/>
      </c>
      <c r="CM12" s="42" t="str">
        <f t="shared" ref="CM12:CM75" si="18">IF(OR(CJ12="",CL12=""),"",MOD(CJ12-CL12+6,12)-6)</f>
        <v/>
      </c>
      <c r="CP12" s="46" t="str">
        <f t="shared" ref="CP12:CP75" si="19">IF(AH12="","",CHOOSE(MIN(IF(CM12="",0,IF(ABS(CM12)&gt;=1,1,0))+IF(LEFT(CC12,4)="FLAG",1,0)+IF(OR(CN12="",CN12="No change",CN12="Not sure"),0,1)+IF(AND(ISNUMBER(L12),ISNUMBER(M12)),IF(AND(M12&gt;0,L12-M12&gt;=1),1,0),0)+IF(N(BM12)&gt;=3,IF(N(BQ12)&lt;0.4,1,0),0),2)+1,"No change signal","Watch: one change signal","STRONG: possible climate-change impact — review"))</f>
        <v>No change signal</v>
      </c>
      <c r="CS12" s="46" t="str">
        <f t="shared" ref="CS12:CS75" si="20">IF(CR12="","",IF(CR12&gt;=35,3,IF(CR12&gt;=20,2,1)))</f>
        <v/>
      </c>
      <c r="CT12" s="42" t="str">
        <f t="shared" ref="CT12:CT75" si="21">IF(OR(CS12="",CQ12="",CQ12=0),"",IF(CQ12=CS12,"Matched",IF(ABS(CQ12-CS12)=1,"Off by one class","Missed")))</f>
        <v/>
      </c>
      <c r="CU12" s="42" t="str">
        <f t="shared" ref="CU12:CU75" si="22">IF(OR(CI12="",P12=""),"",IF(P12-CI12&lt;0,"",P12-CI12))</f>
        <v/>
      </c>
      <c r="CV12" s="42" t="str">
        <f t="shared" ref="CV12:CV75" si="23">IF(CU12="","",IF(CU12&gt;=60,"Strategic (season)",IF(CU12&gt;=7,"Tactical (1 week–2 months)",IF(CU12&gt;=3,"Operational (3–6 days)","Emergency (0–2 days)"))))</f>
        <v/>
      </c>
      <c r="DB12" s="45"/>
      <c r="DH12" s="42" t="str">
        <f t="shared" ref="DH12:DH75" si="24">IF(OR(DB12="",P12=""),"",P12-DB12)</f>
        <v/>
      </c>
      <c r="DI12" s="43" t="str">
        <f t="shared" ref="DI12:DI75" si="25">IF(OR(DD12="",DE12=""),"",IF(DD12=0,"",DE12/DD12))</f>
        <v/>
      </c>
      <c r="DK12" s="46" t="str">
        <f t="shared" ref="DK12:DK75" si="26">IF(OR(DJ12="",U12="",U12=0),"",IF(U12=DJ12,"Agrees",IF(ABS(U12-DJ12)=1,"Differs by one class","Opposite")))</f>
        <v/>
      </c>
      <c r="DQ12" s="42">
        <f>IF(AH12="","",IFERROR(ROUND(100*('Weighting Options'!$D$7*IF(ISNUMBER(CA12),CA12/3,0)+'Weighting Options'!$D$8*MIN(N(BL12),3)/3+'Weighting Options'!$D$9*IF(AP12="Community/Plenary-endorsed",1,IF(AP12="FGD-validated only",0.75,IF(AP12="Sub-community-specific",0.5,IF(AP12="Provisional/emerging",0.25,0))))+'Weighting Options'!$D$10*IF(ISNUMBER(K12),K12/3,0)+'Weighting Options'!$D$11*IF(CC12="",0.5,IF(CC12="OK",1,0.25))+'Weighting Options'!$D$12*IF(DK12="",0.5,IF(DK12="Agrees",1,IF(DK12="Opposite",0,0.5)))+'Weighting Options'!$D$13*MIN(N(BG12),3)/3+'Weighting Options'!$D$14*IF(AE12=1,1,0))/SUM('Weighting Options'!$D$7:$D$14),0),""))</f>
        <v>62</v>
      </c>
      <c r="DR12" s="44">
        <f>IF(AH12="","",IFERROR(INDEX('Weighting Options'!$D$20:$D$27,VALUE(LEFT(TRIM(BU12),1))),1))</f>
        <v>1</v>
      </c>
      <c r="DS12" s="44">
        <f t="shared" ref="DS12:DS75" si="27">IF(OR(CG12="",DR12=""),"",CG12*DR12)</f>
        <v>6</v>
      </c>
      <c r="DT12" s="42">
        <f>IF(AH12="","",IF(COUNTIFS($AH$12:AH12,AH12,$AI$12:AI12,AI12,$AM$12:AM12,AM12)=1,1,0))</f>
        <v>1</v>
      </c>
    </row>
    <row r="13" spans="1:124" ht="12.75" customHeight="1" x14ac:dyDescent="0.35">
      <c r="A13" s="38" t="s">
        <v>565</v>
      </c>
      <c r="B13" s="38"/>
      <c r="C13" s="38" t="s">
        <v>566</v>
      </c>
      <c r="D13" s="38"/>
      <c r="E13" s="38"/>
      <c r="F13" s="38"/>
      <c r="G13" s="38"/>
      <c r="H13" s="38"/>
      <c r="I13" s="38"/>
      <c r="J13" s="38"/>
      <c r="K13" s="38"/>
      <c r="L13" s="38">
        <v>3</v>
      </c>
      <c r="M13" s="38">
        <v>3</v>
      </c>
      <c r="N13" s="38">
        <v>1</v>
      </c>
      <c r="O13" s="38"/>
      <c r="P13" s="39"/>
      <c r="Q13" s="39"/>
      <c r="R13" s="39"/>
      <c r="S13" s="39"/>
      <c r="U13">
        <v>3</v>
      </c>
      <c r="V13">
        <v>3</v>
      </c>
      <c r="AC13">
        <v>1</v>
      </c>
      <c r="AD13">
        <v>1</v>
      </c>
      <c r="AH13" s="40" t="s">
        <v>567</v>
      </c>
      <c r="AI13" s="40" t="s">
        <v>568</v>
      </c>
      <c r="AJ13" s="40" t="s">
        <v>569</v>
      </c>
      <c r="AK13" s="40" t="s">
        <v>570</v>
      </c>
      <c r="AL13" s="40" t="s">
        <v>571</v>
      </c>
      <c r="AM13" s="40" t="s">
        <v>577</v>
      </c>
      <c r="AO13" s="40" t="s">
        <v>573</v>
      </c>
      <c r="AP13" s="40" t="s">
        <v>574</v>
      </c>
      <c r="AS13" s="41"/>
      <c r="AT13" s="41"/>
      <c r="AV13">
        <v>3</v>
      </c>
      <c r="AW13" t="str">
        <f t="shared" si="0"/>
        <v/>
      </c>
      <c r="AX13" t="str">
        <f t="shared" si="1"/>
        <v/>
      </c>
      <c r="AY13" t="str">
        <f t="shared" si="2"/>
        <v/>
      </c>
      <c r="AZ13" s="40" t="s">
        <v>575</v>
      </c>
      <c r="BA13" s="40" t="s">
        <v>576</v>
      </c>
      <c r="BL13" s="47">
        <f t="shared" si="3"/>
        <v>4</v>
      </c>
      <c r="BM13" s="47">
        <f t="shared" si="4"/>
        <v>3</v>
      </c>
      <c r="BN13" s="47">
        <f t="shared" si="5"/>
        <v>2</v>
      </c>
      <c r="BO13" s="47">
        <f t="shared" si="6"/>
        <v>1</v>
      </c>
      <c r="BP13" s="47">
        <f t="shared" si="7"/>
        <v>0</v>
      </c>
      <c r="BQ13" s="48">
        <f t="shared" si="8"/>
        <v>0.66666666666666663</v>
      </c>
      <c r="BR13" s="48">
        <f t="shared" si="9"/>
        <v>0.33333333333333331</v>
      </c>
      <c r="BS13" s="48">
        <f t="shared" si="10"/>
        <v>0</v>
      </c>
      <c r="BT13" s="47" t="str">
        <f t="shared" si="11"/>
        <v>Hit-rate-based</v>
      </c>
      <c r="CA13" s="47">
        <f t="shared" si="12"/>
        <v>2</v>
      </c>
      <c r="CB13" s="47">
        <f t="shared" si="13"/>
        <v>6</v>
      </c>
      <c r="CC13" s="47" t="str">
        <f t="shared" si="14"/>
        <v>OK</v>
      </c>
      <c r="CD13" s="47" t="str">
        <f t="shared" si="15"/>
        <v>OK</v>
      </c>
      <c r="CE13" s="47" t="str">
        <f>IF(AH13="","",IF(OR(AI13&lt;&gt;'Seasonal Tercile Tally'!$B$3,AM13&lt;&gt;'Seasonal Tercile Tally'!$B$4),"Other site/ season",IF(DT13=0,"Excluded: duplicate (later row)",IF(N13&lt;&gt;1,"Excluded: not sighted",IF(AC13&lt;&gt;1,"Excluded: not confirmed",IF(AD13&lt;&gt;1,"Excluded: not approved",IF(AP13="Contested","Excluded: contested",IF(OR(U13="",U13=0),"Excluded: no tercile",IF(CB13="","Counted (simple tally only — no weight)","Counted")))))))))</f>
        <v>Other site/ season</v>
      </c>
      <c r="CF13" s="49">
        <f>IF(AH13="","",IFERROR(INDEX('Prior Multipliers'!$C$6:$C$70,MATCH(LEFT(AH13,10),'Prior Multipliers'!$A$6:$A$70,0)),IFERROR(INDEX('Prior Multipliers'!$C$6:$C$70,MATCH(LEFT(AH13,6),'Prior Multipliers'!$A$6:$A$70,0)),IFERROR(INDEX('Prior Multipliers'!$C$6:$C$70,MATCH(LEFT(AH13,2),'Prior Multipliers'!$A$6:$A$70,0)),1))))</f>
        <v>1.21</v>
      </c>
      <c r="CG13" s="49">
        <f>IF(CB13="","",IF(AND('Seasonal Tercile Tally'!$B$5=1,BT13="Rating-based"),CB13*CF13,CB13))</f>
        <v>6</v>
      </c>
      <c r="CH13" s="49">
        <f t="shared" si="16"/>
        <v>6</v>
      </c>
      <c r="CI13" s="45"/>
      <c r="CJ13" s="42" t="str">
        <f t="shared" si="17"/>
        <v/>
      </c>
      <c r="CM13" s="42" t="str">
        <f t="shared" si="18"/>
        <v/>
      </c>
      <c r="CP13" s="46" t="str">
        <f t="shared" si="19"/>
        <v>No change signal</v>
      </c>
      <c r="CS13" s="46" t="str">
        <f t="shared" si="20"/>
        <v/>
      </c>
      <c r="CT13" s="42" t="str">
        <f t="shared" si="21"/>
        <v/>
      </c>
      <c r="CU13" s="42" t="str">
        <f t="shared" si="22"/>
        <v/>
      </c>
      <c r="CV13" s="42" t="str">
        <f t="shared" si="23"/>
        <v/>
      </c>
      <c r="DB13" s="45"/>
      <c r="DH13" s="42" t="str">
        <f t="shared" si="24"/>
        <v/>
      </c>
      <c r="DI13" s="43" t="str">
        <f t="shared" si="25"/>
        <v/>
      </c>
      <c r="DK13" s="46" t="str">
        <f t="shared" si="26"/>
        <v/>
      </c>
      <c r="DQ13" s="42">
        <f>IF(AH13="","",IFERROR(ROUND(100*('Weighting Options'!$D$7*IF(ISNUMBER(CA13),CA13/3,0)+'Weighting Options'!$D$8*MIN(N(BL13),3)/3+'Weighting Options'!$D$9*IF(AP13="Community/Plenary-endorsed",1,IF(AP13="FGD-validated only",0.75,IF(AP13="Sub-community-specific",0.5,IF(AP13="Provisional/emerging",0.25,0))))+'Weighting Options'!$D$10*IF(ISNUMBER(K13),K13/3,0)+'Weighting Options'!$D$11*IF(CC13="",0.5,IF(CC13="OK",1,0.25))+'Weighting Options'!$D$12*IF(DK13="",0.5,IF(DK13="Agrees",1,IF(DK13="Opposite",0,0.5)))+'Weighting Options'!$D$13*MIN(N(BG13),3)/3+'Weighting Options'!$D$14*IF(AE13=1,1,0))/SUM('Weighting Options'!$D$7:$D$14),0),""))</f>
        <v>62</v>
      </c>
      <c r="DR13" s="44">
        <f>IF(AH13="","",IFERROR(INDEX('Weighting Options'!$D$20:$D$27,VALUE(LEFT(TRIM(BU13),1))),1))</f>
        <v>1</v>
      </c>
      <c r="DS13" s="44">
        <f t="shared" si="27"/>
        <v>6</v>
      </c>
      <c r="DT13" s="42">
        <f>IF(AH13="","",IF(COUNTIFS($AH$12:AH13,AH13,$AI$12:AI13,AI13,$AM$12:AM13,AM13)=1,1,0))</f>
        <v>1</v>
      </c>
    </row>
    <row r="14" spans="1:124" ht="12.75" customHeight="1" x14ac:dyDescent="0.35">
      <c r="A14" s="38" t="s">
        <v>565</v>
      </c>
      <c r="B14" s="38"/>
      <c r="C14" s="38" t="s">
        <v>566</v>
      </c>
      <c r="D14" s="38"/>
      <c r="E14" s="38"/>
      <c r="F14" s="38"/>
      <c r="G14" s="38"/>
      <c r="H14" s="38"/>
      <c r="I14" s="38"/>
      <c r="J14" s="38"/>
      <c r="K14" s="38"/>
      <c r="L14" s="38">
        <v>3</v>
      </c>
      <c r="M14" s="38">
        <v>3</v>
      </c>
      <c r="N14" s="38">
        <v>1</v>
      </c>
      <c r="O14" s="38"/>
      <c r="P14" s="39"/>
      <c r="Q14" s="39"/>
      <c r="R14" s="39"/>
      <c r="S14" s="39"/>
      <c r="U14">
        <v>3</v>
      </c>
      <c r="V14">
        <v>3</v>
      </c>
      <c r="AC14">
        <v>1</v>
      </c>
      <c r="AD14">
        <v>1</v>
      </c>
      <c r="AH14" s="40" t="s">
        <v>567</v>
      </c>
      <c r="AI14" s="40" t="s">
        <v>568</v>
      </c>
      <c r="AJ14" s="40" t="s">
        <v>569</v>
      </c>
      <c r="AK14" s="40" t="s">
        <v>570</v>
      </c>
      <c r="AL14" s="40" t="s">
        <v>571</v>
      </c>
      <c r="AM14" s="40" t="s">
        <v>578</v>
      </c>
      <c r="AO14" s="40" t="s">
        <v>573</v>
      </c>
      <c r="AP14" s="40" t="s">
        <v>574</v>
      </c>
      <c r="AS14" s="41"/>
      <c r="AT14" s="41"/>
      <c r="AV14">
        <v>2</v>
      </c>
      <c r="AW14" t="str">
        <f t="shared" si="0"/>
        <v/>
      </c>
      <c r="AX14" t="str">
        <f t="shared" si="1"/>
        <v/>
      </c>
      <c r="AY14" t="str">
        <f t="shared" si="2"/>
        <v/>
      </c>
      <c r="AZ14" s="40" t="s">
        <v>579</v>
      </c>
      <c r="BA14" s="40" t="s">
        <v>576</v>
      </c>
      <c r="BL14" s="47">
        <f t="shared" si="3"/>
        <v>4</v>
      </c>
      <c r="BM14" s="47">
        <f t="shared" si="4"/>
        <v>3</v>
      </c>
      <c r="BN14" s="47">
        <f t="shared" si="5"/>
        <v>2</v>
      </c>
      <c r="BO14" s="47">
        <f t="shared" si="6"/>
        <v>1</v>
      </c>
      <c r="BP14" s="47">
        <f t="shared" si="7"/>
        <v>0</v>
      </c>
      <c r="BQ14" s="48">
        <f t="shared" si="8"/>
        <v>0.66666666666666663</v>
      </c>
      <c r="BR14" s="48">
        <f t="shared" si="9"/>
        <v>0.33333333333333331</v>
      </c>
      <c r="BS14" s="48">
        <f t="shared" si="10"/>
        <v>0</v>
      </c>
      <c r="BT14" s="47" t="str">
        <f t="shared" si="11"/>
        <v>Hit-rate-based</v>
      </c>
      <c r="CA14" s="47">
        <f t="shared" si="12"/>
        <v>2</v>
      </c>
      <c r="CB14" s="47">
        <f t="shared" si="13"/>
        <v>6</v>
      </c>
      <c r="CC14" s="47" t="str">
        <f t="shared" si="14"/>
        <v>OK</v>
      </c>
      <c r="CD14" s="47" t="str">
        <f t="shared" si="15"/>
        <v>OK</v>
      </c>
      <c r="CE14" s="47" t="str">
        <f>IF(AH14="","",IF(OR(AI14&lt;&gt;'Seasonal Tercile Tally'!$B$3,AM14&lt;&gt;'Seasonal Tercile Tally'!$B$4),"Other site/ season",IF(DT14=0,"Excluded: duplicate (later row)",IF(N14&lt;&gt;1,"Excluded: not sighted",IF(AC14&lt;&gt;1,"Excluded: not confirmed",IF(AD14&lt;&gt;1,"Excluded: not approved",IF(AP14="Contested","Excluded: contested",IF(OR(U14="",U14=0),"Excluded: no tercile",IF(CB14="","Counted (simple tally only — no weight)","Counted")))))))))</f>
        <v>Other site/ season</v>
      </c>
      <c r="CF14" s="49">
        <f>IF(AH14="","",IFERROR(INDEX('Prior Multipliers'!$C$6:$C$70,MATCH(LEFT(AH14,10),'Prior Multipliers'!$A$6:$A$70,0)),IFERROR(INDEX('Prior Multipliers'!$C$6:$C$70,MATCH(LEFT(AH14,6),'Prior Multipliers'!$A$6:$A$70,0)),IFERROR(INDEX('Prior Multipliers'!$C$6:$C$70,MATCH(LEFT(AH14,2),'Prior Multipliers'!$A$6:$A$70,0)),1))))</f>
        <v>1.21</v>
      </c>
      <c r="CG14" s="49">
        <f>IF(CB14="","",IF(AND('Seasonal Tercile Tally'!$B$5=1,BT14="Rating-based"),CB14*CF14,CB14))</f>
        <v>6</v>
      </c>
      <c r="CH14" s="49">
        <f t="shared" si="16"/>
        <v>6</v>
      </c>
      <c r="CI14" s="45"/>
      <c r="CJ14" s="42" t="str">
        <f t="shared" si="17"/>
        <v/>
      </c>
      <c r="CM14" s="42" t="str">
        <f t="shared" si="18"/>
        <v/>
      </c>
      <c r="CP14" s="46" t="str">
        <f t="shared" si="19"/>
        <v>No change signal</v>
      </c>
      <c r="CS14" s="46" t="str">
        <f t="shared" si="20"/>
        <v/>
      </c>
      <c r="CT14" s="42" t="str">
        <f t="shared" si="21"/>
        <v/>
      </c>
      <c r="CU14" s="42" t="str">
        <f t="shared" si="22"/>
        <v/>
      </c>
      <c r="CV14" s="42" t="str">
        <f t="shared" si="23"/>
        <v/>
      </c>
      <c r="DB14" s="45"/>
      <c r="DH14" s="42" t="str">
        <f t="shared" si="24"/>
        <v/>
      </c>
      <c r="DI14" s="43" t="str">
        <f t="shared" si="25"/>
        <v/>
      </c>
      <c r="DK14" s="46" t="str">
        <f t="shared" si="26"/>
        <v/>
      </c>
      <c r="DQ14" s="42">
        <f>IF(AH14="","",IFERROR(ROUND(100*('Weighting Options'!$D$7*IF(ISNUMBER(CA14),CA14/3,0)+'Weighting Options'!$D$8*MIN(N(BL14),3)/3+'Weighting Options'!$D$9*IF(AP14="Community/Plenary-endorsed",1,IF(AP14="FGD-validated only",0.75,IF(AP14="Sub-community-specific",0.5,IF(AP14="Provisional/emerging",0.25,0))))+'Weighting Options'!$D$10*IF(ISNUMBER(K14),K14/3,0)+'Weighting Options'!$D$11*IF(CC14="",0.5,IF(CC14="OK",1,0.25))+'Weighting Options'!$D$12*IF(DK14="",0.5,IF(DK14="Agrees",1,IF(DK14="Opposite",0,0.5)))+'Weighting Options'!$D$13*MIN(N(BG14),3)/3+'Weighting Options'!$D$14*IF(AE14=1,1,0))/SUM('Weighting Options'!$D$7:$D$14),0),""))</f>
        <v>62</v>
      </c>
      <c r="DR14" s="44">
        <f>IF(AH14="","",IFERROR(INDEX('Weighting Options'!$D$20:$D$27,VALUE(LEFT(TRIM(BU14),1))),1))</f>
        <v>1</v>
      </c>
      <c r="DS14" s="44">
        <f t="shared" si="27"/>
        <v>6</v>
      </c>
      <c r="DT14" s="42">
        <f>IF(AH14="","",IF(COUNTIFS($AH$12:AH14,AH14,$AI$12:AI14,AI14,$AM$12:AM14,AM14)=1,1,0))</f>
        <v>1</v>
      </c>
    </row>
    <row r="15" spans="1:124" ht="12.75" customHeight="1" x14ac:dyDescent="0.35">
      <c r="A15" s="38" t="s">
        <v>565</v>
      </c>
      <c r="B15" s="38"/>
      <c r="C15" s="38" t="s">
        <v>580</v>
      </c>
      <c r="D15" s="38"/>
      <c r="E15" s="38"/>
      <c r="F15" s="38"/>
      <c r="G15" s="38"/>
      <c r="H15" s="38"/>
      <c r="I15" s="38"/>
      <c r="J15" s="38"/>
      <c r="K15" s="38"/>
      <c r="L15" s="38">
        <v>3</v>
      </c>
      <c r="M15" s="38">
        <v>3</v>
      </c>
      <c r="N15" s="38">
        <v>1</v>
      </c>
      <c r="O15" s="38"/>
      <c r="P15" s="39"/>
      <c r="Q15" s="39"/>
      <c r="R15" s="39"/>
      <c r="S15" s="39"/>
      <c r="U15">
        <v>3</v>
      </c>
      <c r="V15">
        <v>3</v>
      </c>
      <c r="AC15">
        <v>1</v>
      </c>
      <c r="AD15">
        <v>1</v>
      </c>
      <c r="AH15" s="40" t="s">
        <v>581</v>
      </c>
      <c r="AI15" s="40" t="s">
        <v>568</v>
      </c>
      <c r="AJ15" s="40" t="s">
        <v>569</v>
      </c>
      <c r="AK15" s="40" t="s">
        <v>570</v>
      </c>
      <c r="AL15" s="40" t="s">
        <v>571</v>
      </c>
      <c r="AM15" s="40" t="s">
        <v>572</v>
      </c>
      <c r="AO15" s="40" t="s">
        <v>573</v>
      </c>
      <c r="AP15" s="40" t="s">
        <v>574</v>
      </c>
      <c r="AS15" s="41"/>
      <c r="AT15" s="41"/>
      <c r="AV15">
        <v>3</v>
      </c>
      <c r="AW15" t="str">
        <f t="shared" si="0"/>
        <v/>
      </c>
      <c r="AX15" t="str">
        <f t="shared" si="1"/>
        <v/>
      </c>
      <c r="AY15" t="str">
        <f t="shared" si="2"/>
        <v/>
      </c>
      <c r="AZ15" s="40" t="s">
        <v>575</v>
      </c>
      <c r="BA15" s="40" t="s">
        <v>576</v>
      </c>
      <c r="BL15" s="47">
        <f t="shared" si="3"/>
        <v>4</v>
      </c>
      <c r="BM15" s="47">
        <f t="shared" si="4"/>
        <v>3</v>
      </c>
      <c r="BN15" s="47">
        <f t="shared" si="5"/>
        <v>3</v>
      </c>
      <c r="BO15" s="47">
        <f t="shared" si="6"/>
        <v>0</v>
      </c>
      <c r="BP15" s="47">
        <f t="shared" si="7"/>
        <v>0</v>
      </c>
      <c r="BQ15" s="48">
        <f t="shared" si="8"/>
        <v>1</v>
      </c>
      <c r="BR15" s="48">
        <f t="shared" si="9"/>
        <v>0</v>
      </c>
      <c r="BS15" s="48">
        <f t="shared" si="10"/>
        <v>0</v>
      </c>
      <c r="BT15" s="47" t="str">
        <f t="shared" si="11"/>
        <v>Hit-rate-based</v>
      </c>
      <c r="CA15" s="47">
        <f t="shared" si="12"/>
        <v>3</v>
      </c>
      <c r="CB15" s="47">
        <f t="shared" si="13"/>
        <v>9</v>
      </c>
      <c r="CC15" s="47" t="str">
        <f t="shared" si="14"/>
        <v>OK</v>
      </c>
      <c r="CD15" s="47" t="str">
        <f t="shared" si="15"/>
        <v>OK</v>
      </c>
      <c r="CE15" s="47" t="str">
        <f>IF(AH15="","",IF(OR(AI15&lt;&gt;'Seasonal Tercile Tally'!$B$3,AM15&lt;&gt;'Seasonal Tercile Tally'!$B$4),"Other site/ season",IF(DT15=0,"Excluded: duplicate (later row)",IF(N15&lt;&gt;1,"Excluded: not sighted",IF(AC15&lt;&gt;1,"Excluded: not confirmed",IF(AD15&lt;&gt;1,"Excluded: not approved",IF(AP15="Contested","Excluded: contested",IF(OR(U15="",U15=0),"Excluded: no tercile",IF(CB15="","Counted (simple tally only — no weight)","Counted")))))))))</f>
        <v>Other site/ season</v>
      </c>
      <c r="CF15" s="49">
        <f>IF(AH15="","",IFERROR(INDEX('Prior Multipliers'!$C$6:$C$70,MATCH(LEFT(AH15,10),'Prior Multipliers'!$A$6:$A$70,0)),IFERROR(INDEX('Prior Multipliers'!$C$6:$C$70,MATCH(LEFT(AH15,6),'Prior Multipliers'!$A$6:$A$70,0)),IFERROR(INDEX('Prior Multipliers'!$C$6:$C$70,MATCH(LEFT(AH15,2),'Prior Multipliers'!$A$6:$A$70,0)),1))))</f>
        <v>1.35</v>
      </c>
      <c r="CG15" s="49">
        <f>IF(CB15="","",IF(AND('Seasonal Tercile Tally'!$B$5=1,BT15="Rating-based"),CB15*CF15,CB15))</f>
        <v>9</v>
      </c>
      <c r="CH15" s="49">
        <f t="shared" si="16"/>
        <v>9</v>
      </c>
      <c r="CI15" s="45"/>
      <c r="CJ15" s="42" t="str">
        <f t="shared" si="17"/>
        <v/>
      </c>
      <c r="CM15" s="42" t="str">
        <f t="shared" si="18"/>
        <v/>
      </c>
      <c r="CP15" s="46" t="str">
        <f t="shared" si="19"/>
        <v>No change signal</v>
      </c>
      <c r="CS15" s="46" t="str">
        <f t="shared" si="20"/>
        <v/>
      </c>
      <c r="CT15" s="42" t="str">
        <f t="shared" si="21"/>
        <v/>
      </c>
      <c r="CU15" s="42" t="str">
        <f t="shared" si="22"/>
        <v/>
      </c>
      <c r="CV15" s="42" t="str">
        <f t="shared" si="23"/>
        <v/>
      </c>
      <c r="DB15" s="45"/>
      <c r="DH15" s="42" t="str">
        <f t="shared" si="24"/>
        <v/>
      </c>
      <c r="DI15" s="43" t="str">
        <f t="shared" si="25"/>
        <v/>
      </c>
      <c r="DK15" s="46" t="str">
        <f t="shared" si="26"/>
        <v/>
      </c>
      <c r="DQ15" s="42">
        <f>IF(AH15="","",IFERROR(ROUND(100*('Weighting Options'!$D$7*IF(ISNUMBER(CA15),CA15/3,0)+'Weighting Options'!$D$8*MIN(N(BL15),3)/3+'Weighting Options'!$D$9*IF(AP15="Community/Plenary-endorsed",1,IF(AP15="FGD-validated only",0.75,IF(AP15="Sub-community-specific",0.5,IF(AP15="Provisional/emerging",0.25,0))))+'Weighting Options'!$D$10*IF(ISNUMBER(K15),K15/3,0)+'Weighting Options'!$D$11*IF(CC15="",0.5,IF(CC15="OK",1,0.25))+'Weighting Options'!$D$12*IF(DK15="",0.5,IF(DK15="Agrees",1,IF(DK15="Opposite",0,0.5)))+'Weighting Options'!$D$13*MIN(N(BG15),3)/3+'Weighting Options'!$D$14*IF(AE15=1,1,0))/SUM('Weighting Options'!$D$7:$D$14),0),""))</f>
        <v>70</v>
      </c>
      <c r="DR15" s="44">
        <f>IF(AH15="","",IFERROR(INDEX('Weighting Options'!$D$20:$D$27,VALUE(LEFT(TRIM(BU15),1))),1))</f>
        <v>1</v>
      </c>
      <c r="DS15" s="44">
        <f t="shared" si="27"/>
        <v>9</v>
      </c>
      <c r="DT15" s="42">
        <f>IF(AH15="","",IF(COUNTIFS($AH$12:AH15,AH15,$AI$12:AI15,AI15,$AM$12:AM15,AM15)=1,1,0))</f>
        <v>1</v>
      </c>
    </row>
    <row r="16" spans="1:124" ht="12.75" customHeight="1" x14ac:dyDescent="0.35">
      <c r="A16" s="38" t="s">
        <v>565</v>
      </c>
      <c r="B16" s="38"/>
      <c r="C16" s="38" t="s">
        <v>580</v>
      </c>
      <c r="D16" s="38"/>
      <c r="E16" s="38"/>
      <c r="F16" s="38"/>
      <c r="G16" s="38"/>
      <c r="H16" s="38"/>
      <c r="I16" s="38"/>
      <c r="J16" s="38"/>
      <c r="K16" s="38"/>
      <c r="L16" s="38">
        <v>3</v>
      </c>
      <c r="M16" s="38">
        <v>3</v>
      </c>
      <c r="N16" s="38">
        <v>1</v>
      </c>
      <c r="O16" s="38"/>
      <c r="P16" s="39"/>
      <c r="Q16" s="39"/>
      <c r="R16" s="39"/>
      <c r="S16" s="39"/>
      <c r="U16">
        <v>3</v>
      </c>
      <c r="V16">
        <v>3</v>
      </c>
      <c r="AC16">
        <v>1</v>
      </c>
      <c r="AD16">
        <v>1</v>
      </c>
      <c r="AH16" s="40" t="s">
        <v>581</v>
      </c>
      <c r="AI16" s="40" t="s">
        <v>568</v>
      </c>
      <c r="AJ16" s="40" t="s">
        <v>569</v>
      </c>
      <c r="AK16" s="40" t="s">
        <v>570</v>
      </c>
      <c r="AL16" s="40" t="s">
        <v>571</v>
      </c>
      <c r="AM16" s="40" t="s">
        <v>577</v>
      </c>
      <c r="AO16" s="40" t="s">
        <v>573</v>
      </c>
      <c r="AP16" s="40" t="s">
        <v>574</v>
      </c>
      <c r="AS16" s="41"/>
      <c r="AT16" s="41"/>
      <c r="AV16">
        <v>2</v>
      </c>
      <c r="AW16" t="str">
        <f t="shared" si="0"/>
        <v/>
      </c>
      <c r="AX16" t="str">
        <f t="shared" si="1"/>
        <v/>
      </c>
      <c r="AY16" t="str">
        <f t="shared" si="2"/>
        <v/>
      </c>
      <c r="AZ16" s="40" t="s">
        <v>575</v>
      </c>
      <c r="BA16" s="40" t="s">
        <v>576</v>
      </c>
      <c r="BL16" s="47">
        <f t="shared" si="3"/>
        <v>4</v>
      </c>
      <c r="BM16" s="47">
        <f t="shared" si="4"/>
        <v>3</v>
      </c>
      <c r="BN16" s="47">
        <f t="shared" si="5"/>
        <v>3</v>
      </c>
      <c r="BO16" s="47">
        <f t="shared" si="6"/>
        <v>0</v>
      </c>
      <c r="BP16" s="47">
        <f t="shared" si="7"/>
        <v>0</v>
      </c>
      <c r="BQ16" s="48">
        <f t="shared" si="8"/>
        <v>1</v>
      </c>
      <c r="BR16" s="48">
        <f t="shared" si="9"/>
        <v>0</v>
      </c>
      <c r="BS16" s="48">
        <f t="shared" si="10"/>
        <v>0</v>
      </c>
      <c r="BT16" s="47" t="str">
        <f t="shared" si="11"/>
        <v>Hit-rate-based</v>
      </c>
      <c r="CA16" s="47">
        <f t="shared" si="12"/>
        <v>3</v>
      </c>
      <c r="CB16" s="47">
        <f t="shared" si="13"/>
        <v>9</v>
      </c>
      <c r="CC16" s="47" t="str">
        <f t="shared" si="14"/>
        <v>OK</v>
      </c>
      <c r="CD16" s="47" t="str">
        <f t="shared" si="15"/>
        <v>OK</v>
      </c>
      <c r="CE16" s="47" t="str">
        <f>IF(AH16="","",IF(OR(AI16&lt;&gt;'Seasonal Tercile Tally'!$B$3,AM16&lt;&gt;'Seasonal Tercile Tally'!$B$4),"Other site/ season",IF(DT16=0,"Excluded: duplicate (later row)",IF(N16&lt;&gt;1,"Excluded: not sighted",IF(AC16&lt;&gt;1,"Excluded: not confirmed",IF(AD16&lt;&gt;1,"Excluded: not approved",IF(AP16="Contested","Excluded: contested",IF(OR(U16="",U16=0),"Excluded: no tercile",IF(CB16="","Counted (simple tally only — no weight)","Counted")))))))))</f>
        <v>Other site/ season</v>
      </c>
      <c r="CF16" s="49">
        <f>IF(AH16="","",IFERROR(INDEX('Prior Multipliers'!$C$6:$C$70,MATCH(LEFT(AH16,10),'Prior Multipliers'!$A$6:$A$70,0)),IFERROR(INDEX('Prior Multipliers'!$C$6:$C$70,MATCH(LEFT(AH16,6),'Prior Multipliers'!$A$6:$A$70,0)),IFERROR(INDEX('Prior Multipliers'!$C$6:$C$70,MATCH(LEFT(AH16,2),'Prior Multipliers'!$A$6:$A$70,0)),1))))</f>
        <v>1.35</v>
      </c>
      <c r="CG16" s="49">
        <f>IF(CB16="","",IF(AND('Seasonal Tercile Tally'!$B$5=1,BT16="Rating-based"),CB16*CF16,CB16))</f>
        <v>9</v>
      </c>
      <c r="CH16" s="49">
        <f t="shared" si="16"/>
        <v>9</v>
      </c>
      <c r="CI16" s="45"/>
      <c r="CJ16" s="42" t="str">
        <f t="shared" si="17"/>
        <v/>
      </c>
      <c r="CM16" s="42" t="str">
        <f t="shared" si="18"/>
        <v/>
      </c>
      <c r="CP16" s="46" t="str">
        <f t="shared" si="19"/>
        <v>No change signal</v>
      </c>
      <c r="CS16" s="46" t="str">
        <f t="shared" si="20"/>
        <v/>
      </c>
      <c r="CT16" s="42" t="str">
        <f t="shared" si="21"/>
        <v/>
      </c>
      <c r="CU16" s="42" t="str">
        <f t="shared" si="22"/>
        <v/>
      </c>
      <c r="CV16" s="42" t="str">
        <f t="shared" si="23"/>
        <v/>
      </c>
      <c r="DB16" s="45"/>
      <c r="DH16" s="42" t="str">
        <f t="shared" si="24"/>
        <v/>
      </c>
      <c r="DI16" s="43" t="str">
        <f t="shared" si="25"/>
        <v/>
      </c>
      <c r="DK16" s="46" t="str">
        <f t="shared" si="26"/>
        <v/>
      </c>
      <c r="DQ16" s="42">
        <f>IF(AH16="","",IFERROR(ROUND(100*('Weighting Options'!$D$7*IF(ISNUMBER(CA16),CA16/3,0)+'Weighting Options'!$D$8*MIN(N(BL16),3)/3+'Weighting Options'!$D$9*IF(AP16="Community/Plenary-endorsed",1,IF(AP16="FGD-validated only",0.75,IF(AP16="Sub-community-specific",0.5,IF(AP16="Provisional/emerging",0.25,0))))+'Weighting Options'!$D$10*IF(ISNUMBER(K16),K16/3,0)+'Weighting Options'!$D$11*IF(CC16="",0.5,IF(CC16="OK",1,0.25))+'Weighting Options'!$D$12*IF(DK16="",0.5,IF(DK16="Agrees",1,IF(DK16="Opposite",0,0.5)))+'Weighting Options'!$D$13*MIN(N(BG16),3)/3+'Weighting Options'!$D$14*IF(AE16=1,1,0))/SUM('Weighting Options'!$D$7:$D$14),0),""))</f>
        <v>70</v>
      </c>
      <c r="DR16" s="44">
        <f>IF(AH16="","",IFERROR(INDEX('Weighting Options'!$D$20:$D$27,VALUE(LEFT(TRIM(BU16),1))),1))</f>
        <v>1</v>
      </c>
      <c r="DS16" s="44">
        <f t="shared" si="27"/>
        <v>9</v>
      </c>
      <c r="DT16" s="42">
        <f>IF(AH16="","",IF(COUNTIFS($AH$12:AH16,AH16,$AI$12:AI16,AI16,$AM$12:AM16,AM16)=1,1,0))</f>
        <v>1</v>
      </c>
    </row>
    <row r="17" spans="1:124" ht="12.75" customHeight="1" x14ac:dyDescent="0.35">
      <c r="A17" s="38" t="s">
        <v>565</v>
      </c>
      <c r="B17" s="38"/>
      <c r="C17" s="38" t="s">
        <v>580</v>
      </c>
      <c r="D17" s="38"/>
      <c r="E17" s="38"/>
      <c r="F17" s="38"/>
      <c r="G17" s="38"/>
      <c r="H17" s="38"/>
      <c r="I17" s="38"/>
      <c r="J17" s="38"/>
      <c r="K17" s="38"/>
      <c r="L17" s="38">
        <v>3</v>
      </c>
      <c r="M17" s="38">
        <v>3</v>
      </c>
      <c r="N17" s="38">
        <v>1</v>
      </c>
      <c r="O17" s="38"/>
      <c r="P17" s="39"/>
      <c r="Q17" s="39"/>
      <c r="R17" s="39"/>
      <c r="S17" s="39"/>
      <c r="U17">
        <v>3</v>
      </c>
      <c r="V17">
        <v>3</v>
      </c>
      <c r="AC17">
        <v>1</v>
      </c>
      <c r="AD17">
        <v>1</v>
      </c>
      <c r="AH17" s="40" t="s">
        <v>581</v>
      </c>
      <c r="AI17" s="40" t="s">
        <v>568</v>
      </c>
      <c r="AJ17" s="40" t="s">
        <v>569</v>
      </c>
      <c r="AK17" s="40" t="s">
        <v>570</v>
      </c>
      <c r="AL17" s="40" t="s">
        <v>571</v>
      </c>
      <c r="AM17" s="40" t="s">
        <v>578</v>
      </c>
      <c r="AO17" s="40" t="s">
        <v>573</v>
      </c>
      <c r="AP17" s="40" t="s">
        <v>574</v>
      </c>
      <c r="AS17" s="41"/>
      <c r="AT17" s="41"/>
      <c r="AV17">
        <v>3</v>
      </c>
      <c r="AW17" t="str">
        <f t="shared" si="0"/>
        <v/>
      </c>
      <c r="AX17" t="str">
        <f t="shared" si="1"/>
        <v/>
      </c>
      <c r="AY17" t="str">
        <f t="shared" si="2"/>
        <v/>
      </c>
      <c r="AZ17" s="40" t="s">
        <v>575</v>
      </c>
      <c r="BA17" s="40" t="s">
        <v>576</v>
      </c>
      <c r="BL17" s="47">
        <f t="shared" si="3"/>
        <v>4</v>
      </c>
      <c r="BM17" s="47">
        <f t="shared" si="4"/>
        <v>3</v>
      </c>
      <c r="BN17" s="47">
        <f t="shared" si="5"/>
        <v>3</v>
      </c>
      <c r="BO17" s="47">
        <f t="shared" si="6"/>
        <v>0</v>
      </c>
      <c r="BP17" s="47">
        <f t="shared" si="7"/>
        <v>0</v>
      </c>
      <c r="BQ17" s="48">
        <f t="shared" si="8"/>
        <v>1</v>
      </c>
      <c r="BR17" s="48">
        <f t="shared" si="9"/>
        <v>0</v>
      </c>
      <c r="BS17" s="48">
        <f t="shared" si="10"/>
        <v>0</v>
      </c>
      <c r="BT17" s="47" t="str">
        <f t="shared" si="11"/>
        <v>Hit-rate-based</v>
      </c>
      <c r="CA17" s="47">
        <f t="shared" si="12"/>
        <v>3</v>
      </c>
      <c r="CB17" s="47">
        <f t="shared" si="13"/>
        <v>9</v>
      </c>
      <c r="CC17" s="47" t="str">
        <f t="shared" si="14"/>
        <v>OK</v>
      </c>
      <c r="CD17" s="47" t="str">
        <f t="shared" si="15"/>
        <v>OK</v>
      </c>
      <c r="CE17" s="47" t="str">
        <f>IF(AH17="","",IF(OR(AI17&lt;&gt;'Seasonal Tercile Tally'!$B$3,AM17&lt;&gt;'Seasonal Tercile Tally'!$B$4),"Other site/ season",IF(DT17=0,"Excluded: duplicate (later row)",IF(N17&lt;&gt;1,"Excluded: not sighted",IF(AC17&lt;&gt;1,"Excluded: not confirmed",IF(AD17&lt;&gt;1,"Excluded: not approved",IF(AP17="Contested","Excluded: contested",IF(OR(U17="",U17=0),"Excluded: no tercile",IF(CB17="","Counted (simple tally only — no weight)","Counted")))))))))</f>
        <v>Other site/ season</v>
      </c>
      <c r="CF17" s="49">
        <f>IF(AH17="","",IFERROR(INDEX('Prior Multipliers'!$C$6:$C$70,MATCH(LEFT(AH17,10),'Prior Multipliers'!$A$6:$A$70,0)),IFERROR(INDEX('Prior Multipliers'!$C$6:$C$70,MATCH(LEFT(AH17,6),'Prior Multipliers'!$A$6:$A$70,0)),IFERROR(INDEX('Prior Multipliers'!$C$6:$C$70,MATCH(LEFT(AH17,2),'Prior Multipliers'!$A$6:$A$70,0)),1))))</f>
        <v>1.35</v>
      </c>
      <c r="CG17" s="49">
        <f>IF(CB17="","",IF(AND('Seasonal Tercile Tally'!$B$5=1,BT17="Rating-based"),CB17*CF17,CB17))</f>
        <v>9</v>
      </c>
      <c r="CH17" s="49">
        <f t="shared" si="16"/>
        <v>9</v>
      </c>
      <c r="CI17" s="45"/>
      <c r="CJ17" s="42" t="str">
        <f t="shared" si="17"/>
        <v/>
      </c>
      <c r="CM17" s="42" t="str">
        <f t="shared" si="18"/>
        <v/>
      </c>
      <c r="CP17" s="46" t="str">
        <f t="shared" si="19"/>
        <v>No change signal</v>
      </c>
      <c r="CS17" s="46" t="str">
        <f t="shared" si="20"/>
        <v/>
      </c>
      <c r="CT17" s="42" t="str">
        <f t="shared" si="21"/>
        <v/>
      </c>
      <c r="CU17" s="42" t="str">
        <f t="shared" si="22"/>
        <v/>
      </c>
      <c r="CV17" s="42" t="str">
        <f t="shared" si="23"/>
        <v/>
      </c>
      <c r="DB17" s="45"/>
      <c r="DH17" s="42" t="str">
        <f t="shared" si="24"/>
        <v/>
      </c>
      <c r="DI17" s="43" t="str">
        <f t="shared" si="25"/>
        <v/>
      </c>
      <c r="DK17" s="46" t="str">
        <f t="shared" si="26"/>
        <v/>
      </c>
      <c r="DQ17" s="42">
        <f>IF(AH17="","",IFERROR(ROUND(100*('Weighting Options'!$D$7*IF(ISNUMBER(CA17),CA17/3,0)+'Weighting Options'!$D$8*MIN(N(BL17),3)/3+'Weighting Options'!$D$9*IF(AP17="Community/Plenary-endorsed",1,IF(AP17="FGD-validated only",0.75,IF(AP17="Sub-community-specific",0.5,IF(AP17="Provisional/emerging",0.25,0))))+'Weighting Options'!$D$10*IF(ISNUMBER(K17),K17/3,0)+'Weighting Options'!$D$11*IF(CC17="",0.5,IF(CC17="OK",1,0.25))+'Weighting Options'!$D$12*IF(DK17="",0.5,IF(DK17="Agrees",1,IF(DK17="Opposite",0,0.5)))+'Weighting Options'!$D$13*MIN(N(BG17),3)/3+'Weighting Options'!$D$14*IF(AE17=1,1,0))/SUM('Weighting Options'!$D$7:$D$14),0),""))</f>
        <v>70</v>
      </c>
      <c r="DR17" s="44">
        <f>IF(AH17="","",IFERROR(INDEX('Weighting Options'!$D$20:$D$27,VALUE(LEFT(TRIM(BU17),1))),1))</f>
        <v>1</v>
      </c>
      <c r="DS17" s="44">
        <f t="shared" si="27"/>
        <v>9</v>
      </c>
      <c r="DT17" s="42">
        <f>IF(AH17="","",IF(COUNTIFS($AH$12:AH17,AH17,$AI$12:AI17,AI17,$AM$12:AM17,AM17)=1,1,0))</f>
        <v>1</v>
      </c>
    </row>
    <row r="18" spans="1:124" ht="12.75" customHeight="1" x14ac:dyDescent="0.35">
      <c r="A18" s="38" t="s">
        <v>582</v>
      </c>
      <c r="B18" s="38"/>
      <c r="C18" s="38" t="s">
        <v>583</v>
      </c>
      <c r="D18" s="38"/>
      <c r="E18" s="38"/>
      <c r="F18" s="38"/>
      <c r="G18" s="38"/>
      <c r="H18" s="38"/>
      <c r="I18" s="38"/>
      <c r="J18" s="38"/>
      <c r="K18" s="38"/>
      <c r="L18" s="38">
        <v>3</v>
      </c>
      <c r="M18" s="38">
        <v>3</v>
      </c>
      <c r="N18" s="38">
        <v>1</v>
      </c>
      <c r="O18" s="38"/>
      <c r="P18" s="39"/>
      <c r="Q18" s="39"/>
      <c r="R18" s="39"/>
      <c r="S18" s="39"/>
      <c r="U18">
        <v>1</v>
      </c>
      <c r="V18">
        <v>3</v>
      </c>
      <c r="AC18">
        <v>1</v>
      </c>
      <c r="AD18">
        <v>1</v>
      </c>
      <c r="AH18" s="40" t="s">
        <v>584</v>
      </c>
      <c r="AI18" s="40" t="s">
        <v>568</v>
      </c>
      <c r="AJ18" s="40" t="s">
        <v>569</v>
      </c>
      <c r="AK18" s="40" t="s">
        <v>570</v>
      </c>
      <c r="AL18" s="40" t="s">
        <v>571</v>
      </c>
      <c r="AM18" s="40" t="s">
        <v>572</v>
      </c>
      <c r="AO18" s="40" t="s">
        <v>573</v>
      </c>
      <c r="AP18" s="40" t="s">
        <v>574</v>
      </c>
      <c r="AS18" s="41"/>
      <c r="AT18" s="41"/>
      <c r="AV18">
        <v>1</v>
      </c>
      <c r="AW18" t="str">
        <f t="shared" si="0"/>
        <v/>
      </c>
      <c r="AX18" t="str">
        <f t="shared" si="1"/>
        <v/>
      </c>
      <c r="AY18" t="str">
        <f t="shared" si="2"/>
        <v/>
      </c>
      <c r="AZ18" s="40" t="s">
        <v>575</v>
      </c>
      <c r="BA18" s="40" t="s">
        <v>576</v>
      </c>
      <c r="BL18" s="47">
        <f t="shared" si="3"/>
        <v>4</v>
      </c>
      <c r="BM18" s="47">
        <f t="shared" si="4"/>
        <v>3</v>
      </c>
      <c r="BN18" s="47">
        <f t="shared" si="5"/>
        <v>1</v>
      </c>
      <c r="BO18" s="47">
        <f t="shared" si="6"/>
        <v>2</v>
      </c>
      <c r="BP18" s="47">
        <f t="shared" si="7"/>
        <v>0</v>
      </c>
      <c r="BQ18" s="48">
        <f t="shared" si="8"/>
        <v>0.33333333333333331</v>
      </c>
      <c r="BR18" s="48">
        <f t="shared" si="9"/>
        <v>0.66666666666666663</v>
      </c>
      <c r="BS18" s="48">
        <f t="shared" si="10"/>
        <v>0</v>
      </c>
      <c r="BT18" s="47" t="str">
        <f t="shared" si="11"/>
        <v>Hit-rate-based</v>
      </c>
      <c r="CA18" s="47">
        <f t="shared" si="12"/>
        <v>1</v>
      </c>
      <c r="CB18" s="47">
        <f t="shared" si="13"/>
        <v>3</v>
      </c>
      <c r="CC18" s="47" t="str">
        <f t="shared" si="14"/>
        <v>OK</v>
      </c>
      <c r="CD18" s="47" t="str">
        <f t="shared" si="15"/>
        <v>OK</v>
      </c>
      <c r="CE18" s="47" t="str">
        <f>IF(AH18="","",IF(OR(AI18&lt;&gt;'Seasonal Tercile Tally'!$B$3,AM18&lt;&gt;'Seasonal Tercile Tally'!$B$4),"Other site/ season",IF(DT18=0,"Excluded: duplicate (later row)",IF(N18&lt;&gt;1,"Excluded: not sighted",IF(AC18&lt;&gt;1,"Excluded: not confirmed",IF(AD18&lt;&gt;1,"Excluded: not approved",IF(AP18="Contested","Excluded: contested",IF(OR(U18="",U18=0),"Excluded: no tercile",IF(CB18="","Counted (simple tally only — no weight)","Counted")))))))))</f>
        <v>Other site/ season</v>
      </c>
      <c r="CF18" s="49">
        <f>IF(AH18="","",IFERROR(INDEX('Prior Multipliers'!$C$6:$C$70,MATCH(LEFT(AH18,10),'Prior Multipliers'!$A$6:$A$70,0)),IFERROR(INDEX('Prior Multipliers'!$C$6:$C$70,MATCH(LEFT(AH18,6),'Prior Multipliers'!$A$6:$A$70,0)),IFERROR(INDEX('Prior Multipliers'!$C$6:$C$70,MATCH(LEFT(AH18,2),'Prior Multipliers'!$A$6:$A$70,0)),1))))</f>
        <v>1.33</v>
      </c>
      <c r="CG18" s="49">
        <f>IF(CB18="","",IF(AND('Seasonal Tercile Tally'!$B$5=1,BT18="Rating-based"),CB18*CF18,CB18))</f>
        <v>3</v>
      </c>
      <c r="CH18" s="49">
        <f t="shared" si="16"/>
        <v>3</v>
      </c>
      <c r="CI18" s="45"/>
      <c r="CJ18" s="42" t="str">
        <f t="shared" si="17"/>
        <v/>
      </c>
      <c r="CM18" s="42" t="str">
        <f t="shared" si="18"/>
        <v/>
      </c>
      <c r="CP18" s="46" t="str">
        <f t="shared" si="19"/>
        <v>Watch: one change signal</v>
      </c>
      <c r="CS18" s="46" t="str">
        <f t="shared" si="20"/>
        <v/>
      </c>
      <c r="CT18" s="42" t="str">
        <f t="shared" si="21"/>
        <v/>
      </c>
      <c r="CU18" s="42" t="str">
        <f t="shared" si="22"/>
        <v/>
      </c>
      <c r="CV18" s="42" t="str">
        <f t="shared" si="23"/>
        <v/>
      </c>
      <c r="DB18" s="45"/>
      <c r="DH18" s="42" t="str">
        <f t="shared" si="24"/>
        <v/>
      </c>
      <c r="DI18" s="43" t="str">
        <f t="shared" si="25"/>
        <v/>
      </c>
      <c r="DK18" s="46" t="str">
        <f t="shared" si="26"/>
        <v/>
      </c>
      <c r="DQ18" s="42">
        <f>IF(AH18="","",IFERROR(ROUND(100*('Weighting Options'!$D$7*IF(ISNUMBER(CA18),CA18/3,0)+'Weighting Options'!$D$8*MIN(N(BL18),3)/3+'Weighting Options'!$D$9*IF(AP18="Community/Plenary-endorsed",1,IF(AP18="FGD-validated only",0.75,IF(AP18="Sub-community-specific",0.5,IF(AP18="Provisional/emerging",0.25,0))))+'Weighting Options'!$D$10*IF(ISNUMBER(K18),K18/3,0)+'Weighting Options'!$D$11*IF(CC18="",0.5,IF(CC18="OK",1,0.25))+'Weighting Options'!$D$12*IF(DK18="",0.5,IF(DK18="Agrees",1,IF(DK18="Opposite",0,0.5)))+'Weighting Options'!$D$13*MIN(N(BG18),3)/3+'Weighting Options'!$D$14*IF(AE18=1,1,0))/SUM('Weighting Options'!$D$7:$D$14),0),""))</f>
        <v>53</v>
      </c>
      <c r="DR18" s="44">
        <f>IF(AH18="","",IFERROR(INDEX('Weighting Options'!$D$20:$D$27,VALUE(LEFT(TRIM(BU18),1))),1))</f>
        <v>1</v>
      </c>
      <c r="DS18" s="44">
        <f t="shared" si="27"/>
        <v>3</v>
      </c>
      <c r="DT18" s="42">
        <f>IF(AH18="","",IF(COUNTIFS($AH$12:AH18,AH18,$AI$12:AI18,AI18,$AM$12:AM18,AM18)=1,1,0))</f>
        <v>1</v>
      </c>
    </row>
    <row r="19" spans="1:124" ht="12.75" customHeight="1" x14ac:dyDescent="0.35">
      <c r="A19" s="38" t="s">
        <v>582</v>
      </c>
      <c r="B19" s="38"/>
      <c r="C19" s="38" t="s">
        <v>583</v>
      </c>
      <c r="D19" s="38"/>
      <c r="E19" s="38"/>
      <c r="F19" s="38"/>
      <c r="G19" s="38"/>
      <c r="H19" s="38"/>
      <c r="I19" s="38"/>
      <c r="J19" s="38"/>
      <c r="K19" s="38"/>
      <c r="L19" s="38">
        <v>3</v>
      </c>
      <c r="M19" s="38">
        <v>3</v>
      </c>
      <c r="N19" s="38">
        <v>1</v>
      </c>
      <c r="O19" s="38"/>
      <c r="P19" s="39"/>
      <c r="Q19" s="39"/>
      <c r="R19" s="39"/>
      <c r="S19" s="39"/>
      <c r="U19">
        <v>1</v>
      </c>
      <c r="V19">
        <v>3</v>
      </c>
      <c r="AC19">
        <v>1</v>
      </c>
      <c r="AD19">
        <v>1</v>
      </c>
      <c r="AH19" s="40" t="s">
        <v>584</v>
      </c>
      <c r="AI19" s="40" t="s">
        <v>568</v>
      </c>
      <c r="AJ19" s="40" t="s">
        <v>569</v>
      </c>
      <c r="AK19" s="40" t="s">
        <v>570</v>
      </c>
      <c r="AL19" s="40" t="s">
        <v>571</v>
      </c>
      <c r="AM19" s="40" t="s">
        <v>577</v>
      </c>
      <c r="AO19" s="40" t="s">
        <v>573</v>
      </c>
      <c r="AP19" s="40" t="s">
        <v>574</v>
      </c>
      <c r="AS19" s="41"/>
      <c r="AT19" s="41"/>
      <c r="AV19">
        <v>3</v>
      </c>
      <c r="AW19" t="str">
        <f t="shared" si="0"/>
        <v/>
      </c>
      <c r="AX19" t="str">
        <f t="shared" si="1"/>
        <v/>
      </c>
      <c r="AY19" t="str">
        <f t="shared" si="2"/>
        <v/>
      </c>
      <c r="AZ19" s="40" t="s">
        <v>579</v>
      </c>
      <c r="BA19" s="40" t="s">
        <v>576</v>
      </c>
      <c r="BL19" s="47">
        <f t="shared" si="3"/>
        <v>4</v>
      </c>
      <c r="BM19" s="47">
        <f t="shared" si="4"/>
        <v>3</v>
      </c>
      <c r="BN19" s="47">
        <f t="shared" si="5"/>
        <v>1</v>
      </c>
      <c r="BO19" s="47">
        <f t="shared" si="6"/>
        <v>2</v>
      </c>
      <c r="BP19" s="47">
        <f t="shared" si="7"/>
        <v>0</v>
      </c>
      <c r="BQ19" s="48">
        <f t="shared" si="8"/>
        <v>0.33333333333333331</v>
      </c>
      <c r="BR19" s="48">
        <f t="shared" si="9"/>
        <v>0.66666666666666663</v>
      </c>
      <c r="BS19" s="48">
        <f t="shared" si="10"/>
        <v>0</v>
      </c>
      <c r="BT19" s="47" t="str">
        <f t="shared" si="11"/>
        <v>Hit-rate-based</v>
      </c>
      <c r="CA19" s="47">
        <f t="shared" si="12"/>
        <v>1</v>
      </c>
      <c r="CB19" s="47">
        <f t="shared" si="13"/>
        <v>3</v>
      </c>
      <c r="CC19" s="47" t="str">
        <f t="shared" si="14"/>
        <v>OK</v>
      </c>
      <c r="CD19" s="47" t="str">
        <f t="shared" si="15"/>
        <v>OK</v>
      </c>
      <c r="CE19" s="47" t="str">
        <f>IF(AH19="","",IF(OR(AI19&lt;&gt;'Seasonal Tercile Tally'!$B$3,AM19&lt;&gt;'Seasonal Tercile Tally'!$B$4),"Other site/ season",IF(DT19=0,"Excluded: duplicate (later row)",IF(N19&lt;&gt;1,"Excluded: not sighted",IF(AC19&lt;&gt;1,"Excluded: not confirmed",IF(AD19&lt;&gt;1,"Excluded: not approved",IF(AP19="Contested","Excluded: contested",IF(OR(U19="",U19=0),"Excluded: no tercile",IF(CB19="","Counted (simple tally only — no weight)","Counted")))))))))</f>
        <v>Other site/ season</v>
      </c>
      <c r="CF19" s="49">
        <f>IF(AH19="","",IFERROR(INDEX('Prior Multipliers'!$C$6:$C$70,MATCH(LEFT(AH19,10),'Prior Multipliers'!$A$6:$A$70,0)),IFERROR(INDEX('Prior Multipliers'!$C$6:$C$70,MATCH(LEFT(AH19,6),'Prior Multipliers'!$A$6:$A$70,0)),IFERROR(INDEX('Prior Multipliers'!$C$6:$C$70,MATCH(LEFT(AH19,2),'Prior Multipliers'!$A$6:$A$70,0)),1))))</f>
        <v>1.33</v>
      </c>
      <c r="CG19" s="49">
        <f>IF(CB19="","",IF(AND('Seasonal Tercile Tally'!$B$5=1,BT19="Rating-based"),CB19*CF19,CB19))</f>
        <v>3</v>
      </c>
      <c r="CH19" s="49">
        <f t="shared" si="16"/>
        <v>3</v>
      </c>
      <c r="CI19" s="45"/>
      <c r="CJ19" s="42" t="str">
        <f t="shared" si="17"/>
        <v/>
      </c>
      <c r="CM19" s="42" t="str">
        <f t="shared" si="18"/>
        <v/>
      </c>
      <c r="CP19" s="46" t="str">
        <f t="shared" si="19"/>
        <v>Watch: one change signal</v>
      </c>
      <c r="CS19" s="46" t="str">
        <f t="shared" si="20"/>
        <v/>
      </c>
      <c r="CT19" s="42" t="str">
        <f t="shared" si="21"/>
        <v/>
      </c>
      <c r="CU19" s="42" t="str">
        <f t="shared" si="22"/>
        <v/>
      </c>
      <c r="CV19" s="42" t="str">
        <f t="shared" si="23"/>
        <v/>
      </c>
      <c r="DB19" s="45"/>
      <c r="DH19" s="42" t="str">
        <f t="shared" si="24"/>
        <v/>
      </c>
      <c r="DI19" s="43" t="str">
        <f t="shared" si="25"/>
        <v/>
      </c>
      <c r="DK19" s="46" t="str">
        <f t="shared" si="26"/>
        <v/>
      </c>
      <c r="DQ19" s="42">
        <f>IF(AH19="","",IFERROR(ROUND(100*('Weighting Options'!$D$7*IF(ISNUMBER(CA19),CA19/3,0)+'Weighting Options'!$D$8*MIN(N(BL19),3)/3+'Weighting Options'!$D$9*IF(AP19="Community/Plenary-endorsed",1,IF(AP19="FGD-validated only",0.75,IF(AP19="Sub-community-specific",0.5,IF(AP19="Provisional/emerging",0.25,0))))+'Weighting Options'!$D$10*IF(ISNUMBER(K19),K19/3,0)+'Weighting Options'!$D$11*IF(CC19="",0.5,IF(CC19="OK",1,0.25))+'Weighting Options'!$D$12*IF(DK19="",0.5,IF(DK19="Agrees",1,IF(DK19="Opposite",0,0.5)))+'Weighting Options'!$D$13*MIN(N(BG19),3)/3+'Weighting Options'!$D$14*IF(AE19=1,1,0))/SUM('Weighting Options'!$D$7:$D$14),0),""))</f>
        <v>53</v>
      </c>
      <c r="DR19" s="44">
        <f>IF(AH19="","",IFERROR(INDEX('Weighting Options'!$D$20:$D$27,VALUE(LEFT(TRIM(BU19),1))),1))</f>
        <v>1</v>
      </c>
      <c r="DS19" s="44">
        <f t="shared" si="27"/>
        <v>3</v>
      </c>
      <c r="DT19" s="42">
        <f>IF(AH19="","",IF(COUNTIFS($AH$12:AH19,AH19,$AI$12:AI19,AI19,$AM$12:AM19,AM19)=1,1,0))</f>
        <v>1</v>
      </c>
    </row>
    <row r="20" spans="1:124" ht="12.75" customHeight="1" x14ac:dyDescent="0.35">
      <c r="A20" s="38" t="s">
        <v>582</v>
      </c>
      <c r="B20" s="38"/>
      <c r="C20" s="38" t="s">
        <v>583</v>
      </c>
      <c r="D20" s="38"/>
      <c r="E20" s="38"/>
      <c r="F20" s="38"/>
      <c r="G20" s="38"/>
      <c r="H20" s="38"/>
      <c r="I20" s="38"/>
      <c r="J20" s="38"/>
      <c r="K20" s="38"/>
      <c r="L20" s="38">
        <v>3</v>
      </c>
      <c r="M20" s="38">
        <v>3</v>
      </c>
      <c r="N20" s="38">
        <v>1</v>
      </c>
      <c r="O20" s="38"/>
      <c r="P20" s="39"/>
      <c r="Q20" s="39"/>
      <c r="R20" s="39"/>
      <c r="S20" s="39"/>
      <c r="U20">
        <v>1</v>
      </c>
      <c r="V20">
        <v>3</v>
      </c>
      <c r="AC20">
        <v>1</v>
      </c>
      <c r="AD20">
        <v>1</v>
      </c>
      <c r="AH20" s="40" t="s">
        <v>584</v>
      </c>
      <c r="AI20" s="40" t="s">
        <v>568</v>
      </c>
      <c r="AJ20" s="40" t="s">
        <v>569</v>
      </c>
      <c r="AK20" s="40" t="s">
        <v>570</v>
      </c>
      <c r="AL20" s="40" t="s">
        <v>571</v>
      </c>
      <c r="AM20" s="40" t="s">
        <v>578</v>
      </c>
      <c r="AO20" s="40" t="s">
        <v>573</v>
      </c>
      <c r="AP20" s="40" t="s">
        <v>574</v>
      </c>
      <c r="AS20" s="41"/>
      <c r="AT20" s="41"/>
      <c r="AV20">
        <v>3</v>
      </c>
      <c r="AW20" t="str">
        <f t="shared" si="0"/>
        <v/>
      </c>
      <c r="AX20" t="str">
        <f t="shared" si="1"/>
        <v/>
      </c>
      <c r="AY20" t="str">
        <f t="shared" si="2"/>
        <v/>
      </c>
      <c r="AZ20" s="40" t="s">
        <v>579</v>
      </c>
      <c r="BA20" s="40" t="s">
        <v>576</v>
      </c>
      <c r="BL20" s="47">
        <f t="shared" si="3"/>
        <v>4</v>
      </c>
      <c r="BM20" s="47">
        <f t="shared" si="4"/>
        <v>3</v>
      </c>
      <c r="BN20" s="47">
        <f t="shared" si="5"/>
        <v>1</v>
      </c>
      <c r="BO20" s="47">
        <f t="shared" si="6"/>
        <v>2</v>
      </c>
      <c r="BP20" s="47">
        <f t="shared" si="7"/>
        <v>0</v>
      </c>
      <c r="BQ20" s="48">
        <f t="shared" si="8"/>
        <v>0.33333333333333331</v>
      </c>
      <c r="BR20" s="48">
        <f t="shared" si="9"/>
        <v>0.66666666666666663</v>
      </c>
      <c r="BS20" s="48">
        <f t="shared" si="10"/>
        <v>0</v>
      </c>
      <c r="BT20" s="47" t="str">
        <f t="shared" si="11"/>
        <v>Hit-rate-based</v>
      </c>
      <c r="CA20" s="47">
        <f t="shared" si="12"/>
        <v>1</v>
      </c>
      <c r="CB20" s="47">
        <f t="shared" si="13"/>
        <v>3</v>
      </c>
      <c r="CC20" s="47" t="str">
        <f t="shared" si="14"/>
        <v>OK</v>
      </c>
      <c r="CD20" s="47" t="str">
        <f t="shared" si="15"/>
        <v>OK</v>
      </c>
      <c r="CE20" s="47" t="str">
        <f>IF(AH20="","",IF(OR(AI20&lt;&gt;'Seasonal Tercile Tally'!$B$3,AM20&lt;&gt;'Seasonal Tercile Tally'!$B$4),"Other site/ season",IF(DT20=0,"Excluded: duplicate (later row)",IF(N20&lt;&gt;1,"Excluded: not sighted",IF(AC20&lt;&gt;1,"Excluded: not confirmed",IF(AD20&lt;&gt;1,"Excluded: not approved",IF(AP20="Contested","Excluded: contested",IF(OR(U20="",U20=0),"Excluded: no tercile",IF(CB20="","Counted (simple tally only — no weight)","Counted")))))))))</f>
        <v>Other site/ season</v>
      </c>
      <c r="CF20" s="49">
        <f>IF(AH20="","",IFERROR(INDEX('Prior Multipliers'!$C$6:$C$70,MATCH(LEFT(AH20,10),'Prior Multipliers'!$A$6:$A$70,0)),IFERROR(INDEX('Prior Multipliers'!$C$6:$C$70,MATCH(LEFT(AH20,6),'Prior Multipliers'!$A$6:$A$70,0)),IFERROR(INDEX('Prior Multipliers'!$C$6:$C$70,MATCH(LEFT(AH20,2),'Prior Multipliers'!$A$6:$A$70,0)),1))))</f>
        <v>1.33</v>
      </c>
      <c r="CG20" s="49">
        <f>IF(CB20="","",IF(AND('Seasonal Tercile Tally'!$B$5=1,BT20="Rating-based"),CB20*CF20,CB20))</f>
        <v>3</v>
      </c>
      <c r="CH20" s="49">
        <f t="shared" si="16"/>
        <v>3</v>
      </c>
      <c r="CI20" s="45"/>
      <c r="CJ20" s="42" t="str">
        <f t="shared" si="17"/>
        <v/>
      </c>
      <c r="CM20" s="42" t="str">
        <f t="shared" si="18"/>
        <v/>
      </c>
      <c r="CP20" s="46" t="str">
        <f t="shared" si="19"/>
        <v>Watch: one change signal</v>
      </c>
      <c r="CS20" s="46" t="str">
        <f t="shared" si="20"/>
        <v/>
      </c>
      <c r="CT20" s="42" t="str">
        <f t="shared" si="21"/>
        <v/>
      </c>
      <c r="CU20" s="42" t="str">
        <f t="shared" si="22"/>
        <v/>
      </c>
      <c r="CV20" s="42" t="str">
        <f t="shared" si="23"/>
        <v/>
      </c>
      <c r="DB20" s="45"/>
      <c r="DH20" s="42" t="str">
        <f t="shared" si="24"/>
        <v/>
      </c>
      <c r="DI20" s="43" t="str">
        <f t="shared" si="25"/>
        <v/>
      </c>
      <c r="DK20" s="46" t="str">
        <f t="shared" si="26"/>
        <v/>
      </c>
      <c r="DQ20" s="42">
        <f>IF(AH20="","",IFERROR(ROUND(100*('Weighting Options'!$D$7*IF(ISNUMBER(CA20),CA20/3,0)+'Weighting Options'!$D$8*MIN(N(BL20),3)/3+'Weighting Options'!$D$9*IF(AP20="Community/Plenary-endorsed",1,IF(AP20="FGD-validated only",0.75,IF(AP20="Sub-community-specific",0.5,IF(AP20="Provisional/emerging",0.25,0))))+'Weighting Options'!$D$10*IF(ISNUMBER(K20),K20/3,0)+'Weighting Options'!$D$11*IF(CC20="",0.5,IF(CC20="OK",1,0.25))+'Weighting Options'!$D$12*IF(DK20="",0.5,IF(DK20="Agrees",1,IF(DK20="Opposite",0,0.5)))+'Weighting Options'!$D$13*MIN(N(BG20),3)/3+'Weighting Options'!$D$14*IF(AE20=1,1,0))/SUM('Weighting Options'!$D$7:$D$14),0),""))</f>
        <v>53</v>
      </c>
      <c r="DR20" s="44">
        <f>IF(AH20="","",IFERROR(INDEX('Weighting Options'!$D$20:$D$27,VALUE(LEFT(TRIM(BU20),1))),1))</f>
        <v>1</v>
      </c>
      <c r="DS20" s="44">
        <f t="shared" si="27"/>
        <v>3</v>
      </c>
      <c r="DT20" s="42">
        <f>IF(AH20="","",IF(COUNTIFS($AH$12:AH20,AH20,$AI$12:AI20,AI20,$AM$12:AM20,AM20)=1,1,0))</f>
        <v>1</v>
      </c>
    </row>
    <row r="21" spans="1:124" ht="12.75" customHeight="1" x14ac:dyDescent="0.35">
      <c r="A21" s="38" t="s">
        <v>585</v>
      </c>
      <c r="B21" s="38"/>
      <c r="C21" s="38" t="s">
        <v>586</v>
      </c>
      <c r="D21" s="38"/>
      <c r="E21" s="38"/>
      <c r="F21" s="38"/>
      <c r="G21" s="38"/>
      <c r="H21" s="38"/>
      <c r="I21" s="38"/>
      <c r="J21" s="38"/>
      <c r="K21" s="38"/>
      <c r="L21" s="38">
        <v>3</v>
      </c>
      <c r="M21" s="38">
        <v>2</v>
      </c>
      <c r="N21" s="38">
        <v>1</v>
      </c>
      <c r="O21" s="38"/>
      <c r="P21" s="39"/>
      <c r="Q21" s="39"/>
      <c r="R21" s="39"/>
      <c r="S21" s="39"/>
      <c r="U21">
        <v>1</v>
      </c>
      <c r="AC21">
        <v>1</v>
      </c>
      <c r="AD21">
        <v>1</v>
      </c>
      <c r="AH21" s="40" t="s">
        <v>587</v>
      </c>
      <c r="AI21" s="40" t="s">
        <v>568</v>
      </c>
      <c r="AJ21" s="40" t="s">
        <v>569</v>
      </c>
      <c r="AK21" s="40" t="s">
        <v>570</v>
      </c>
      <c r="AL21" s="40" t="s">
        <v>571</v>
      </c>
      <c r="AM21" s="40" t="s">
        <v>588</v>
      </c>
      <c r="AO21" s="40" t="s">
        <v>573</v>
      </c>
      <c r="AP21" s="40" t="s">
        <v>589</v>
      </c>
      <c r="AS21" s="41"/>
      <c r="AT21" s="41"/>
      <c r="AW21" t="str">
        <f t="shared" si="0"/>
        <v/>
      </c>
      <c r="AX21" t="str">
        <f t="shared" si="1"/>
        <v/>
      </c>
      <c r="AY21" t="str">
        <f t="shared" si="2"/>
        <v/>
      </c>
      <c r="AZ21" s="40"/>
      <c r="BA21" s="40" t="s">
        <v>590</v>
      </c>
      <c r="BL21" s="47">
        <f t="shared" si="3"/>
        <v>2</v>
      </c>
      <c r="BM21" s="47">
        <f t="shared" si="4"/>
        <v>0</v>
      </c>
      <c r="BN21" s="47">
        <f t="shared" si="5"/>
        <v>0</v>
      </c>
      <c r="BO21" s="47">
        <f t="shared" si="6"/>
        <v>0</v>
      </c>
      <c r="BP21" s="47">
        <f t="shared" si="7"/>
        <v>0</v>
      </c>
      <c r="BQ21" s="48" t="str">
        <f t="shared" si="8"/>
        <v/>
      </c>
      <c r="BR21" s="48" t="str">
        <f t="shared" si="9"/>
        <v/>
      </c>
      <c r="BS21" s="48" t="str">
        <f t="shared" si="10"/>
        <v/>
      </c>
      <c r="BT21" s="47" t="str">
        <f t="shared" si="11"/>
        <v>Rating-based</v>
      </c>
      <c r="CA21" s="47">
        <f t="shared" si="12"/>
        <v>2</v>
      </c>
      <c r="CB21" s="47">
        <f t="shared" si="13"/>
        <v>2</v>
      </c>
      <c r="CC21" s="47" t="str">
        <f t="shared" si="14"/>
        <v>OK</v>
      </c>
      <c r="CD21" s="47" t="str">
        <f t="shared" si="15"/>
        <v>Check: decision relevance missing</v>
      </c>
      <c r="CE21" s="47" t="str">
        <f>IF(AH21="","",IF(OR(AI21&lt;&gt;'Seasonal Tercile Tally'!$B$3,AM21&lt;&gt;'Seasonal Tercile Tally'!$B$4),"Other site/ season",IF(DT21=0,"Excluded: duplicate (later row)",IF(N21&lt;&gt;1,"Excluded: not sighted",IF(AC21&lt;&gt;1,"Excluded: not confirmed",IF(AD21&lt;&gt;1,"Excluded: not approved",IF(AP21="Contested","Excluded: contested",IF(OR(U21="",U21=0),"Excluded: no tercile",IF(CB21="","Counted (simple tally only — no weight)","Counted")))))))))</f>
        <v>Other site/ season</v>
      </c>
      <c r="CF21" s="49">
        <f>IF(AH21="","",IFERROR(INDEX('Prior Multipliers'!$C$6:$C$70,MATCH(LEFT(AH21,10),'Prior Multipliers'!$A$6:$A$70,0)),IFERROR(INDEX('Prior Multipliers'!$C$6:$C$70,MATCH(LEFT(AH21,6),'Prior Multipliers'!$A$6:$A$70,0)),IFERROR(INDEX('Prior Multipliers'!$C$6:$C$70,MATCH(LEFT(AH21,2),'Prior Multipliers'!$A$6:$A$70,0)),1))))</f>
        <v>0.76</v>
      </c>
      <c r="CG21" s="49">
        <f>IF(CB21="","",IF(AND('Seasonal Tercile Tally'!$B$5=1,BT21="Rating-based"),CB21*CF21,CB21))</f>
        <v>2</v>
      </c>
      <c r="CH21" s="49">
        <f t="shared" si="16"/>
        <v>2</v>
      </c>
      <c r="CI21" s="45">
        <v>46223</v>
      </c>
      <c r="CJ21" s="42">
        <f t="shared" si="17"/>
        <v>7</v>
      </c>
      <c r="CL21">
        <v>8</v>
      </c>
      <c r="CM21" s="42">
        <f t="shared" si="18"/>
        <v>-1</v>
      </c>
      <c r="CP21" s="46" t="str">
        <f t="shared" si="19"/>
        <v>STRONG: possible climate-change impact — review</v>
      </c>
      <c r="CS21" s="46" t="str">
        <f t="shared" si="20"/>
        <v/>
      </c>
      <c r="CT21" s="42" t="str">
        <f t="shared" si="21"/>
        <v/>
      </c>
      <c r="CU21" s="42" t="str">
        <f t="shared" si="22"/>
        <v/>
      </c>
      <c r="CV21" s="42" t="str">
        <f t="shared" si="23"/>
        <v/>
      </c>
      <c r="DB21" s="45"/>
      <c r="DH21" s="42" t="str">
        <f t="shared" si="24"/>
        <v/>
      </c>
      <c r="DI21" s="43" t="str">
        <f t="shared" si="25"/>
        <v/>
      </c>
      <c r="DK21" s="46" t="str">
        <f t="shared" si="26"/>
        <v/>
      </c>
      <c r="DQ21" s="42">
        <f>IF(AH21="","",IFERROR(ROUND(100*('Weighting Options'!$D$7*IF(ISNUMBER(CA21),CA21/3,0)+'Weighting Options'!$D$8*MIN(N(BL21),3)/3+'Weighting Options'!$D$9*IF(AP21="Community/Plenary-endorsed",1,IF(AP21="FGD-validated only",0.75,IF(AP21="Sub-community-specific",0.5,IF(AP21="Provisional/emerging",0.25,0))))+'Weighting Options'!$D$10*IF(ISNUMBER(K21),K21/3,0)+'Weighting Options'!$D$11*IF(CC21="",0.5,IF(CC21="OK",1,0.25))+'Weighting Options'!$D$12*IF(DK21="",0.5,IF(DK21="Agrees",1,IF(DK21="Opposite",0,0.5)))+'Weighting Options'!$D$13*MIN(N(BG21),3)/3+'Weighting Options'!$D$14*IF(AE21=1,1,0))/SUM('Weighting Options'!$D$7:$D$14),0),""))</f>
        <v>53</v>
      </c>
      <c r="DR21" s="44">
        <f>IF(AH21="","",IFERROR(INDEX('Weighting Options'!$D$20:$D$27,VALUE(LEFT(TRIM(BU21),1))),1))</f>
        <v>1</v>
      </c>
      <c r="DS21" s="44">
        <f t="shared" si="27"/>
        <v>2</v>
      </c>
      <c r="DT21" s="42">
        <f>IF(AH21="","",IF(COUNTIFS($AH$12:AH21,AH21,$AI$12:AI21,AI21,$AM$12:AM21,AM21)=1,1,0))</f>
        <v>1</v>
      </c>
    </row>
    <row r="22" spans="1:124" ht="12.75" customHeight="1" x14ac:dyDescent="0.35">
      <c r="A22" s="38" t="s">
        <v>565</v>
      </c>
      <c r="B22" s="38" t="s">
        <v>591</v>
      </c>
      <c r="C22" s="38" t="s">
        <v>592</v>
      </c>
      <c r="D22" s="38" t="s">
        <v>593</v>
      </c>
      <c r="E22" s="38" t="s">
        <v>594</v>
      </c>
      <c r="F22" s="38"/>
      <c r="G22" s="38"/>
      <c r="H22" s="38" t="s">
        <v>595</v>
      </c>
      <c r="I22" s="38" t="s">
        <v>596</v>
      </c>
      <c r="J22" s="38">
        <v>3</v>
      </c>
      <c r="K22" s="38">
        <v>2</v>
      </c>
      <c r="L22" s="38">
        <v>3</v>
      </c>
      <c r="M22" s="38">
        <v>3</v>
      </c>
      <c r="N22" s="38">
        <v>1</v>
      </c>
      <c r="O22" s="38" t="s">
        <v>597</v>
      </c>
      <c r="P22" s="50">
        <v>46315</v>
      </c>
      <c r="Q22" s="50">
        <v>46326</v>
      </c>
      <c r="R22" s="50">
        <v>46392</v>
      </c>
      <c r="S22" s="50">
        <v>46407</v>
      </c>
      <c r="T22">
        <v>3</v>
      </c>
      <c r="U22">
        <v>3</v>
      </c>
      <c r="V22">
        <v>3</v>
      </c>
      <c r="W22" s="40" t="s">
        <v>598</v>
      </c>
      <c r="X22" s="40" t="s">
        <v>599</v>
      </c>
      <c r="AB22" s="40" t="s">
        <v>600</v>
      </c>
      <c r="AC22">
        <v>1</v>
      </c>
      <c r="AD22">
        <v>1</v>
      </c>
      <c r="AE22">
        <v>1</v>
      </c>
      <c r="AH22" s="40" t="s">
        <v>567</v>
      </c>
      <c r="AI22" s="40" t="s">
        <v>568</v>
      </c>
      <c r="AJ22" s="40" t="s">
        <v>569</v>
      </c>
      <c r="AK22" s="40" t="s">
        <v>570</v>
      </c>
      <c r="AL22" s="40" t="s">
        <v>571</v>
      </c>
      <c r="AM22" s="40" t="s">
        <v>601</v>
      </c>
      <c r="AO22" s="40" t="s">
        <v>573</v>
      </c>
      <c r="AP22" s="40" t="s">
        <v>574</v>
      </c>
      <c r="AS22" s="41"/>
      <c r="AT22" s="41"/>
      <c r="AW22" t="str">
        <f t="shared" si="0"/>
        <v/>
      </c>
      <c r="AX22" t="str">
        <f t="shared" si="1"/>
        <v/>
      </c>
      <c r="AY22" t="str">
        <f t="shared" si="2"/>
        <v/>
      </c>
      <c r="AZ22" s="40"/>
      <c r="BG22">
        <v>4</v>
      </c>
      <c r="BH22">
        <v>3</v>
      </c>
      <c r="BI22">
        <v>4</v>
      </c>
      <c r="BJ22">
        <v>6</v>
      </c>
      <c r="BK22">
        <v>0</v>
      </c>
      <c r="BL22" s="47">
        <f t="shared" si="3"/>
        <v>4</v>
      </c>
      <c r="BM22" s="47">
        <f t="shared" si="4"/>
        <v>3</v>
      </c>
      <c r="BN22" s="47">
        <f t="shared" si="5"/>
        <v>2</v>
      </c>
      <c r="BO22" s="47">
        <f t="shared" si="6"/>
        <v>1</v>
      </c>
      <c r="BP22" s="47">
        <f t="shared" si="7"/>
        <v>0</v>
      </c>
      <c r="BQ22" s="48">
        <f t="shared" si="8"/>
        <v>0.66666666666666663</v>
      </c>
      <c r="BR22" s="48">
        <f t="shared" si="9"/>
        <v>0.33333333333333331</v>
      </c>
      <c r="BS22" s="48">
        <f t="shared" si="10"/>
        <v>0</v>
      </c>
      <c r="BT22" s="47" t="str">
        <f t="shared" si="11"/>
        <v>Hit-rate-based</v>
      </c>
      <c r="BU22" s="40" t="s">
        <v>602</v>
      </c>
      <c r="BV22" s="40" t="s">
        <v>603</v>
      </c>
      <c r="BW22" s="40" t="s">
        <v>604</v>
      </c>
      <c r="BX22" s="40" t="s">
        <v>605</v>
      </c>
      <c r="BY22" s="40" t="s">
        <v>606</v>
      </c>
      <c r="BZ22" s="40" t="s">
        <v>607</v>
      </c>
      <c r="CA22" s="47">
        <f t="shared" si="12"/>
        <v>2</v>
      </c>
      <c r="CB22" s="47">
        <f t="shared" si="13"/>
        <v>6</v>
      </c>
      <c r="CC22" s="47" t="str">
        <f t="shared" si="14"/>
        <v>OK</v>
      </c>
      <c r="CD22" s="47" t="str">
        <f t="shared" si="15"/>
        <v>DUPLICATE: same ID, site and season</v>
      </c>
      <c r="CE22" s="47" t="str">
        <f>IF(AH22="","",IF(OR(AI22&lt;&gt;'Seasonal Tercile Tally'!$B$3,AM22&lt;&gt;'Seasonal Tercile Tally'!$B$4),"Other site/ season",IF(DT22=0,"Excluded: duplicate (later row)",IF(N22&lt;&gt;1,"Excluded: not sighted",IF(AC22&lt;&gt;1,"Excluded: not confirmed",IF(AD22&lt;&gt;1,"Excluded: not approved",IF(AP22="Contested","Excluded: contested",IF(OR(U22="",U22=0),"Excluded: no tercile",IF(CB22="","Counted (simple tally only — no weight)","Counted")))))))))</f>
        <v>Counted</v>
      </c>
      <c r="CF22" s="49">
        <f>IF(AH22="","",IFERROR(INDEX('Prior Multipliers'!$C$6:$C$70,MATCH(LEFT(AH22,10),'Prior Multipliers'!$A$6:$A$70,0)),IFERROR(INDEX('Prior Multipliers'!$C$6:$C$70,MATCH(LEFT(AH22,6),'Prior Multipliers'!$A$6:$A$70,0)),IFERROR(INDEX('Prior Multipliers'!$C$6:$C$70,MATCH(LEFT(AH22,2),'Prior Multipliers'!$A$6:$A$70,0)),1))))</f>
        <v>1.21</v>
      </c>
      <c r="CG22" s="49">
        <f>IF(CB22="","",IF(AND('Seasonal Tercile Tally'!$B$5=1,BT22="Rating-based"),CB22*CF22,CB22))</f>
        <v>6</v>
      </c>
      <c r="CH22" s="49">
        <f t="shared" si="16"/>
        <v>6</v>
      </c>
      <c r="CI22" s="45">
        <v>46307</v>
      </c>
      <c r="CJ22" s="42">
        <f t="shared" si="17"/>
        <v>10</v>
      </c>
      <c r="CK22" s="40" t="s">
        <v>608</v>
      </c>
      <c r="CL22">
        <v>10</v>
      </c>
      <c r="CM22" s="42">
        <f t="shared" si="18"/>
        <v>0</v>
      </c>
      <c r="CN22" t="s">
        <v>609</v>
      </c>
      <c r="CO22" t="s">
        <v>610</v>
      </c>
      <c r="CP22" s="46" t="str">
        <f t="shared" si="19"/>
        <v>Watch: one change signal</v>
      </c>
      <c r="CQ22">
        <v>3</v>
      </c>
      <c r="CS22" s="46" t="str">
        <f t="shared" si="20"/>
        <v/>
      </c>
      <c r="CT22" s="42" t="str">
        <f t="shared" si="21"/>
        <v/>
      </c>
      <c r="CU22" s="42">
        <f t="shared" si="22"/>
        <v>8</v>
      </c>
      <c r="CV22" s="42" t="str">
        <f t="shared" si="23"/>
        <v>Tactical (1 week–2 months)</v>
      </c>
      <c r="CW22" s="40" t="s">
        <v>611</v>
      </c>
      <c r="CX22" t="s">
        <v>612</v>
      </c>
      <c r="CY22">
        <v>1</v>
      </c>
      <c r="DA22">
        <v>1</v>
      </c>
      <c r="DB22" s="45">
        <v>46309</v>
      </c>
      <c r="DC22" s="40" t="s">
        <v>611</v>
      </c>
      <c r="DD22">
        <v>850</v>
      </c>
      <c r="DE22">
        <v>420</v>
      </c>
      <c r="DF22">
        <v>80</v>
      </c>
      <c r="DG22">
        <v>55</v>
      </c>
      <c r="DH22" s="42">
        <f t="shared" si="24"/>
        <v>6</v>
      </c>
      <c r="DI22" s="43">
        <f t="shared" si="25"/>
        <v>0.49411764705882355</v>
      </c>
      <c r="DJ22">
        <v>3</v>
      </c>
      <c r="DK22" s="46" t="str">
        <f t="shared" si="26"/>
        <v>Agrees</v>
      </c>
      <c r="DL22" t="s">
        <v>613</v>
      </c>
      <c r="DM22">
        <v>0</v>
      </c>
      <c r="DP22" s="40" t="s">
        <v>614</v>
      </c>
      <c r="DQ22" s="42">
        <f>IF(AH22="","",IFERROR(ROUND(100*('Weighting Options'!$D$7*IF(ISNUMBER(CA22),CA22/3,0)+'Weighting Options'!$D$8*MIN(N(BL22),3)/3+'Weighting Options'!$D$9*IF(AP22="Community/Plenary-endorsed",1,IF(AP22="FGD-validated only",0.75,IF(AP22="Sub-community-specific",0.5,IF(AP22="Provisional/emerging",0.25,0))))+'Weighting Options'!$D$10*IF(ISNUMBER(K22),K22/3,0)+'Weighting Options'!$D$11*IF(CC22="",0.5,IF(CC22="OK",1,0.25))+'Weighting Options'!$D$12*IF(DK22="",0.5,IF(DK22="Agrees",1,IF(DK22="Opposite",0,0.5)))+'Weighting Options'!$D$13*MIN(N(BG22),3)/3+'Weighting Options'!$D$14*IF(AE22=1,1,0))/SUM('Weighting Options'!$D$7:$D$14),0),""))</f>
        <v>88</v>
      </c>
      <c r="DR22" s="44">
        <f>IF(AH22="","",IFERROR(INDEX('Weighting Options'!$D$20:$D$27,VALUE(LEFT(TRIM(BU22),1))),1))</f>
        <v>1.5</v>
      </c>
      <c r="DS22" s="44">
        <f t="shared" si="27"/>
        <v>9</v>
      </c>
      <c r="DT22" s="42">
        <f>IF(AH22="","",IF(COUNTIFS($AH$12:AH22,AH22,$AI$12:AI22,AI22,$AM$12:AM22,AM22)=1,1,0))</f>
        <v>1</v>
      </c>
    </row>
    <row r="23" spans="1:124" ht="12.75" customHeight="1" x14ac:dyDescent="0.35">
      <c r="A23" s="38" t="s">
        <v>565</v>
      </c>
      <c r="B23" s="38" t="s">
        <v>615</v>
      </c>
      <c r="C23" s="38" t="s">
        <v>580</v>
      </c>
      <c r="D23" s="38" t="s">
        <v>616</v>
      </c>
      <c r="E23" s="38" t="s">
        <v>617</v>
      </c>
      <c r="F23" s="38"/>
      <c r="G23" s="38"/>
      <c r="H23" s="38" t="s">
        <v>618</v>
      </c>
      <c r="I23" s="38" t="s">
        <v>619</v>
      </c>
      <c r="J23" s="38">
        <v>3</v>
      </c>
      <c r="K23" s="38">
        <v>3</v>
      </c>
      <c r="L23" s="38">
        <v>3</v>
      </c>
      <c r="M23" s="38">
        <v>2</v>
      </c>
      <c r="N23" s="38">
        <v>1</v>
      </c>
      <c r="O23" s="38" t="s">
        <v>620</v>
      </c>
      <c r="P23" s="50">
        <v>46310</v>
      </c>
      <c r="Q23" s="50">
        <v>46326</v>
      </c>
      <c r="R23" s="39"/>
      <c r="S23" s="39"/>
      <c r="T23">
        <v>3</v>
      </c>
      <c r="U23">
        <v>3</v>
      </c>
      <c r="V23">
        <v>3</v>
      </c>
      <c r="W23" s="40" t="s">
        <v>621</v>
      </c>
      <c r="X23" s="40" t="s">
        <v>622</v>
      </c>
      <c r="AC23">
        <v>1</v>
      </c>
      <c r="AD23">
        <v>1</v>
      </c>
      <c r="AE23">
        <v>1</v>
      </c>
      <c r="AH23" s="40" t="s">
        <v>581</v>
      </c>
      <c r="AI23" s="40" t="s">
        <v>568</v>
      </c>
      <c r="AJ23" s="40" t="s">
        <v>569</v>
      </c>
      <c r="AK23" s="40" t="s">
        <v>570</v>
      </c>
      <c r="AL23" s="40" t="s">
        <v>571</v>
      </c>
      <c r="AM23" s="40" t="s">
        <v>601</v>
      </c>
      <c r="AO23" s="40" t="s">
        <v>573</v>
      </c>
      <c r="AP23" s="40" t="s">
        <v>574</v>
      </c>
      <c r="AS23" s="41"/>
      <c r="AT23" s="41"/>
      <c r="AW23" t="str">
        <f t="shared" si="0"/>
        <v/>
      </c>
      <c r="AX23" t="str">
        <f t="shared" si="1"/>
        <v/>
      </c>
      <c r="AY23" t="str">
        <f t="shared" si="2"/>
        <v/>
      </c>
      <c r="AZ23" s="40"/>
      <c r="BG23">
        <v>6</v>
      </c>
      <c r="BH23">
        <v>3</v>
      </c>
      <c r="BI23">
        <v>4</v>
      </c>
      <c r="BJ23">
        <v>6</v>
      </c>
      <c r="BK23">
        <v>1</v>
      </c>
      <c r="BL23" s="47">
        <f t="shared" si="3"/>
        <v>4</v>
      </c>
      <c r="BM23" s="47">
        <f t="shared" si="4"/>
        <v>3</v>
      </c>
      <c r="BN23" s="47">
        <f t="shared" si="5"/>
        <v>3</v>
      </c>
      <c r="BO23" s="47">
        <f t="shared" si="6"/>
        <v>0</v>
      </c>
      <c r="BP23" s="47">
        <f t="shared" si="7"/>
        <v>0</v>
      </c>
      <c r="BQ23" s="48">
        <f t="shared" si="8"/>
        <v>1</v>
      </c>
      <c r="BR23" s="48">
        <f t="shared" si="9"/>
        <v>0</v>
      </c>
      <c r="BS23" s="48">
        <f t="shared" si="10"/>
        <v>0</v>
      </c>
      <c r="BT23" s="47" t="str">
        <f t="shared" si="11"/>
        <v>Hit-rate-based</v>
      </c>
      <c r="BU23" s="40" t="s">
        <v>623</v>
      </c>
      <c r="CA23" s="47">
        <f t="shared" si="12"/>
        <v>3</v>
      </c>
      <c r="CB23" s="47">
        <f t="shared" si="13"/>
        <v>9</v>
      </c>
      <c r="CC23" s="47" t="str">
        <f t="shared" si="14"/>
        <v>OK</v>
      </c>
      <c r="CD23" s="47" t="str">
        <f t="shared" si="15"/>
        <v>OK</v>
      </c>
      <c r="CE23" s="47" t="str">
        <f>IF(AH23="","",IF(OR(AI23&lt;&gt;'Seasonal Tercile Tally'!$B$3,AM23&lt;&gt;'Seasonal Tercile Tally'!$B$4),"Other site/ season",IF(DT23=0,"Excluded: duplicate (later row)",IF(N23&lt;&gt;1,"Excluded: not sighted",IF(AC23&lt;&gt;1,"Excluded: not confirmed",IF(AD23&lt;&gt;1,"Excluded: not approved",IF(AP23="Contested","Excluded: contested",IF(OR(U23="",U23=0),"Excluded: no tercile",IF(CB23="","Counted (simple tally only — no weight)","Counted")))))))))</f>
        <v>Counted</v>
      </c>
      <c r="CF23" s="49">
        <f>IF(AH23="","",IFERROR(INDEX('Prior Multipliers'!$C$6:$C$70,MATCH(LEFT(AH23,10),'Prior Multipliers'!$A$6:$A$70,0)),IFERROR(INDEX('Prior Multipliers'!$C$6:$C$70,MATCH(LEFT(AH23,6),'Prior Multipliers'!$A$6:$A$70,0)),IFERROR(INDEX('Prior Multipliers'!$C$6:$C$70,MATCH(LEFT(AH23,2),'Prior Multipliers'!$A$6:$A$70,0)),1))))</f>
        <v>1.35</v>
      </c>
      <c r="CG23" s="49">
        <f>IF(CB23="","",IF(AND('Seasonal Tercile Tally'!$B$5=1,BT23="Rating-based"),CB23*CF23,CB23))</f>
        <v>9</v>
      </c>
      <c r="CH23" s="49">
        <f t="shared" si="16"/>
        <v>9</v>
      </c>
      <c r="CI23" s="45">
        <v>46280</v>
      </c>
      <c r="CJ23" s="42">
        <f t="shared" si="17"/>
        <v>9</v>
      </c>
      <c r="CK23" s="40" t="s">
        <v>624</v>
      </c>
      <c r="CL23">
        <v>10</v>
      </c>
      <c r="CM23" s="42">
        <f t="shared" si="18"/>
        <v>-1</v>
      </c>
      <c r="CN23" t="s">
        <v>625</v>
      </c>
      <c r="CO23" t="s">
        <v>626</v>
      </c>
      <c r="CP23" s="46" t="str">
        <f t="shared" si="19"/>
        <v>STRONG: possible climate-change impact — review</v>
      </c>
      <c r="CQ23">
        <v>3</v>
      </c>
      <c r="CS23" s="46" t="str">
        <f t="shared" si="20"/>
        <v/>
      </c>
      <c r="CT23" s="42" t="str">
        <f t="shared" si="21"/>
        <v/>
      </c>
      <c r="CU23" s="42">
        <f t="shared" si="22"/>
        <v>30</v>
      </c>
      <c r="CV23" s="42" t="str">
        <f t="shared" si="23"/>
        <v>Tactical (1 week–2 months)</v>
      </c>
      <c r="CW23" s="40" t="s">
        <v>627</v>
      </c>
      <c r="CX23" t="s">
        <v>612</v>
      </c>
      <c r="CY23">
        <v>1</v>
      </c>
      <c r="DA23">
        <v>1</v>
      </c>
      <c r="DB23" s="45">
        <v>46285</v>
      </c>
      <c r="DC23" s="40" t="s">
        <v>628</v>
      </c>
      <c r="DD23">
        <v>1200</v>
      </c>
      <c r="DE23">
        <v>500</v>
      </c>
      <c r="DF23">
        <v>75</v>
      </c>
      <c r="DG23">
        <v>40</v>
      </c>
      <c r="DH23" s="42">
        <f t="shared" si="24"/>
        <v>25</v>
      </c>
      <c r="DI23" s="43">
        <f t="shared" si="25"/>
        <v>0.41666666666666669</v>
      </c>
      <c r="DJ23">
        <v>3</v>
      </c>
      <c r="DK23" s="46" t="str">
        <f t="shared" si="26"/>
        <v>Agrees</v>
      </c>
      <c r="DL23" t="s">
        <v>613</v>
      </c>
      <c r="DM23">
        <v>0</v>
      </c>
      <c r="DQ23" s="42">
        <f>IF(AH23="","",IFERROR(ROUND(100*('Weighting Options'!$D$7*IF(ISNUMBER(CA23),CA23/3,0)+'Weighting Options'!$D$8*MIN(N(BL23),3)/3+'Weighting Options'!$D$9*IF(AP23="Community/Plenary-endorsed",1,IF(AP23="FGD-validated only",0.75,IF(AP23="Sub-community-specific",0.5,IF(AP23="Provisional/emerging",0.25,0))))+'Weighting Options'!$D$10*IF(ISNUMBER(K23),K23/3,0)+'Weighting Options'!$D$11*IF(CC23="",0.5,IF(CC23="OK",1,0.25))+'Weighting Options'!$D$12*IF(DK23="",0.5,IF(DK23="Agrees",1,IF(DK23="Opposite",0,0.5)))+'Weighting Options'!$D$13*MIN(N(BG23),3)/3+'Weighting Options'!$D$14*IF(AE23=1,1,0))/SUM('Weighting Options'!$D$7:$D$14),0),""))</f>
        <v>100</v>
      </c>
      <c r="DR23" s="44">
        <f>IF(AH23="","",IFERROR(INDEX('Weighting Options'!$D$20:$D$27,VALUE(LEFT(TRIM(BU23),1))),1))</f>
        <v>1.5</v>
      </c>
      <c r="DS23" s="44">
        <f t="shared" si="27"/>
        <v>13.5</v>
      </c>
      <c r="DT23" s="42">
        <f>IF(AH23="","",IF(COUNTIFS($AH$12:AH23,AH23,$AI$12:AI23,AI23,$AM$12:AM23,AM23)=1,1,0))</f>
        <v>1</v>
      </c>
    </row>
    <row r="24" spans="1:124" ht="12.75" customHeight="1" x14ac:dyDescent="0.35">
      <c r="A24" s="38" t="s">
        <v>629</v>
      </c>
      <c r="B24" s="38" t="s">
        <v>630</v>
      </c>
      <c r="C24" s="38" t="s">
        <v>631</v>
      </c>
      <c r="D24" s="38"/>
      <c r="E24" s="38" t="s">
        <v>632</v>
      </c>
      <c r="F24" s="38"/>
      <c r="G24" s="38"/>
      <c r="H24" s="38" t="s">
        <v>633</v>
      </c>
      <c r="I24" s="38"/>
      <c r="J24" s="38"/>
      <c r="K24" s="38">
        <v>2</v>
      </c>
      <c r="L24" s="38">
        <v>2</v>
      </c>
      <c r="M24" s="38">
        <v>2</v>
      </c>
      <c r="N24" s="38">
        <v>1</v>
      </c>
      <c r="O24" s="38"/>
      <c r="P24" s="50">
        <v>46320</v>
      </c>
      <c r="Q24" s="50">
        <v>46336</v>
      </c>
      <c r="R24" s="39"/>
      <c r="S24" s="39"/>
      <c r="T24">
        <v>2</v>
      </c>
      <c r="U24">
        <v>2</v>
      </c>
      <c r="V24">
        <v>2</v>
      </c>
      <c r="AC24">
        <v>1</v>
      </c>
      <c r="AD24">
        <v>1</v>
      </c>
      <c r="AH24" s="40" t="s">
        <v>634</v>
      </c>
      <c r="AI24" s="40" t="s">
        <v>568</v>
      </c>
      <c r="AJ24" s="40" t="s">
        <v>569</v>
      </c>
      <c r="AK24" s="40" t="s">
        <v>570</v>
      </c>
      <c r="AL24" s="40" t="s">
        <v>571</v>
      </c>
      <c r="AM24" s="40" t="s">
        <v>601</v>
      </c>
      <c r="AO24" s="40" t="s">
        <v>573</v>
      </c>
      <c r="AP24" s="40" t="s">
        <v>589</v>
      </c>
      <c r="AS24" s="41"/>
      <c r="AT24" s="41"/>
      <c r="AW24" t="str">
        <f t="shared" si="0"/>
        <v/>
      </c>
      <c r="AX24" t="str">
        <f t="shared" si="1"/>
        <v/>
      </c>
      <c r="AY24" t="str">
        <f t="shared" si="2"/>
        <v/>
      </c>
      <c r="AZ24" s="40"/>
      <c r="BG24">
        <v>2</v>
      </c>
      <c r="BL24" s="47">
        <f t="shared" si="3"/>
        <v>1</v>
      </c>
      <c r="BM24" s="47">
        <f t="shared" si="4"/>
        <v>0</v>
      </c>
      <c r="BN24" s="47">
        <f t="shared" si="5"/>
        <v>0</v>
      </c>
      <c r="BO24" s="47">
        <f t="shared" si="6"/>
        <v>0</v>
      </c>
      <c r="BP24" s="47">
        <f t="shared" si="7"/>
        <v>0</v>
      </c>
      <c r="BQ24" s="48" t="str">
        <f t="shared" si="8"/>
        <v/>
      </c>
      <c r="BR24" s="48" t="str">
        <f t="shared" si="9"/>
        <v/>
      </c>
      <c r="BS24" s="48" t="str">
        <f t="shared" si="10"/>
        <v/>
      </c>
      <c r="BT24" s="47" t="str">
        <f t="shared" si="11"/>
        <v>Rating-based</v>
      </c>
      <c r="BU24" s="40" t="s">
        <v>635</v>
      </c>
      <c r="CA24" s="47">
        <f t="shared" si="12"/>
        <v>2</v>
      </c>
      <c r="CB24" s="47">
        <f t="shared" si="13"/>
        <v>4</v>
      </c>
      <c r="CC24" s="47" t="str">
        <f t="shared" si="14"/>
        <v>OK</v>
      </c>
      <c r="CD24" s="47" t="str">
        <f t="shared" si="15"/>
        <v>OK</v>
      </c>
      <c r="CE24" s="47" t="str">
        <f>IF(AH24="","",IF(OR(AI24&lt;&gt;'Seasonal Tercile Tally'!$B$3,AM24&lt;&gt;'Seasonal Tercile Tally'!$B$4),"Other site/ season",IF(DT24=0,"Excluded: duplicate (later row)",IF(N24&lt;&gt;1,"Excluded: not sighted",IF(AC24&lt;&gt;1,"Excluded: not confirmed",IF(AD24&lt;&gt;1,"Excluded: not approved",IF(AP24="Contested","Excluded: contested",IF(OR(U24="",U24=0),"Excluded: no tercile",IF(CB24="","Counted (simple tally only — no weight)","Counted")))))))))</f>
        <v>Counted</v>
      </c>
      <c r="CF24" s="49">
        <f>IF(AH24="","",IFERROR(INDEX('Prior Multipliers'!$C$6:$C$70,MATCH(LEFT(AH24,10),'Prior Multipliers'!$A$6:$A$70,0)),IFERROR(INDEX('Prior Multipliers'!$C$6:$C$70,MATCH(LEFT(AH24,6),'Prior Multipliers'!$A$6:$A$70,0)),IFERROR(INDEX('Prior Multipliers'!$C$6:$C$70,MATCH(LEFT(AH24,2),'Prior Multipliers'!$A$6:$A$70,0)),1))))</f>
        <v>1.21</v>
      </c>
      <c r="CG24" s="49">
        <f>IF(CB24="","",IF(AND('Seasonal Tercile Tally'!$B$5=1,BT24="Rating-based"),CB24*CF24,CB24))</f>
        <v>4</v>
      </c>
      <c r="CH24" s="49">
        <f t="shared" si="16"/>
        <v>4</v>
      </c>
      <c r="CI24" s="45">
        <v>46296</v>
      </c>
      <c r="CJ24" s="42">
        <f t="shared" si="17"/>
        <v>10</v>
      </c>
      <c r="CL24">
        <v>10</v>
      </c>
      <c r="CM24" s="42">
        <f t="shared" si="18"/>
        <v>0</v>
      </c>
      <c r="CN24" t="s">
        <v>636</v>
      </c>
      <c r="CP24" s="46" t="str">
        <f t="shared" si="19"/>
        <v>No change signal</v>
      </c>
      <c r="CQ24">
        <v>2</v>
      </c>
      <c r="CS24" s="46" t="str">
        <f t="shared" si="20"/>
        <v/>
      </c>
      <c r="CT24" s="42" t="str">
        <f t="shared" si="21"/>
        <v/>
      </c>
      <c r="CU24" s="42">
        <f t="shared" si="22"/>
        <v>24</v>
      </c>
      <c r="CV24" s="42" t="str">
        <f t="shared" si="23"/>
        <v>Tactical (1 week–2 months)</v>
      </c>
      <c r="DB24" s="45"/>
      <c r="DH24" s="42" t="str">
        <f t="shared" si="24"/>
        <v/>
      </c>
      <c r="DI24" s="43" t="str">
        <f t="shared" si="25"/>
        <v/>
      </c>
      <c r="DJ24">
        <v>3</v>
      </c>
      <c r="DK24" s="46" t="str">
        <f t="shared" si="26"/>
        <v>Differs by one class</v>
      </c>
      <c r="DL24" t="s">
        <v>613</v>
      </c>
      <c r="DM24">
        <v>0</v>
      </c>
      <c r="DQ24" s="42">
        <f>IF(AH24="","",IFERROR(ROUND(100*('Weighting Options'!$D$7*IF(ISNUMBER(CA24),CA24/3,0)+'Weighting Options'!$D$8*MIN(N(BL24),3)/3+'Weighting Options'!$D$9*IF(AP24="Community/Plenary-endorsed",1,IF(AP24="FGD-validated only",0.75,IF(AP24="Sub-community-specific",0.5,IF(AP24="Provisional/emerging",0.25,0))))+'Weighting Options'!$D$10*IF(ISNUMBER(K24),K24/3,0)+'Weighting Options'!$D$11*IF(CC24="",0.5,IF(CC24="OK",1,0.25))+'Weighting Options'!$D$12*IF(DK24="",0.5,IF(DK24="Agrees",1,IF(DK24="Opposite",0,0.5)))+'Weighting Options'!$D$13*MIN(N(BG24),3)/3+'Weighting Options'!$D$14*IF(AE24=1,1,0))/SUM('Weighting Options'!$D$7:$D$14),0),""))</f>
        <v>58</v>
      </c>
      <c r="DR24" s="44">
        <f>IF(AH24="","",IFERROR(INDEX('Weighting Options'!$D$20:$D$27,VALUE(LEFT(TRIM(BU24),1))),1))</f>
        <v>1</v>
      </c>
      <c r="DS24" s="44">
        <f t="shared" si="27"/>
        <v>4</v>
      </c>
      <c r="DT24" s="42">
        <f>IF(AH24="","",IF(COUNTIFS($AH$12:AH24,AH24,$AI$12:AI24,AI24,$AM$12:AM24,AM24)=1,1,0))</f>
        <v>1</v>
      </c>
    </row>
    <row r="25" spans="1:124" ht="12.75" customHeight="1" x14ac:dyDescent="0.35">
      <c r="A25" s="38" t="s">
        <v>582</v>
      </c>
      <c r="B25" s="38" t="s">
        <v>637</v>
      </c>
      <c r="C25" s="38" t="s">
        <v>583</v>
      </c>
      <c r="D25" s="38"/>
      <c r="E25" s="38" t="s">
        <v>638</v>
      </c>
      <c r="F25" s="38"/>
      <c r="G25" s="38"/>
      <c r="H25" s="38" t="s">
        <v>633</v>
      </c>
      <c r="I25" s="38"/>
      <c r="J25" s="38">
        <v>3</v>
      </c>
      <c r="K25" s="38">
        <v>3</v>
      </c>
      <c r="L25" s="38">
        <v>3</v>
      </c>
      <c r="M25" s="38">
        <v>3</v>
      </c>
      <c r="N25" s="38">
        <v>1</v>
      </c>
      <c r="O25" s="38"/>
      <c r="P25" s="50">
        <v>46327</v>
      </c>
      <c r="Q25" s="50">
        <v>46341</v>
      </c>
      <c r="R25" s="39"/>
      <c r="S25" s="39"/>
      <c r="T25">
        <v>1</v>
      </c>
      <c r="U25">
        <v>1</v>
      </c>
      <c r="V25">
        <v>3</v>
      </c>
      <c r="AC25">
        <v>1</v>
      </c>
      <c r="AD25">
        <v>1</v>
      </c>
      <c r="AH25" s="40" t="s">
        <v>584</v>
      </c>
      <c r="AI25" s="40" t="s">
        <v>568</v>
      </c>
      <c r="AJ25" s="40" t="s">
        <v>569</v>
      </c>
      <c r="AK25" s="40" t="s">
        <v>570</v>
      </c>
      <c r="AL25" s="40" t="s">
        <v>571</v>
      </c>
      <c r="AM25" s="40" t="s">
        <v>601</v>
      </c>
      <c r="AO25" s="40" t="s">
        <v>573</v>
      </c>
      <c r="AP25" s="40" t="s">
        <v>574</v>
      </c>
      <c r="AS25" s="41"/>
      <c r="AT25" s="41"/>
      <c r="AW25" t="str">
        <f t="shared" si="0"/>
        <v/>
      </c>
      <c r="AX25" t="str">
        <f t="shared" si="1"/>
        <v/>
      </c>
      <c r="AY25" t="str">
        <f t="shared" si="2"/>
        <v/>
      </c>
      <c r="AZ25" s="40"/>
      <c r="BG25">
        <v>3</v>
      </c>
      <c r="BL25" s="47">
        <f t="shared" si="3"/>
        <v>4</v>
      </c>
      <c r="BM25" s="47">
        <f t="shared" si="4"/>
        <v>3</v>
      </c>
      <c r="BN25" s="47">
        <f t="shared" si="5"/>
        <v>1</v>
      </c>
      <c r="BO25" s="47">
        <f t="shared" si="6"/>
        <v>2</v>
      </c>
      <c r="BP25" s="47">
        <f t="shared" si="7"/>
        <v>0</v>
      </c>
      <c r="BQ25" s="48">
        <f t="shared" si="8"/>
        <v>0.33333333333333331</v>
      </c>
      <c r="BR25" s="48">
        <f t="shared" si="9"/>
        <v>0.66666666666666663</v>
      </c>
      <c r="BS25" s="48">
        <f t="shared" si="10"/>
        <v>0</v>
      </c>
      <c r="BT25" s="47" t="str">
        <f t="shared" si="11"/>
        <v>Hit-rate-based</v>
      </c>
      <c r="BU25" s="40" t="s">
        <v>639</v>
      </c>
      <c r="CA25" s="47">
        <f t="shared" si="12"/>
        <v>1</v>
      </c>
      <c r="CB25" s="47">
        <f t="shared" si="13"/>
        <v>3</v>
      </c>
      <c r="CC25" s="47" t="str">
        <f t="shared" si="14"/>
        <v>OK</v>
      </c>
      <c r="CD25" s="47" t="str">
        <f t="shared" si="15"/>
        <v>OK</v>
      </c>
      <c r="CE25" s="47" t="str">
        <f>IF(AH25="","",IF(OR(AI25&lt;&gt;'Seasonal Tercile Tally'!$B$3,AM25&lt;&gt;'Seasonal Tercile Tally'!$B$4),"Other site/ season",IF(DT25=0,"Excluded: duplicate (later row)",IF(N25&lt;&gt;1,"Excluded: not sighted",IF(AC25&lt;&gt;1,"Excluded: not confirmed",IF(AD25&lt;&gt;1,"Excluded: not approved",IF(AP25="Contested","Excluded: contested",IF(OR(U25="",U25=0),"Excluded: no tercile",IF(CB25="","Counted (simple tally only — no weight)","Counted")))))))))</f>
        <v>Counted</v>
      </c>
      <c r="CF25" s="49">
        <f>IF(AH25="","",IFERROR(INDEX('Prior Multipliers'!$C$6:$C$70,MATCH(LEFT(AH25,10),'Prior Multipliers'!$A$6:$A$70,0)),IFERROR(INDEX('Prior Multipliers'!$C$6:$C$70,MATCH(LEFT(AH25,6),'Prior Multipliers'!$A$6:$A$70,0)),IFERROR(INDEX('Prior Multipliers'!$C$6:$C$70,MATCH(LEFT(AH25,2),'Prior Multipliers'!$A$6:$A$70,0)),1))))</f>
        <v>1.33</v>
      </c>
      <c r="CG25" s="49">
        <f>IF(CB25="","",IF(AND('Seasonal Tercile Tally'!$B$5=1,BT25="Rating-based"),CB25*CF25,CB25))</f>
        <v>3</v>
      </c>
      <c r="CH25" s="49">
        <f t="shared" si="16"/>
        <v>3</v>
      </c>
      <c r="CI25" s="45">
        <v>46270</v>
      </c>
      <c r="CJ25" s="42">
        <f t="shared" si="17"/>
        <v>9</v>
      </c>
      <c r="CL25">
        <v>9</v>
      </c>
      <c r="CM25" s="42">
        <f t="shared" si="18"/>
        <v>0</v>
      </c>
      <c r="CN25" t="s">
        <v>640</v>
      </c>
      <c r="CO25" t="s">
        <v>641</v>
      </c>
      <c r="CP25" s="46" t="str">
        <f t="shared" si="19"/>
        <v>STRONG: possible climate-change impact — review</v>
      </c>
      <c r="CQ25">
        <v>1</v>
      </c>
      <c r="CS25" s="46" t="str">
        <f t="shared" si="20"/>
        <v/>
      </c>
      <c r="CT25" s="42" t="str">
        <f t="shared" si="21"/>
        <v/>
      </c>
      <c r="CU25" s="42">
        <f t="shared" si="22"/>
        <v>57</v>
      </c>
      <c r="CV25" s="42" t="str">
        <f t="shared" si="23"/>
        <v>Tactical (1 week–2 months)</v>
      </c>
      <c r="DB25" s="45"/>
      <c r="DH25" s="42" t="str">
        <f t="shared" si="24"/>
        <v/>
      </c>
      <c r="DI25" s="43" t="str">
        <f t="shared" si="25"/>
        <v/>
      </c>
      <c r="DJ25">
        <v>3</v>
      </c>
      <c r="DK25" s="46" t="str">
        <f t="shared" si="26"/>
        <v>Opposite</v>
      </c>
      <c r="DL25" t="s">
        <v>613</v>
      </c>
      <c r="DM25">
        <v>0</v>
      </c>
      <c r="DQ25" s="42">
        <f>IF(AH25="","",IFERROR(ROUND(100*('Weighting Options'!$D$7*IF(ISNUMBER(CA25),CA25/3,0)+'Weighting Options'!$D$8*MIN(N(BL25),3)/3+'Weighting Options'!$D$9*IF(AP25="Community/Plenary-endorsed",1,IF(AP25="FGD-validated only",0.75,IF(AP25="Sub-community-specific",0.5,IF(AP25="Provisional/emerging",0.25,0))))+'Weighting Options'!$D$10*IF(ISNUMBER(K25),K25/3,0)+'Weighting Options'!$D$11*IF(CC25="",0.5,IF(CC25="OK",1,0.25))+'Weighting Options'!$D$12*IF(DK25="",0.5,IF(DK25="Agrees",1,IF(DK25="Opposite",0,0.5)))+'Weighting Options'!$D$13*MIN(N(BG25),3)/3+'Weighting Options'!$D$14*IF(AE25=1,1,0))/SUM('Weighting Options'!$D$7:$D$14),0),""))</f>
        <v>63</v>
      </c>
      <c r="DR25" s="44">
        <f>IF(AH25="","",IFERROR(INDEX('Weighting Options'!$D$20:$D$27,VALUE(LEFT(TRIM(BU25),1))),1))</f>
        <v>1.5</v>
      </c>
      <c r="DS25" s="44">
        <f t="shared" si="27"/>
        <v>4.5</v>
      </c>
      <c r="DT25" s="42">
        <f>IF(AH25="","",IF(COUNTIFS($AH$12:AH25,AH25,$AI$12:AI25,AI25,$AM$12:AM25,AM25)=1,1,0))</f>
        <v>1</v>
      </c>
    </row>
    <row r="26" spans="1:124" ht="12.75" customHeight="1" x14ac:dyDescent="0.35">
      <c r="A26" s="38" t="s">
        <v>585</v>
      </c>
      <c r="B26" s="38" t="s">
        <v>642</v>
      </c>
      <c r="C26" s="38" t="s">
        <v>586</v>
      </c>
      <c r="D26" s="38"/>
      <c r="E26" s="38" t="s">
        <v>643</v>
      </c>
      <c r="F26" s="38"/>
      <c r="G26" s="38"/>
      <c r="H26" s="38" t="s">
        <v>644</v>
      </c>
      <c r="I26" s="38"/>
      <c r="J26" s="38">
        <v>3</v>
      </c>
      <c r="K26" s="38">
        <v>3</v>
      </c>
      <c r="L26" s="38">
        <v>3</v>
      </c>
      <c r="M26" s="38">
        <v>2</v>
      </c>
      <c r="N26" s="38">
        <v>1</v>
      </c>
      <c r="O26" s="38"/>
      <c r="P26" s="50">
        <v>46331</v>
      </c>
      <c r="Q26" s="50">
        <v>46346</v>
      </c>
      <c r="R26" s="39"/>
      <c r="S26" s="39"/>
      <c r="T26">
        <v>1</v>
      </c>
      <c r="U26">
        <v>1</v>
      </c>
      <c r="V26">
        <v>3</v>
      </c>
      <c r="W26" s="40" t="s">
        <v>645</v>
      </c>
      <c r="X26" s="40" t="s">
        <v>646</v>
      </c>
      <c r="AC26">
        <v>1</v>
      </c>
      <c r="AD26">
        <v>1</v>
      </c>
      <c r="AE26">
        <v>0</v>
      </c>
      <c r="AH26" s="40" t="s">
        <v>587</v>
      </c>
      <c r="AI26" s="40" t="s">
        <v>568</v>
      </c>
      <c r="AJ26" s="40" t="s">
        <v>569</v>
      </c>
      <c r="AK26" s="40" t="s">
        <v>570</v>
      </c>
      <c r="AL26" s="40" t="s">
        <v>571</v>
      </c>
      <c r="AM26" s="40" t="s">
        <v>601</v>
      </c>
      <c r="AO26" s="40" t="s">
        <v>573</v>
      </c>
      <c r="AP26" s="40" t="s">
        <v>589</v>
      </c>
      <c r="AR26" s="40" t="s">
        <v>647</v>
      </c>
      <c r="AS26" s="41"/>
      <c r="AT26" s="41"/>
      <c r="AW26" t="str">
        <f t="shared" si="0"/>
        <v/>
      </c>
      <c r="AX26" t="str">
        <f t="shared" si="1"/>
        <v/>
      </c>
      <c r="AY26" t="str">
        <f t="shared" si="2"/>
        <v/>
      </c>
      <c r="AZ26" s="40"/>
      <c r="BG26">
        <v>3</v>
      </c>
      <c r="BL26" s="47">
        <f t="shared" si="3"/>
        <v>2</v>
      </c>
      <c r="BM26" s="47">
        <f t="shared" si="4"/>
        <v>0</v>
      </c>
      <c r="BN26" s="47">
        <f t="shared" si="5"/>
        <v>0</v>
      </c>
      <c r="BO26" s="47">
        <f t="shared" si="6"/>
        <v>0</v>
      </c>
      <c r="BP26" s="47">
        <f t="shared" si="7"/>
        <v>0</v>
      </c>
      <c r="BQ26" s="48" t="str">
        <f t="shared" si="8"/>
        <v/>
      </c>
      <c r="BR26" s="48" t="str">
        <f t="shared" si="9"/>
        <v/>
      </c>
      <c r="BS26" s="48" t="str">
        <f t="shared" si="10"/>
        <v/>
      </c>
      <c r="BT26" s="47" t="str">
        <f t="shared" si="11"/>
        <v>Rating-based</v>
      </c>
      <c r="BU26" s="40" t="s">
        <v>639</v>
      </c>
      <c r="BV26" s="40" t="s">
        <v>648</v>
      </c>
      <c r="BZ26" s="40" t="s">
        <v>649</v>
      </c>
      <c r="CA26" s="47">
        <f t="shared" si="12"/>
        <v>2</v>
      </c>
      <c r="CB26" s="47">
        <f t="shared" si="13"/>
        <v>6</v>
      </c>
      <c r="CC26" s="47" t="str">
        <f t="shared" si="14"/>
        <v>OK</v>
      </c>
      <c r="CD26" s="47" t="str">
        <f t="shared" si="15"/>
        <v>OK</v>
      </c>
      <c r="CE26" s="47" t="str">
        <f>IF(AH26="","",IF(OR(AI26&lt;&gt;'Seasonal Tercile Tally'!$B$3,AM26&lt;&gt;'Seasonal Tercile Tally'!$B$4),"Other site/ season",IF(DT26=0,"Excluded: duplicate (later row)",IF(N26&lt;&gt;1,"Excluded: not sighted",IF(AC26&lt;&gt;1,"Excluded: not confirmed",IF(AD26&lt;&gt;1,"Excluded: not approved",IF(AP26="Contested","Excluded: contested",IF(OR(U26="",U26=0),"Excluded: no tercile",IF(CB26="","Counted (simple tally only — no weight)","Counted")))))))))</f>
        <v>Counted</v>
      </c>
      <c r="CF26" s="49">
        <f>IF(AH26="","",IFERROR(INDEX('Prior Multipliers'!$C$6:$C$70,MATCH(LEFT(AH26,10),'Prior Multipliers'!$A$6:$A$70,0)),IFERROR(INDEX('Prior Multipliers'!$C$6:$C$70,MATCH(LEFT(AH26,6),'Prior Multipliers'!$A$6:$A$70,0)),IFERROR(INDEX('Prior Multipliers'!$C$6:$C$70,MATCH(LEFT(AH26,2),'Prior Multipliers'!$A$6:$A$70,0)),1))))</f>
        <v>0.76</v>
      </c>
      <c r="CG26" s="49">
        <f>IF(CB26="","",IF(AND('Seasonal Tercile Tally'!$B$5=1,BT26="Rating-based"),CB26*CF26,CB26))</f>
        <v>6</v>
      </c>
      <c r="CH26" s="49">
        <f t="shared" si="16"/>
        <v>6</v>
      </c>
      <c r="CI26" s="45">
        <v>46259</v>
      </c>
      <c r="CJ26" s="42">
        <f t="shared" si="17"/>
        <v>8</v>
      </c>
      <c r="CL26">
        <v>8</v>
      </c>
      <c r="CM26" s="42">
        <f t="shared" si="18"/>
        <v>0</v>
      </c>
      <c r="CN26" t="s">
        <v>609</v>
      </c>
      <c r="CO26" t="s">
        <v>650</v>
      </c>
      <c r="CP26" s="46" t="str">
        <f t="shared" si="19"/>
        <v>STRONG: possible climate-change impact — review</v>
      </c>
      <c r="CQ26">
        <v>1</v>
      </c>
      <c r="CS26" s="46" t="str">
        <f t="shared" si="20"/>
        <v/>
      </c>
      <c r="CT26" s="42" t="str">
        <f t="shared" si="21"/>
        <v/>
      </c>
      <c r="CU26" s="42">
        <f t="shared" si="22"/>
        <v>72</v>
      </c>
      <c r="CV26" s="42" t="str">
        <f t="shared" si="23"/>
        <v>Strategic (season)</v>
      </c>
      <c r="CW26" s="40" t="s">
        <v>651</v>
      </c>
      <c r="CX26" t="s">
        <v>612</v>
      </c>
      <c r="CY26">
        <v>0</v>
      </c>
      <c r="DB26" s="45"/>
      <c r="DH26" s="42" t="str">
        <f t="shared" si="24"/>
        <v/>
      </c>
      <c r="DI26" s="43" t="str">
        <f t="shared" si="25"/>
        <v/>
      </c>
      <c r="DJ26">
        <v>3</v>
      </c>
      <c r="DK26" s="46" t="str">
        <f t="shared" si="26"/>
        <v>Opposite</v>
      </c>
      <c r="DL26" t="s">
        <v>613</v>
      </c>
      <c r="DM26">
        <v>1</v>
      </c>
      <c r="DN26" s="40" t="s">
        <v>652</v>
      </c>
      <c r="DO26">
        <v>1</v>
      </c>
      <c r="DQ26" s="42">
        <f>IF(AH26="","",IFERROR(ROUND(100*('Weighting Options'!$D$7*IF(ISNUMBER(CA26),CA26/3,0)+'Weighting Options'!$D$8*MIN(N(BL26),3)/3+'Weighting Options'!$D$9*IF(AP26="Community/Plenary-endorsed",1,IF(AP26="FGD-validated only",0.75,IF(AP26="Sub-community-specific",0.5,IF(AP26="Provisional/emerging",0.25,0))))+'Weighting Options'!$D$10*IF(ISNUMBER(K26),K26/3,0)+'Weighting Options'!$D$11*IF(CC26="",0.5,IF(CC26="OK",1,0.25))+'Weighting Options'!$D$12*IF(DK26="",0.5,IF(DK26="Agrees",1,IF(DK26="Opposite",0,0.5)))+'Weighting Options'!$D$13*MIN(N(BG26),3)/3+'Weighting Options'!$D$14*IF(AE26=1,1,0))/SUM('Weighting Options'!$D$7:$D$14),0),""))</f>
        <v>63</v>
      </c>
      <c r="DR26" s="44">
        <f>IF(AH26="","",IFERROR(INDEX('Weighting Options'!$D$20:$D$27,VALUE(LEFT(TRIM(BU26),1))),1))</f>
        <v>1.5</v>
      </c>
      <c r="DS26" s="44">
        <f t="shared" si="27"/>
        <v>9</v>
      </c>
      <c r="DT26" s="42">
        <f>IF(AH26="","",IF(COUNTIFS($AH$12:AH26,AH26,$AI$12:AI26,AI26,$AM$12:AM26,AM26)=1,1,0))</f>
        <v>1</v>
      </c>
    </row>
    <row r="27" spans="1:124" ht="12.75" customHeight="1" x14ac:dyDescent="0.35">
      <c r="A27" s="38" t="s">
        <v>565</v>
      </c>
      <c r="B27" s="38" t="s">
        <v>653</v>
      </c>
      <c r="C27" s="38" t="s">
        <v>654</v>
      </c>
      <c r="D27" s="38"/>
      <c r="E27" s="38" t="s">
        <v>655</v>
      </c>
      <c r="F27" s="38"/>
      <c r="G27" s="38"/>
      <c r="H27" s="38"/>
      <c r="I27" s="38"/>
      <c r="J27" s="38"/>
      <c r="K27" s="38">
        <v>1</v>
      </c>
      <c r="L27" s="38">
        <v>2</v>
      </c>
      <c r="M27" s="38">
        <v>2</v>
      </c>
      <c r="N27" s="38">
        <v>1</v>
      </c>
      <c r="O27" s="38"/>
      <c r="P27" s="50">
        <v>46313</v>
      </c>
      <c r="Q27" s="50">
        <v>46317</v>
      </c>
      <c r="R27" s="39"/>
      <c r="S27" s="39"/>
      <c r="T27">
        <v>2</v>
      </c>
      <c r="U27">
        <v>3</v>
      </c>
      <c r="V27">
        <v>1</v>
      </c>
      <c r="AC27">
        <v>1</v>
      </c>
      <c r="AD27">
        <v>1</v>
      </c>
      <c r="AH27" s="40" t="s">
        <v>656</v>
      </c>
      <c r="AI27" s="40" t="s">
        <v>568</v>
      </c>
      <c r="AJ27" s="40" t="s">
        <v>569</v>
      </c>
      <c r="AK27" s="40" t="s">
        <v>570</v>
      </c>
      <c r="AL27" s="40" t="s">
        <v>571</v>
      </c>
      <c r="AM27" s="40" t="s">
        <v>601</v>
      </c>
      <c r="AO27" s="40" t="s">
        <v>573</v>
      </c>
      <c r="AP27" s="40" t="s">
        <v>574</v>
      </c>
      <c r="AS27" s="41"/>
      <c r="AT27" s="41"/>
      <c r="AW27" t="str">
        <f t="shared" si="0"/>
        <v/>
      </c>
      <c r="AX27" t="str">
        <f t="shared" si="1"/>
        <v/>
      </c>
      <c r="AY27" t="str">
        <f t="shared" si="2"/>
        <v/>
      </c>
      <c r="AZ27" s="40"/>
      <c r="BG27">
        <v>2</v>
      </c>
      <c r="BL27" s="47">
        <f t="shared" si="3"/>
        <v>1</v>
      </c>
      <c r="BM27" s="47">
        <f t="shared" si="4"/>
        <v>0</v>
      </c>
      <c r="BN27" s="47">
        <f t="shared" si="5"/>
        <v>0</v>
      </c>
      <c r="BO27" s="47">
        <f t="shared" si="6"/>
        <v>0</v>
      </c>
      <c r="BP27" s="47">
        <f t="shared" si="7"/>
        <v>0</v>
      </c>
      <c r="BQ27" s="48" t="str">
        <f t="shared" si="8"/>
        <v/>
      </c>
      <c r="BR27" s="48" t="str">
        <f t="shared" si="9"/>
        <v/>
      </c>
      <c r="BS27" s="48" t="str">
        <f t="shared" si="10"/>
        <v/>
      </c>
      <c r="BT27" s="47" t="str">
        <f t="shared" si="11"/>
        <v>Rating-based</v>
      </c>
      <c r="BU27" s="40" t="s">
        <v>623</v>
      </c>
      <c r="CA27" s="47">
        <f t="shared" si="12"/>
        <v>2</v>
      </c>
      <c r="CB27" s="47">
        <f t="shared" si="13"/>
        <v>2</v>
      </c>
      <c r="CC27" s="47" t="str">
        <f t="shared" si="14"/>
        <v>OK</v>
      </c>
      <c r="CD27" s="47" t="str">
        <f t="shared" si="15"/>
        <v>OK</v>
      </c>
      <c r="CE27" s="47" t="str">
        <f>IF(AH27="","",IF(OR(AI27&lt;&gt;'Seasonal Tercile Tally'!$B$3,AM27&lt;&gt;'Seasonal Tercile Tally'!$B$4),"Other site/ season",IF(DT27=0,"Excluded: duplicate (later row)",IF(N27&lt;&gt;1,"Excluded: not sighted",IF(AC27&lt;&gt;1,"Excluded: not confirmed",IF(AD27&lt;&gt;1,"Excluded: not approved",IF(AP27="Contested","Excluded: contested",IF(OR(U27="",U27=0),"Excluded: no tercile",IF(CB27="","Counted (simple tally only — no weight)","Counted")))))))))</f>
        <v>Counted</v>
      </c>
      <c r="CF27" s="49">
        <f>IF(AH27="","",IFERROR(INDEX('Prior Multipliers'!$C$6:$C$70,MATCH(LEFT(AH27,10),'Prior Multipliers'!$A$6:$A$70,0)),IFERROR(INDEX('Prior Multipliers'!$C$6:$C$70,MATCH(LEFT(AH27,6),'Prior Multipliers'!$A$6:$A$70,0)),IFERROR(INDEX('Prior Multipliers'!$C$6:$C$70,MATCH(LEFT(AH27,2),'Prior Multipliers'!$A$6:$A$70,0)),1))))</f>
        <v>1.21</v>
      </c>
      <c r="CG27" s="49">
        <f>IF(CB27="","",IF(AND('Seasonal Tercile Tally'!$B$5=1,BT27="Rating-based"),CB27*CF27,CB27))</f>
        <v>2</v>
      </c>
      <c r="CH27" s="49">
        <f t="shared" si="16"/>
        <v>2</v>
      </c>
      <c r="CI27" s="45">
        <v>46309</v>
      </c>
      <c r="CJ27" s="42">
        <f t="shared" si="17"/>
        <v>10</v>
      </c>
      <c r="CL27">
        <v>10</v>
      </c>
      <c r="CM27" s="42">
        <f t="shared" si="18"/>
        <v>0</v>
      </c>
      <c r="CN27" t="s">
        <v>636</v>
      </c>
      <c r="CP27" s="46" t="str">
        <f t="shared" si="19"/>
        <v>No change signal</v>
      </c>
      <c r="CQ27">
        <v>2</v>
      </c>
      <c r="CS27" s="46" t="str">
        <f t="shared" si="20"/>
        <v/>
      </c>
      <c r="CT27" s="42" t="str">
        <f t="shared" si="21"/>
        <v/>
      </c>
      <c r="CU27" s="42">
        <f t="shared" si="22"/>
        <v>4</v>
      </c>
      <c r="CV27" s="42" t="str">
        <f t="shared" si="23"/>
        <v>Operational (3–6 days)</v>
      </c>
      <c r="DA27">
        <v>1</v>
      </c>
      <c r="DB27" s="45">
        <v>46310</v>
      </c>
      <c r="DC27" s="40" t="s">
        <v>644</v>
      </c>
      <c r="DD27">
        <v>300</v>
      </c>
      <c r="DE27">
        <v>150</v>
      </c>
      <c r="DF27">
        <v>90</v>
      </c>
      <c r="DG27">
        <v>70</v>
      </c>
      <c r="DH27" s="42">
        <f t="shared" si="24"/>
        <v>3</v>
      </c>
      <c r="DI27" s="43">
        <f t="shared" si="25"/>
        <v>0.5</v>
      </c>
      <c r="DJ27">
        <v>3</v>
      </c>
      <c r="DK27" s="46" t="str">
        <f t="shared" si="26"/>
        <v>Agrees</v>
      </c>
      <c r="DM27">
        <v>0</v>
      </c>
      <c r="DQ27" s="42">
        <f>IF(AH27="","",IFERROR(ROUND(100*('Weighting Options'!$D$7*IF(ISNUMBER(CA27),CA27/3,0)+'Weighting Options'!$D$8*MIN(N(BL27),3)/3+'Weighting Options'!$D$9*IF(AP27="Community/Plenary-endorsed",1,IF(AP27="FGD-validated only",0.75,IF(AP27="Sub-community-specific",0.5,IF(AP27="Provisional/emerging",0.25,0))))+'Weighting Options'!$D$10*IF(ISNUMBER(K27),K27/3,0)+'Weighting Options'!$D$11*IF(CC27="",0.5,IF(CC27="OK",1,0.25))+'Weighting Options'!$D$12*IF(DK27="",0.5,IF(DK27="Agrees",1,IF(DK27="Opposite",0,0.5)))+'Weighting Options'!$D$13*MIN(N(BG27),3)/3+'Weighting Options'!$D$14*IF(AE27=1,1,0))/SUM('Weighting Options'!$D$7:$D$14),0),""))</f>
        <v>63</v>
      </c>
      <c r="DR27" s="44">
        <f>IF(AH27="","",IFERROR(INDEX('Weighting Options'!$D$20:$D$27,VALUE(LEFT(TRIM(BU27),1))),1))</f>
        <v>1.5</v>
      </c>
      <c r="DS27" s="44">
        <f t="shared" si="27"/>
        <v>3</v>
      </c>
      <c r="DT27" s="42">
        <f>IF(AH27="","",IF(COUNTIFS($AH$12:AH27,AH27,$AI$12:AI27,AI27,$AM$12:AM27,AM27)=1,1,0))</f>
        <v>1</v>
      </c>
    </row>
    <row r="28" spans="1:124" ht="12.75" customHeight="1" x14ac:dyDescent="0.35">
      <c r="A28" s="38" t="s">
        <v>657</v>
      </c>
      <c r="B28" s="38" t="s">
        <v>658</v>
      </c>
      <c r="C28" s="38" t="s">
        <v>659</v>
      </c>
      <c r="D28" s="38"/>
      <c r="E28" s="38" t="s">
        <v>660</v>
      </c>
      <c r="F28" s="38"/>
      <c r="G28" s="38"/>
      <c r="H28" s="38"/>
      <c r="I28" s="38"/>
      <c r="J28" s="38"/>
      <c r="K28" s="38">
        <v>1</v>
      </c>
      <c r="L28" s="38">
        <v>2</v>
      </c>
      <c r="M28" s="38">
        <v>1</v>
      </c>
      <c r="N28" s="38">
        <v>1</v>
      </c>
      <c r="O28" s="38"/>
      <c r="P28" s="50">
        <v>46314</v>
      </c>
      <c r="Q28" s="39"/>
      <c r="R28" s="39"/>
      <c r="S28" s="39"/>
      <c r="U28">
        <v>3</v>
      </c>
      <c r="V28">
        <v>1</v>
      </c>
      <c r="AC28">
        <v>1</v>
      </c>
      <c r="AD28">
        <v>1</v>
      </c>
      <c r="AH28" s="40" t="s">
        <v>661</v>
      </c>
      <c r="AI28" s="40" t="s">
        <v>568</v>
      </c>
      <c r="AJ28" s="40" t="s">
        <v>569</v>
      </c>
      <c r="AK28" s="40" t="s">
        <v>570</v>
      </c>
      <c r="AL28" s="40" t="s">
        <v>571</v>
      </c>
      <c r="AM28" s="40" t="s">
        <v>601</v>
      </c>
      <c r="AO28" s="40" t="s">
        <v>573</v>
      </c>
      <c r="AP28" s="40" t="s">
        <v>662</v>
      </c>
      <c r="AQ28" s="40" t="s">
        <v>663</v>
      </c>
      <c r="AS28" s="41"/>
      <c r="AT28" s="41"/>
      <c r="AW28" t="str">
        <f t="shared" si="0"/>
        <v/>
      </c>
      <c r="AX28" t="str">
        <f t="shared" si="1"/>
        <v/>
      </c>
      <c r="AY28" t="str">
        <f t="shared" si="2"/>
        <v/>
      </c>
      <c r="AZ28" s="40"/>
      <c r="BG28">
        <v>1</v>
      </c>
      <c r="BL28" s="47">
        <f t="shared" si="3"/>
        <v>1</v>
      </c>
      <c r="BM28" s="47">
        <f t="shared" si="4"/>
        <v>0</v>
      </c>
      <c r="BN28" s="47">
        <f t="shared" si="5"/>
        <v>0</v>
      </c>
      <c r="BO28" s="47">
        <f t="shared" si="6"/>
        <v>0</v>
      </c>
      <c r="BP28" s="47">
        <f t="shared" si="7"/>
        <v>0</v>
      </c>
      <c r="BQ28" s="48" t="str">
        <f t="shared" si="8"/>
        <v/>
      </c>
      <c r="BR28" s="48" t="str">
        <f t="shared" si="9"/>
        <v/>
      </c>
      <c r="BS28" s="48" t="str">
        <f t="shared" si="10"/>
        <v/>
      </c>
      <c r="BT28" s="47" t="str">
        <f t="shared" si="11"/>
        <v>Rating-based</v>
      </c>
      <c r="BU28" s="40" t="s">
        <v>623</v>
      </c>
      <c r="CA28" s="47">
        <f t="shared" si="12"/>
        <v>1</v>
      </c>
      <c r="CB28" s="47">
        <f t="shared" si="13"/>
        <v>1</v>
      </c>
      <c r="CC28" s="47" t="str">
        <f t="shared" si="14"/>
        <v>OK</v>
      </c>
      <c r="CD28" s="47" t="str">
        <f t="shared" si="15"/>
        <v>OK</v>
      </c>
      <c r="CE28" s="47" t="str">
        <f>IF(AH28="","",IF(OR(AI28&lt;&gt;'Seasonal Tercile Tally'!$B$3,AM28&lt;&gt;'Seasonal Tercile Tally'!$B$4),"Other site/ season",IF(DT28=0,"Excluded: duplicate (later row)",IF(N28&lt;&gt;1,"Excluded: not sighted",IF(AC28&lt;&gt;1,"Excluded: not confirmed",IF(AD28&lt;&gt;1,"Excluded: not approved",IF(AP28="Contested","Excluded: contested",IF(OR(U28="",U28=0),"Excluded: no tercile",IF(CB28="","Counted (simple tally only — no weight)","Counted")))))))))</f>
        <v>Counted</v>
      </c>
      <c r="CF28" s="49">
        <f>IF(AH28="","",IFERROR(INDEX('Prior Multipliers'!$C$6:$C$70,MATCH(LEFT(AH28,10),'Prior Multipliers'!$A$6:$A$70,0)),IFERROR(INDEX('Prior Multipliers'!$C$6:$C$70,MATCH(LEFT(AH28,6),'Prior Multipliers'!$A$6:$A$70,0)),IFERROR(INDEX('Prior Multipliers'!$C$6:$C$70,MATCH(LEFT(AH28,2),'Prior Multipliers'!$A$6:$A$70,0)),1))))</f>
        <v>0.55000000000000004</v>
      </c>
      <c r="CG28" s="49">
        <f>IF(CB28="","",IF(AND('Seasonal Tercile Tally'!$B$5=1,BT28="Rating-based"),CB28*CF28,CB28))</f>
        <v>1</v>
      </c>
      <c r="CH28" s="49">
        <f t="shared" si="16"/>
        <v>1</v>
      </c>
      <c r="CI28" s="45">
        <v>46311</v>
      </c>
      <c r="CJ28" s="42">
        <f t="shared" si="17"/>
        <v>10</v>
      </c>
      <c r="CL28">
        <v>10</v>
      </c>
      <c r="CM28" s="42">
        <f t="shared" si="18"/>
        <v>0</v>
      </c>
      <c r="CP28" s="46" t="str">
        <f t="shared" si="19"/>
        <v>Watch: one change signal</v>
      </c>
      <c r="CS28" s="46" t="str">
        <f t="shared" si="20"/>
        <v/>
      </c>
      <c r="CT28" s="42" t="str">
        <f t="shared" si="21"/>
        <v/>
      </c>
      <c r="CU28" s="42">
        <f t="shared" si="22"/>
        <v>3</v>
      </c>
      <c r="CV28" s="42" t="str">
        <f t="shared" si="23"/>
        <v>Operational (3–6 days)</v>
      </c>
      <c r="DB28" s="45"/>
      <c r="DH28" s="42" t="str">
        <f t="shared" si="24"/>
        <v/>
      </c>
      <c r="DI28" s="43" t="str">
        <f t="shared" si="25"/>
        <v/>
      </c>
      <c r="DJ28">
        <v>3</v>
      </c>
      <c r="DK28" s="46" t="str">
        <f t="shared" si="26"/>
        <v>Agrees</v>
      </c>
      <c r="DQ28" s="42">
        <f>IF(AH28="","",IFERROR(ROUND(100*('Weighting Options'!$D$7*IF(ISNUMBER(CA28),CA28/3,0)+'Weighting Options'!$D$8*MIN(N(BL28),3)/3+'Weighting Options'!$D$9*IF(AP28="Community/Plenary-endorsed",1,IF(AP28="FGD-validated only",0.75,IF(AP28="Sub-community-specific",0.5,IF(AP28="Provisional/emerging",0.25,0))))+'Weighting Options'!$D$10*IF(ISNUMBER(K28),K28/3,0)+'Weighting Options'!$D$11*IF(CC28="",0.5,IF(CC28="OK",1,0.25))+'Weighting Options'!$D$12*IF(DK28="",0.5,IF(DK28="Agrees",1,IF(DK28="Opposite",0,0.5)))+'Weighting Options'!$D$13*MIN(N(BG28),3)/3+'Weighting Options'!$D$14*IF(AE28=1,1,0))/SUM('Weighting Options'!$D$7:$D$14),0),""))</f>
        <v>46</v>
      </c>
      <c r="DR28" s="44">
        <f>IF(AH28="","",IFERROR(INDEX('Weighting Options'!$D$20:$D$27,VALUE(LEFT(TRIM(BU28),1))),1))</f>
        <v>1.5</v>
      </c>
      <c r="DS28" s="44">
        <f t="shared" si="27"/>
        <v>1.5</v>
      </c>
      <c r="DT28" s="42">
        <f>IF(AH28="","",IF(COUNTIFS($AH$12:AH28,AH28,$AI$12:AI28,AI28,$AM$12:AM28,AM28)=1,1,0))</f>
        <v>1</v>
      </c>
    </row>
    <row r="29" spans="1:124" ht="12.75" customHeight="1" x14ac:dyDescent="0.35">
      <c r="A29" s="38" t="s">
        <v>664</v>
      </c>
      <c r="B29" s="38" t="s">
        <v>665</v>
      </c>
      <c r="C29" s="38" t="s">
        <v>666</v>
      </c>
      <c r="D29" s="38"/>
      <c r="E29" s="38" t="s">
        <v>638</v>
      </c>
      <c r="F29" s="38"/>
      <c r="G29" s="38"/>
      <c r="H29" s="38"/>
      <c r="I29" s="38"/>
      <c r="J29" s="38"/>
      <c r="K29" s="38">
        <v>2</v>
      </c>
      <c r="L29" s="38">
        <v>2</v>
      </c>
      <c r="M29" s="38">
        <v>2</v>
      </c>
      <c r="N29" s="38">
        <v>1</v>
      </c>
      <c r="O29" s="38"/>
      <c r="P29" s="39"/>
      <c r="Q29" s="39"/>
      <c r="R29" s="39"/>
      <c r="S29" s="39"/>
      <c r="U29">
        <v>1</v>
      </c>
      <c r="V29">
        <v>2</v>
      </c>
      <c r="AC29">
        <v>1</v>
      </c>
      <c r="AD29">
        <v>1</v>
      </c>
      <c r="AH29" s="40" t="s">
        <v>667</v>
      </c>
      <c r="AI29" s="40" t="s">
        <v>568</v>
      </c>
      <c r="AJ29" s="40" t="s">
        <v>569</v>
      </c>
      <c r="AK29" s="40" t="s">
        <v>570</v>
      </c>
      <c r="AL29" s="40" t="s">
        <v>571</v>
      </c>
      <c r="AM29" s="40" t="s">
        <v>601</v>
      </c>
      <c r="AO29" s="40" t="s">
        <v>573</v>
      </c>
      <c r="AP29" s="40" t="s">
        <v>668</v>
      </c>
      <c r="AQ29" s="40" t="s">
        <v>669</v>
      </c>
      <c r="AS29" s="41"/>
      <c r="AT29" s="41"/>
      <c r="AW29" t="str">
        <f t="shared" si="0"/>
        <v/>
      </c>
      <c r="AX29" t="str">
        <f t="shared" si="1"/>
        <v/>
      </c>
      <c r="AY29" t="str">
        <f t="shared" si="2"/>
        <v/>
      </c>
      <c r="AZ29" s="40"/>
      <c r="BG29">
        <v>1</v>
      </c>
      <c r="BL29" s="47">
        <f t="shared" si="3"/>
        <v>1</v>
      </c>
      <c r="BM29" s="47">
        <f t="shared" si="4"/>
        <v>0</v>
      </c>
      <c r="BN29" s="47">
        <f t="shared" si="5"/>
        <v>0</v>
      </c>
      <c r="BO29" s="47">
        <f t="shared" si="6"/>
        <v>0</v>
      </c>
      <c r="BP29" s="47">
        <f t="shared" si="7"/>
        <v>0</v>
      </c>
      <c r="BQ29" s="48" t="str">
        <f t="shared" si="8"/>
        <v/>
      </c>
      <c r="BR29" s="48" t="str">
        <f t="shared" si="9"/>
        <v/>
      </c>
      <c r="BS29" s="48" t="str">
        <f t="shared" si="10"/>
        <v/>
      </c>
      <c r="BT29" s="47" t="str">
        <f t="shared" si="11"/>
        <v>Rating-based</v>
      </c>
      <c r="CA29" s="47">
        <f t="shared" si="12"/>
        <v>2</v>
      </c>
      <c r="CB29" s="47">
        <f t="shared" si="13"/>
        <v>4</v>
      </c>
      <c r="CC29" s="47" t="str">
        <f t="shared" si="14"/>
        <v>OK</v>
      </c>
      <c r="CD29" s="47" t="str">
        <f t="shared" si="15"/>
        <v>OK</v>
      </c>
      <c r="CE29" s="47" t="str">
        <f>IF(AH29="","",IF(OR(AI29&lt;&gt;'Seasonal Tercile Tally'!$B$3,AM29&lt;&gt;'Seasonal Tercile Tally'!$B$4),"Other site/ season",IF(DT29=0,"Excluded: duplicate (later row)",IF(N29&lt;&gt;1,"Excluded: not sighted",IF(AC29&lt;&gt;1,"Excluded: not confirmed",IF(AD29&lt;&gt;1,"Excluded: not approved",IF(AP29="Contested","Excluded: contested",IF(OR(U29="",U29=0),"Excluded: no tercile",IF(CB29="","Counted (simple tally only — no weight)","Counted")))))))))</f>
        <v>Excluded: contested</v>
      </c>
      <c r="CF29" s="49">
        <f>IF(AH29="","",IFERROR(INDEX('Prior Multipliers'!$C$6:$C$70,MATCH(LEFT(AH29,10),'Prior Multipliers'!$A$6:$A$70,0)),IFERROR(INDEX('Prior Multipliers'!$C$6:$C$70,MATCH(LEFT(AH29,6),'Prior Multipliers'!$A$6:$A$70,0)),IFERROR(INDEX('Prior Multipliers'!$C$6:$C$70,MATCH(LEFT(AH29,2),'Prior Multipliers'!$A$6:$A$70,0)),1))))</f>
        <v>0.66</v>
      </c>
      <c r="CG29" s="49">
        <f>IF(CB29="","",IF(AND('Seasonal Tercile Tally'!$B$5=1,BT29="Rating-based"),CB29*CF29,CB29))</f>
        <v>4</v>
      </c>
      <c r="CH29" s="49">
        <f t="shared" si="16"/>
        <v>4</v>
      </c>
      <c r="CI29" s="45"/>
      <c r="CJ29" s="42" t="str">
        <f t="shared" si="17"/>
        <v/>
      </c>
      <c r="CM29" s="42" t="str">
        <f t="shared" si="18"/>
        <v/>
      </c>
      <c r="CP29" s="46" t="str">
        <f t="shared" si="19"/>
        <v>No change signal</v>
      </c>
      <c r="CS29" s="46" t="str">
        <f t="shared" si="20"/>
        <v/>
      </c>
      <c r="CT29" s="42" t="str">
        <f t="shared" si="21"/>
        <v/>
      </c>
      <c r="CU29" s="42" t="str">
        <f t="shared" si="22"/>
        <v/>
      </c>
      <c r="CV29" s="42" t="str">
        <f t="shared" si="23"/>
        <v/>
      </c>
      <c r="DB29" s="45"/>
      <c r="DH29" s="42" t="str">
        <f t="shared" si="24"/>
        <v/>
      </c>
      <c r="DI29" s="43" t="str">
        <f t="shared" si="25"/>
        <v/>
      </c>
      <c r="DJ29">
        <v>3</v>
      </c>
      <c r="DK29" s="46" t="str">
        <f t="shared" si="26"/>
        <v>Opposite</v>
      </c>
      <c r="DQ29" s="42">
        <f>IF(AH29="","",IFERROR(ROUND(100*('Weighting Options'!$D$7*IF(ISNUMBER(CA29),CA29/3,0)+'Weighting Options'!$D$8*MIN(N(BL29),3)/3+'Weighting Options'!$D$9*IF(AP29="Community/Plenary-endorsed",1,IF(AP29="FGD-validated only",0.75,IF(AP29="Sub-community-specific",0.5,IF(AP29="Provisional/emerging",0.25,0))))+'Weighting Options'!$D$10*IF(ISNUMBER(K29),K29/3,0)+'Weighting Options'!$D$11*IF(CC29="",0.5,IF(CC29="OK",1,0.25))+'Weighting Options'!$D$12*IF(DK29="",0.5,IF(DK29="Agrees",1,IF(DK29="Opposite",0,0.5)))+'Weighting Options'!$D$13*MIN(N(BG29),3)/3+'Weighting Options'!$D$14*IF(AE29=1,1,0))/SUM('Weighting Options'!$D$7:$D$14),0),""))</f>
        <v>40</v>
      </c>
      <c r="DR29" s="44">
        <f>IF(AH29="","",IFERROR(INDEX('Weighting Options'!$D$20:$D$27,VALUE(LEFT(TRIM(BU29),1))),1))</f>
        <v>1</v>
      </c>
      <c r="DS29" s="44">
        <f t="shared" si="27"/>
        <v>4</v>
      </c>
      <c r="DT29" s="42">
        <f>IF(AH29="","",IF(COUNTIFS($AH$12:AH29,AH29,$AI$12:AI29,AI29,$AM$12:AM29,AM29)=1,1,0))</f>
        <v>1</v>
      </c>
    </row>
    <row r="30" spans="1:124" ht="12.75" customHeight="1" x14ac:dyDescent="0.35">
      <c r="A30" s="38" t="s">
        <v>629</v>
      </c>
      <c r="B30" s="38" t="s">
        <v>670</v>
      </c>
      <c r="C30" s="38" t="s">
        <v>671</v>
      </c>
      <c r="D30" s="38"/>
      <c r="E30" s="38"/>
      <c r="F30" s="38"/>
      <c r="G30" s="38"/>
      <c r="H30" s="38"/>
      <c r="I30" s="38"/>
      <c r="J30" s="38"/>
      <c r="K30" s="38">
        <v>1</v>
      </c>
      <c r="L30" s="38">
        <v>3</v>
      </c>
      <c r="M30" s="38">
        <v>3</v>
      </c>
      <c r="N30" s="38">
        <v>0</v>
      </c>
      <c r="O30" s="38"/>
      <c r="P30" s="39"/>
      <c r="Q30" s="39"/>
      <c r="R30" s="39"/>
      <c r="S30" s="39"/>
      <c r="U30">
        <v>3</v>
      </c>
      <c r="V30">
        <v>1</v>
      </c>
      <c r="AC30">
        <v>0</v>
      </c>
      <c r="AD30">
        <v>0</v>
      </c>
      <c r="AH30" s="40" t="s">
        <v>672</v>
      </c>
      <c r="AI30" s="40" t="s">
        <v>568</v>
      </c>
      <c r="AJ30" s="40" t="s">
        <v>569</v>
      </c>
      <c r="AK30" s="40" t="s">
        <v>570</v>
      </c>
      <c r="AL30" s="40" t="s">
        <v>571</v>
      </c>
      <c r="AM30" s="40" t="s">
        <v>601</v>
      </c>
      <c r="AO30" s="40" t="s">
        <v>573</v>
      </c>
      <c r="AP30" s="40" t="s">
        <v>574</v>
      </c>
      <c r="AS30" s="41"/>
      <c r="AT30" s="41"/>
      <c r="AW30" t="str">
        <f t="shared" si="0"/>
        <v/>
      </c>
      <c r="AX30" t="str">
        <f t="shared" si="1"/>
        <v/>
      </c>
      <c r="AY30" t="str">
        <f t="shared" si="2"/>
        <v/>
      </c>
      <c r="AZ30" s="40"/>
      <c r="BL30" s="47">
        <f t="shared" si="3"/>
        <v>0</v>
      </c>
      <c r="BM30" s="47">
        <f t="shared" si="4"/>
        <v>0</v>
      </c>
      <c r="BN30" s="47">
        <f t="shared" si="5"/>
        <v>0</v>
      </c>
      <c r="BO30" s="47">
        <f t="shared" si="6"/>
        <v>0</v>
      </c>
      <c r="BP30" s="47">
        <f t="shared" si="7"/>
        <v>0</v>
      </c>
      <c r="BQ30" s="48" t="str">
        <f t="shared" si="8"/>
        <v/>
      </c>
      <c r="BR30" s="48" t="str">
        <f t="shared" si="9"/>
        <v/>
      </c>
      <c r="BS30" s="48" t="str">
        <f t="shared" si="10"/>
        <v/>
      </c>
      <c r="BT30" s="47" t="str">
        <f t="shared" si="11"/>
        <v>Rating-based</v>
      </c>
      <c r="CA30" s="47">
        <f t="shared" si="12"/>
        <v>2</v>
      </c>
      <c r="CB30" s="47">
        <f t="shared" si="13"/>
        <v>2</v>
      </c>
      <c r="CC30" s="47" t="str">
        <f t="shared" si="14"/>
        <v>OK</v>
      </c>
      <c r="CD30" s="47" t="str">
        <f t="shared" si="15"/>
        <v>OK</v>
      </c>
      <c r="CE30" s="47" t="str">
        <f>IF(AH30="","",IF(OR(AI30&lt;&gt;'Seasonal Tercile Tally'!$B$3,AM30&lt;&gt;'Seasonal Tercile Tally'!$B$4),"Other site/ season",IF(DT30=0,"Excluded: duplicate (later row)",IF(N30&lt;&gt;1,"Excluded: not sighted",IF(AC30&lt;&gt;1,"Excluded: not confirmed",IF(AD30&lt;&gt;1,"Excluded: not approved",IF(AP30="Contested","Excluded: contested",IF(OR(U30="",U30=0),"Excluded: no tercile",IF(CB30="","Counted (simple tally only — no weight)","Counted")))))))))</f>
        <v>Excluded: not sighted</v>
      </c>
      <c r="CF30" s="49">
        <f>IF(AH30="","",IFERROR(INDEX('Prior Multipliers'!$C$6:$C$70,MATCH(LEFT(AH30,10),'Prior Multipliers'!$A$6:$A$70,0)),IFERROR(INDEX('Prior Multipliers'!$C$6:$C$70,MATCH(LEFT(AH30,6),'Prior Multipliers'!$A$6:$A$70,0)),IFERROR(INDEX('Prior Multipliers'!$C$6:$C$70,MATCH(LEFT(AH30,2),'Prior Multipliers'!$A$6:$A$70,0)),1))))</f>
        <v>1.21</v>
      </c>
      <c r="CG30" s="49">
        <f>IF(CB30="","",IF(AND('Seasonal Tercile Tally'!$B$5=1,BT30="Rating-based"),CB30*CF30,CB30))</f>
        <v>2</v>
      </c>
      <c r="CH30" s="49">
        <f t="shared" si="16"/>
        <v>2</v>
      </c>
      <c r="CI30" s="45"/>
      <c r="CJ30" s="42" t="str">
        <f t="shared" si="17"/>
        <v/>
      </c>
      <c r="CM30" s="42" t="str">
        <f t="shared" si="18"/>
        <v/>
      </c>
      <c r="CP30" s="46" t="str">
        <f t="shared" si="19"/>
        <v>No change signal</v>
      </c>
      <c r="CS30" s="46" t="str">
        <f t="shared" si="20"/>
        <v/>
      </c>
      <c r="CT30" s="42" t="str">
        <f t="shared" si="21"/>
        <v/>
      </c>
      <c r="CU30" s="42" t="str">
        <f t="shared" si="22"/>
        <v/>
      </c>
      <c r="CV30" s="42" t="str">
        <f t="shared" si="23"/>
        <v/>
      </c>
      <c r="DB30" s="45"/>
      <c r="DH30" s="42" t="str">
        <f t="shared" si="24"/>
        <v/>
      </c>
      <c r="DI30" s="43" t="str">
        <f t="shared" si="25"/>
        <v/>
      </c>
      <c r="DJ30">
        <v>3</v>
      </c>
      <c r="DK30" s="46" t="str">
        <f t="shared" si="26"/>
        <v>Agrees</v>
      </c>
      <c r="DQ30" s="42">
        <f>IF(AH30="","",IFERROR(ROUND(100*('Weighting Options'!$D$7*IF(ISNUMBER(CA30),CA30/3,0)+'Weighting Options'!$D$8*MIN(N(BL30),3)/3+'Weighting Options'!$D$9*IF(AP30="Community/Plenary-endorsed",1,IF(AP30="FGD-validated only",0.75,IF(AP30="Sub-community-specific",0.5,IF(AP30="Provisional/emerging",0.25,0))))+'Weighting Options'!$D$10*IF(ISNUMBER(K30),K30/3,0)+'Weighting Options'!$D$11*IF(CC30="",0.5,IF(CC30="OK",1,0.25))+'Weighting Options'!$D$12*IF(DK30="",0.5,IF(DK30="Agrees",1,IF(DK30="Opposite",0,0.5)))+'Weighting Options'!$D$13*MIN(N(BG30),3)/3+'Weighting Options'!$D$14*IF(AE30=1,1,0))/SUM('Weighting Options'!$D$7:$D$14),0),""))</f>
        <v>55</v>
      </c>
      <c r="DR30" s="44">
        <f>IF(AH30="","",IFERROR(INDEX('Weighting Options'!$D$20:$D$27,VALUE(LEFT(TRIM(BU30),1))),1))</f>
        <v>1</v>
      </c>
      <c r="DS30" s="44">
        <f t="shared" si="27"/>
        <v>2</v>
      </c>
      <c r="DT30" s="42">
        <f>IF(AH30="","",IF(COUNTIFS($AH$12:AH30,AH30,$AI$12:AI30,AI30,$AM$12:AM30,AM30)=1,1,0))</f>
        <v>1</v>
      </c>
    </row>
    <row r="31" spans="1:124" ht="12.75" customHeight="1" x14ac:dyDescent="0.35">
      <c r="A31" s="38" t="s">
        <v>565</v>
      </c>
      <c r="B31" s="38" t="s">
        <v>673</v>
      </c>
      <c r="C31" s="38" t="s">
        <v>674</v>
      </c>
      <c r="D31" s="38"/>
      <c r="E31" s="38" t="s">
        <v>675</v>
      </c>
      <c r="F31" s="38"/>
      <c r="G31" s="38"/>
      <c r="H31" s="38"/>
      <c r="I31" s="38"/>
      <c r="J31" s="38"/>
      <c r="K31" s="38">
        <v>2</v>
      </c>
      <c r="L31" s="38">
        <v>2</v>
      </c>
      <c r="M31" s="38">
        <v>0</v>
      </c>
      <c r="N31" s="38">
        <v>1</v>
      </c>
      <c r="O31" s="38"/>
      <c r="P31" s="50">
        <v>46320</v>
      </c>
      <c r="Q31" s="39"/>
      <c r="R31" s="39"/>
      <c r="S31" s="39"/>
      <c r="U31">
        <v>2</v>
      </c>
      <c r="V31">
        <v>2</v>
      </c>
      <c r="AC31">
        <v>1</v>
      </c>
      <c r="AD31">
        <v>1</v>
      </c>
      <c r="AH31" s="40" t="s">
        <v>676</v>
      </c>
      <c r="AI31" s="40" t="s">
        <v>568</v>
      </c>
      <c r="AJ31" s="40" t="s">
        <v>569</v>
      </c>
      <c r="AK31" s="40" t="s">
        <v>570</v>
      </c>
      <c r="AL31" s="40" t="s">
        <v>571</v>
      </c>
      <c r="AM31" s="40" t="s">
        <v>601</v>
      </c>
      <c r="AO31" s="40" t="s">
        <v>573</v>
      </c>
      <c r="AP31" s="40" t="s">
        <v>677</v>
      </c>
      <c r="AS31" s="41"/>
      <c r="AT31" s="41"/>
      <c r="AW31" t="str">
        <f t="shared" si="0"/>
        <v/>
      </c>
      <c r="AX31" t="str">
        <f t="shared" si="1"/>
        <v/>
      </c>
      <c r="AY31" t="str">
        <f t="shared" si="2"/>
        <v/>
      </c>
      <c r="AZ31" s="40"/>
      <c r="BG31">
        <v>2</v>
      </c>
      <c r="BL31" s="47">
        <f t="shared" si="3"/>
        <v>1</v>
      </c>
      <c r="BM31" s="47">
        <f t="shared" si="4"/>
        <v>0</v>
      </c>
      <c r="BN31" s="47">
        <f t="shared" si="5"/>
        <v>0</v>
      </c>
      <c r="BO31" s="47">
        <f t="shared" si="6"/>
        <v>0</v>
      </c>
      <c r="BP31" s="47">
        <f t="shared" si="7"/>
        <v>0</v>
      </c>
      <c r="BQ31" s="48" t="str">
        <f t="shared" si="8"/>
        <v/>
      </c>
      <c r="BR31" s="48" t="str">
        <f t="shared" si="9"/>
        <v/>
      </c>
      <c r="BS31" s="48" t="str">
        <f t="shared" si="10"/>
        <v/>
      </c>
      <c r="BT31" s="47" t="str">
        <f t="shared" si="11"/>
        <v>Rating-based</v>
      </c>
      <c r="CA31" s="47" t="str">
        <f t="shared" si="12"/>
        <v/>
      </c>
      <c r="CB31" s="47" t="str">
        <f t="shared" si="13"/>
        <v/>
      </c>
      <c r="CC31" s="47" t="str">
        <f t="shared" si="14"/>
        <v/>
      </c>
      <c r="CD31" s="47" t="str">
        <f t="shared" si="15"/>
        <v>OK</v>
      </c>
      <c r="CE31" s="47" t="str">
        <f>IF(AH31="","",IF(OR(AI31&lt;&gt;'Seasonal Tercile Tally'!$B$3,AM31&lt;&gt;'Seasonal Tercile Tally'!$B$4),"Other site/ season",IF(DT31=0,"Excluded: duplicate (later row)",IF(N31&lt;&gt;1,"Excluded: not sighted",IF(AC31&lt;&gt;1,"Excluded: not confirmed",IF(AD31&lt;&gt;1,"Excluded: not approved",IF(AP31="Contested","Excluded: contested",IF(OR(U31="",U31=0),"Excluded: no tercile",IF(CB31="","Counted (simple tally only — no weight)","Counted")))))))))</f>
        <v>Counted (simple tally only — no weight)</v>
      </c>
      <c r="CF31" s="49">
        <f>IF(AH31="","",IFERROR(INDEX('Prior Multipliers'!$C$6:$C$70,MATCH(LEFT(AH31,10),'Prior Multipliers'!$A$6:$A$70,0)),IFERROR(INDEX('Prior Multipliers'!$C$6:$C$70,MATCH(LEFT(AH31,6),'Prior Multipliers'!$A$6:$A$70,0)),IFERROR(INDEX('Prior Multipliers'!$C$6:$C$70,MATCH(LEFT(AH31,2),'Prior Multipliers'!$A$6:$A$70,0)),1))))</f>
        <v>1.35</v>
      </c>
      <c r="CG31" s="49" t="str">
        <f>IF(CB31="","",IF(AND('Seasonal Tercile Tally'!$B$5=1,BT31="Rating-based"),CB31*CF31,CB31))</f>
        <v/>
      </c>
      <c r="CH31" s="47">
        <f t="shared" si="16"/>
        <v>0</v>
      </c>
      <c r="CI31" s="45">
        <v>46305</v>
      </c>
      <c r="CJ31" s="42">
        <f t="shared" si="17"/>
        <v>10</v>
      </c>
      <c r="CL31">
        <v>11</v>
      </c>
      <c r="CM31" s="42">
        <f t="shared" si="18"/>
        <v>-1</v>
      </c>
      <c r="CP31" s="46" t="str">
        <f t="shared" si="19"/>
        <v>Watch: one change signal</v>
      </c>
      <c r="CQ31">
        <v>2</v>
      </c>
      <c r="CS31" s="46" t="str">
        <f t="shared" si="20"/>
        <v/>
      </c>
      <c r="CT31" s="42" t="str">
        <f t="shared" si="21"/>
        <v/>
      </c>
      <c r="CU31" s="42">
        <f t="shared" si="22"/>
        <v>15</v>
      </c>
      <c r="CV31" s="42" t="str">
        <f t="shared" si="23"/>
        <v>Tactical (1 week–2 months)</v>
      </c>
      <c r="DB31" s="45"/>
      <c r="DH31" s="42" t="str">
        <f t="shared" si="24"/>
        <v/>
      </c>
      <c r="DI31" s="43" t="str">
        <f t="shared" si="25"/>
        <v/>
      </c>
      <c r="DJ31">
        <v>3</v>
      </c>
      <c r="DK31" s="46" t="str">
        <f t="shared" si="26"/>
        <v>Differs by one class</v>
      </c>
      <c r="DQ31" s="42">
        <f>IF(AH31="","",IFERROR(ROUND(100*('Weighting Options'!$D$7*IF(ISNUMBER(CA31),CA31/3,0)+'Weighting Options'!$D$8*MIN(N(BL31),3)/3+'Weighting Options'!$D$9*IF(AP31="Community/Plenary-endorsed",1,IF(AP31="FGD-validated only",0.75,IF(AP31="Sub-community-specific",0.5,IF(AP31="Provisional/emerging",0.25,0))))+'Weighting Options'!$D$10*IF(ISNUMBER(K31),K31/3,0)+'Weighting Options'!$D$11*IF(CC31="",0.5,IF(CC31="OK",1,0.25))+'Weighting Options'!$D$12*IF(DK31="",0.5,IF(DK31="Agrees",1,IF(DK31="Opposite",0,0.5)))+'Weighting Options'!$D$13*MIN(N(BG31),3)/3+'Weighting Options'!$D$14*IF(AE31=1,1,0))/SUM('Weighting Options'!$D$7:$D$14),0),""))</f>
        <v>29</v>
      </c>
      <c r="DR31" s="44">
        <f>IF(AH31="","",IFERROR(INDEX('Weighting Options'!$D$20:$D$27,VALUE(LEFT(TRIM(BU31),1))),1))</f>
        <v>1</v>
      </c>
      <c r="DS31" s="44" t="str">
        <f t="shared" si="27"/>
        <v/>
      </c>
      <c r="DT31" s="42">
        <f>IF(AH31="","",IF(COUNTIFS($AH$12:AH31,AH31,$AI$12:AI31,AI31,$AM$12:AM31,AM31)=1,1,0))</f>
        <v>1</v>
      </c>
    </row>
    <row r="32" spans="1:124" ht="12.75" customHeight="1" x14ac:dyDescent="0.35">
      <c r="A32" s="38" t="s">
        <v>565</v>
      </c>
      <c r="B32" s="38"/>
      <c r="C32" s="38" t="s">
        <v>678</v>
      </c>
      <c r="D32" s="38"/>
      <c r="E32" s="38"/>
      <c r="F32" s="38"/>
      <c r="G32" s="38"/>
      <c r="H32" s="38"/>
      <c r="I32" s="38"/>
      <c r="J32" s="38"/>
      <c r="K32" s="38"/>
      <c r="L32" s="38"/>
      <c r="M32" s="38">
        <v>3</v>
      </c>
      <c r="N32" s="38">
        <v>1</v>
      </c>
      <c r="O32" s="38"/>
      <c r="P32" s="39"/>
      <c r="Q32" s="39"/>
      <c r="R32" s="39"/>
      <c r="S32" s="39"/>
      <c r="U32">
        <v>3</v>
      </c>
      <c r="V32">
        <v>3</v>
      </c>
      <c r="AC32">
        <v>1</v>
      </c>
      <c r="AD32">
        <v>1</v>
      </c>
      <c r="AH32" s="40" t="s">
        <v>567</v>
      </c>
      <c r="AI32" s="40" t="s">
        <v>568</v>
      </c>
      <c r="AJ32" s="40" t="s">
        <v>569</v>
      </c>
      <c r="AK32" s="40" t="s">
        <v>570</v>
      </c>
      <c r="AL32" s="40" t="s">
        <v>571</v>
      </c>
      <c r="AM32" s="40" t="s">
        <v>601</v>
      </c>
      <c r="AO32" s="40" t="s">
        <v>573</v>
      </c>
      <c r="AP32" s="40" t="s">
        <v>574</v>
      </c>
      <c r="AS32" s="41"/>
      <c r="AT32" s="41"/>
      <c r="AW32" t="str">
        <f t="shared" si="0"/>
        <v/>
      </c>
      <c r="AX32" t="str">
        <f t="shared" si="1"/>
        <v/>
      </c>
      <c r="AY32" t="str">
        <f t="shared" si="2"/>
        <v/>
      </c>
      <c r="AZ32" s="40"/>
      <c r="BL32" s="47">
        <f t="shared" si="3"/>
        <v>4</v>
      </c>
      <c r="BM32" s="47">
        <f t="shared" si="4"/>
        <v>3</v>
      </c>
      <c r="BN32" s="47">
        <f t="shared" si="5"/>
        <v>2</v>
      </c>
      <c r="BO32" s="47">
        <f t="shared" si="6"/>
        <v>1</v>
      </c>
      <c r="BP32" s="47">
        <f t="shared" si="7"/>
        <v>0</v>
      </c>
      <c r="BQ32" s="48">
        <f t="shared" si="8"/>
        <v>0.66666666666666663</v>
      </c>
      <c r="BR32" s="48">
        <f t="shared" si="9"/>
        <v>0.33333333333333331</v>
      </c>
      <c r="BS32" s="48">
        <f t="shared" si="10"/>
        <v>0</v>
      </c>
      <c r="BT32" s="47" t="str">
        <f t="shared" si="11"/>
        <v>Hit-rate-based</v>
      </c>
      <c r="CA32" s="47">
        <f t="shared" si="12"/>
        <v>2</v>
      </c>
      <c r="CB32" s="47">
        <f t="shared" si="13"/>
        <v>6</v>
      </c>
      <c r="CC32" s="47" t="str">
        <f t="shared" si="14"/>
        <v/>
      </c>
      <c r="CD32" s="47" t="str">
        <f t="shared" si="15"/>
        <v>DUPLICATE: same ID, site and season</v>
      </c>
      <c r="CE32" s="47" t="str">
        <f>IF(AH32="","",IF(OR(AI32&lt;&gt;'Seasonal Tercile Tally'!$B$3,AM32&lt;&gt;'Seasonal Tercile Tally'!$B$4),"Other site/ season",IF(DT32=0,"Excluded: duplicate (later row)",IF(N32&lt;&gt;1,"Excluded: not sighted",IF(AC32&lt;&gt;1,"Excluded: not confirmed",IF(AD32&lt;&gt;1,"Excluded: not approved",IF(AP32="Contested","Excluded: contested",IF(OR(U32="",U32=0),"Excluded: no tercile",IF(CB32="","Counted (simple tally only — no weight)","Counted")))))))))</f>
        <v>Excluded: duplicate (later row)</v>
      </c>
      <c r="CF32" s="49">
        <f>IF(AH32="","",IFERROR(INDEX('Prior Multipliers'!$C$6:$C$70,MATCH(LEFT(AH32,10),'Prior Multipliers'!$A$6:$A$70,0)),IFERROR(INDEX('Prior Multipliers'!$C$6:$C$70,MATCH(LEFT(AH32,6),'Prior Multipliers'!$A$6:$A$70,0)),IFERROR(INDEX('Prior Multipliers'!$C$6:$C$70,MATCH(LEFT(AH32,2),'Prior Multipliers'!$A$6:$A$70,0)),1))))</f>
        <v>1.21</v>
      </c>
      <c r="CG32" s="49">
        <f>IF(CB32="","",IF(AND('Seasonal Tercile Tally'!$B$5=1,BT32="Rating-based"),CB32*CF32,CB32))</f>
        <v>6</v>
      </c>
      <c r="CH32" s="49">
        <f t="shared" si="16"/>
        <v>6</v>
      </c>
      <c r="CI32" s="45"/>
      <c r="CJ32" s="42" t="str">
        <f t="shared" si="17"/>
        <v/>
      </c>
      <c r="CM32" s="42" t="str">
        <f t="shared" si="18"/>
        <v/>
      </c>
      <c r="CP32" s="46" t="str">
        <f t="shared" si="19"/>
        <v>No change signal</v>
      </c>
      <c r="CS32" s="46" t="str">
        <f t="shared" si="20"/>
        <v/>
      </c>
      <c r="CT32" s="42" t="str">
        <f t="shared" si="21"/>
        <v/>
      </c>
      <c r="CU32" s="42" t="str">
        <f t="shared" si="22"/>
        <v/>
      </c>
      <c r="CV32" s="42" t="str">
        <f t="shared" si="23"/>
        <v/>
      </c>
      <c r="DB32" s="45"/>
      <c r="DH32" s="42" t="str">
        <f t="shared" si="24"/>
        <v/>
      </c>
      <c r="DI32" s="43" t="str">
        <f t="shared" si="25"/>
        <v/>
      </c>
      <c r="DJ32">
        <v>3</v>
      </c>
      <c r="DK32" s="46" t="str">
        <f t="shared" si="26"/>
        <v>Agrees</v>
      </c>
      <c r="DQ32" s="42">
        <f>IF(AH32="","",IFERROR(ROUND(100*('Weighting Options'!$D$7*IF(ISNUMBER(CA32),CA32/3,0)+'Weighting Options'!$D$8*MIN(N(BL32),3)/3+'Weighting Options'!$D$9*IF(AP32="Community/Plenary-endorsed",1,IF(AP32="FGD-validated only",0.75,IF(AP32="Sub-community-specific",0.5,IF(AP32="Provisional/emerging",0.25,0))))+'Weighting Options'!$D$10*IF(ISNUMBER(K32),K32/3,0)+'Weighting Options'!$D$11*IF(CC32="",0.5,IF(CC32="OK",1,0.25))+'Weighting Options'!$D$12*IF(DK32="",0.5,IF(DK32="Agrees",1,IF(DK32="Opposite",0,0.5)))+'Weighting Options'!$D$13*MIN(N(BG32),3)/3+'Weighting Options'!$D$14*IF(AE32=1,1,0))/SUM('Weighting Options'!$D$7:$D$14),0),""))</f>
        <v>62</v>
      </c>
      <c r="DR32" s="44">
        <f>IF(AH32="","",IFERROR(INDEX('Weighting Options'!$D$20:$D$27,VALUE(LEFT(TRIM(BU32),1))),1))</f>
        <v>1</v>
      </c>
      <c r="DS32" s="44">
        <f t="shared" si="27"/>
        <v>6</v>
      </c>
      <c r="DT32" s="42">
        <f>IF(AH32="","",IF(COUNTIFS($AH$12:AH32,AH32,$AI$12:AI32,AI32,$AM$12:AM32,AM32)=1,1,0))</f>
        <v>0</v>
      </c>
    </row>
    <row r="33" spans="1:124" ht="12.75" customHeight="1" x14ac:dyDescent="0.35">
      <c r="A33" s="128"/>
      <c r="B33" s="128"/>
      <c r="C33" s="128"/>
      <c r="D33" s="128"/>
      <c r="E33" s="128"/>
      <c r="F33" s="128"/>
      <c r="G33" s="128"/>
      <c r="H33" s="128"/>
      <c r="I33" s="128"/>
      <c r="J33" s="128"/>
      <c r="K33" s="128"/>
      <c r="L33" s="128"/>
      <c r="M33" s="128"/>
      <c r="N33" s="128"/>
      <c r="O33" s="128"/>
      <c r="P33" s="129"/>
      <c r="Q33" s="129"/>
      <c r="R33" s="129"/>
      <c r="S33" s="129"/>
      <c r="T33" s="130"/>
      <c r="U33" s="130"/>
      <c r="V33" s="130"/>
      <c r="W33" s="130"/>
      <c r="X33" s="130"/>
      <c r="Y33" s="130"/>
      <c r="Z33" s="130"/>
      <c r="AA33" s="130"/>
      <c r="AB33" s="130"/>
      <c r="AC33" s="130"/>
      <c r="AD33" s="130"/>
      <c r="AE33" s="130"/>
      <c r="AF33" s="130"/>
      <c r="AG33" s="130"/>
      <c r="AH33" s="131"/>
      <c r="AI33" s="130"/>
      <c r="AJ33" s="130"/>
      <c r="AK33" s="130"/>
      <c r="AL33" s="130"/>
      <c r="AM33" s="130"/>
      <c r="AN33" s="130"/>
      <c r="AO33" s="130"/>
      <c r="AP33" s="131"/>
      <c r="AQ33" s="130"/>
      <c r="AR33" s="130"/>
      <c r="AS33" s="132"/>
      <c r="AT33" s="132"/>
      <c r="AU33" s="130"/>
      <c r="AV33" s="130"/>
      <c r="AW33" s="130" t="str">
        <f t="shared" si="0"/>
        <v/>
      </c>
      <c r="AX33" s="130" t="str">
        <f t="shared" si="1"/>
        <v/>
      </c>
      <c r="AY33" s="130" t="str">
        <f t="shared" si="2"/>
        <v/>
      </c>
      <c r="AZ33" s="131"/>
      <c r="BA33" s="130"/>
      <c r="BB33" s="130"/>
      <c r="BC33" s="130"/>
      <c r="BD33" s="130"/>
      <c r="BE33" s="130"/>
      <c r="BF33" s="130"/>
      <c r="BG33" s="130"/>
      <c r="BH33" s="130"/>
      <c r="BI33" s="130"/>
      <c r="BJ33" s="130"/>
      <c r="BK33" s="130"/>
      <c r="BL33" s="133" t="str">
        <f t="shared" si="3"/>
        <v/>
      </c>
      <c r="BM33" s="133" t="str">
        <f t="shared" si="4"/>
        <v/>
      </c>
      <c r="BN33" s="133" t="str">
        <f t="shared" si="5"/>
        <v/>
      </c>
      <c r="BO33" s="133" t="str">
        <f t="shared" si="6"/>
        <v/>
      </c>
      <c r="BP33" s="133" t="str">
        <f t="shared" si="7"/>
        <v/>
      </c>
      <c r="BQ33" s="134" t="str">
        <f t="shared" si="8"/>
        <v/>
      </c>
      <c r="BR33" s="134" t="str">
        <f t="shared" si="9"/>
        <v/>
      </c>
      <c r="BS33" s="134" t="str">
        <f t="shared" si="10"/>
        <v/>
      </c>
      <c r="BT33" s="133" t="str">
        <f t="shared" si="11"/>
        <v/>
      </c>
      <c r="BU33" s="130"/>
      <c r="BV33" s="130"/>
      <c r="BW33" s="130"/>
      <c r="BX33" s="130"/>
      <c r="BY33" s="130"/>
      <c r="BZ33" s="130"/>
      <c r="CA33" s="133" t="str">
        <f t="shared" si="12"/>
        <v/>
      </c>
      <c r="CB33" s="133" t="str">
        <f t="shared" si="13"/>
        <v/>
      </c>
      <c r="CC33" s="133" t="str">
        <f t="shared" si="14"/>
        <v/>
      </c>
      <c r="CD33" s="133" t="str">
        <f t="shared" si="15"/>
        <v/>
      </c>
      <c r="CE33" s="133" t="str">
        <f>IF(AH33="","",IF(OR(AI33&lt;&gt;'Seasonal Tercile Tally'!$B$3,AM33&lt;&gt;'Seasonal Tercile Tally'!$B$4),"Other site/ season",IF(DT33=0,"Excluded: duplicate (later row)",IF(N33&lt;&gt;1,"Excluded: not sighted",IF(AC33&lt;&gt;1,"Excluded: not confirmed",IF(AD33&lt;&gt;1,"Excluded: not approved",IF(AP33="Contested","Excluded: contested",IF(OR(U33="",U33=0),"Excluded: no tercile",IF(CB33="","Counted (simple tally only — no weight)","Counted")))))))))</f>
        <v/>
      </c>
      <c r="CF33" s="135" t="str">
        <f>IF(AH33="","",IFERROR(INDEX('Prior Multipliers'!$C$6:$C$70,MATCH(LEFT(AH33,10),'Prior Multipliers'!$A$6:$A$70,0)),IFERROR(INDEX('Prior Multipliers'!$C$6:$C$70,MATCH(LEFT(AH33,6),'Prior Multipliers'!$A$6:$A$70,0)),IFERROR(INDEX('Prior Multipliers'!$C$6:$C$70,MATCH(LEFT(AH33,2),'Prior Multipliers'!$A$6:$A$70,0)),1))))</f>
        <v/>
      </c>
      <c r="CG33" s="135" t="str">
        <f>IF(CB33="","",IF(AND('Seasonal Tercile Tally'!$B$5=1,BT33="Rating-based"),CB33*CF33,CB33))</f>
        <v/>
      </c>
      <c r="CH33" s="133">
        <f t="shared" si="16"/>
        <v>0</v>
      </c>
      <c r="CI33" s="136"/>
      <c r="CJ33" s="137" t="str">
        <f t="shared" si="17"/>
        <v/>
      </c>
      <c r="CK33" s="130"/>
      <c r="CL33" s="130"/>
      <c r="CM33" s="137" t="str">
        <f t="shared" si="18"/>
        <v/>
      </c>
      <c r="CN33" s="130"/>
      <c r="CO33" s="130"/>
      <c r="CP33" s="137" t="str">
        <f t="shared" si="19"/>
        <v/>
      </c>
      <c r="CQ33" s="130"/>
      <c r="CR33" s="130"/>
      <c r="CS33" s="137" t="str">
        <f t="shared" si="20"/>
        <v/>
      </c>
      <c r="CT33" s="137" t="str">
        <f t="shared" si="21"/>
        <v/>
      </c>
      <c r="CU33" s="137" t="str">
        <f t="shared" si="22"/>
        <v/>
      </c>
      <c r="CV33" s="137" t="str">
        <f t="shared" si="23"/>
        <v/>
      </c>
      <c r="CW33" s="130"/>
      <c r="CX33" s="130"/>
      <c r="CY33" s="130"/>
      <c r="CZ33" s="130"/>
      <c r="DA33" s="130"/>
      <c r="DB33" s="136"/>
      <c r="DC33" s="130"/>
      <c r="DD33" s="130"/>
      <c r="DE33" s="130"/>
      <c r="DF33" s="130"/>
      <c r="DG33" s="130"/>
      <c r="DH33" s="137" t="str">
        <f t="shared" si="24"/>
        <v/>
      </c>
      <c r="DI33" s="138" t="str">
        <f t="shared" si="25"/>
        <v/>
      </c>
      <c r="DJ33" s="130"/>
      <c r="DK33" s="137" t="str">
        <f t="shared" si="26"/>
        <v/>
      </c>
      <c r="DL33" s="130"/>
      <c r="DM33" s="130"/>
      <c r="DN33" s="130"/>
      <c r="DO33" s="130"/>
      <c r="DP33" s="130"/>
      <c r="DQ33" s="137" t="str">
        <f>IF(AH33="","",IFERROR(ROUND(100*('Weighting Options'!$D$7*IF(ISNUMBER(CA33),CA33/3,0)+'Weighting Options'!$D$8*MIN(N(BL33),3)/3+'Weighting Options'!$D$9*IF(AP33="Community/Plenary-endorsed",1,IF(AP33="FGD-validated only",0.75,IF(AP33="Sub-community-specific",0.5,IF(AP33="Provisional/emerging",0.25,0))))+'Weighting Options'!$D$10*IF(ISNUMBER(K33),K33/3,0)+'Weighting Options'!$D$11*IF(CC33="",0.5,IF(CC33="OK",1,0.25))+'Weighting Options'!$D$12*IF(DK33="",0.5,IF(DK33="Agrees",1,IF(DK33="Opposite",0,0.5)))+'Weighting Options'!$D$13*MIN(N(BG33),3)/3+'Weighting Options'!$D$14*IF(AE33=1,1,0))/SUM('Weighting Options'!$D$7:$D$14),0),""))</f>
        <v/>
      </c>
      <c r="DR33" s="139" t="str">
        <f>IF(AH33="","",IFERROR(INDEX('Weighting Options'!$D$20:$D$27,VALUE(LEFT(TRIM(BU33),1))),1))</f>
        <v/>
      </c>
      <c r="DS33" s="139" t="str">
        <f t="shared" si="27"/>
        <v/>
      </c>
      <c r="DT33" s="137" t="str">
        <f>IF(AH33="","",IF(COUNTIFS($AH$12:AH33,AH33,$AI$12:AI33,AI33,$AM$12:AM33,AM33)=1,1,0))</f>
        <v/>
      </c>
    </row>
    <row r="34" spans="1:124" ht="12.75" customHeight="1" x14ac:dyDescent="0.35">
      <c r="A34" s="38"/>
      <c r="B34" s="38"/>
      <c r="C34" s="38"/>
      <c r="D34" s="38"/>
      <c r="E34" s="38"/>
      <c r="F34" s="38"/>
      <c r="G34" s="38"/>
      <c r="H34" s="38"/>
      <c r="I34" s="38"/>
      <c r="J34" s="38"/>
      <c r="K34" s="38"/>
      <c r="L34" s="38"/>
      <c r="M34" s="38"/>
      <c r="N34" s="38"/>
      <c r="O34" s="38"/>
      <c r="P34" s="39"/>
      <c r="Q34" s="39"/>
      <c r="R34" s="39"/>
      <c r="S34" s="39"/>
      <c r="AH34" s="40"/>
      <c r="AP34" s="40"/>
      <c r="AS34" s="41"/>
      <c r="AT34" s="41"/>
      <c r="AW34" t="str">
        <f t="shared" si="0"/>
        <v/>
      </c>
      <c r="AX34" t="str">
        <f t="shared" si="1"/>
        <v/>
      </c>
      <c r="AY34" t="str">
        <f t="shared" si="2"/>
        <v/>
      </c>
      <c r="AZ34" s="40"/>
      <c r="BL34" s="47" t="str">
        <f t="shared" si="3"/>
        <v/>
      </c>
      <c r="BM34" s="47" t="str">
        <f t="shared" si="4"/>
        <v/>
      </c>
      <c r="BN34" s="47" t="str">
        <f t="shared" si="5"/>
        <v/>
      </c>
      <c r="BO34" s="47" t="str">
        <f t="shared" si="6"/>
        <v/>
      </c>
      <c r="BP34" s="47" t="str">
        <f t="shared" si="7"/>
        <v/>
      </c>
      <c r="BQ34" s="48" t="str">
        <f t="shared" si="8"/>
        <v/>
      </c>
      <c r="BR34" s="48" t="str">
        <f t="shared" si="9"/>
        <v/>
      </c>
      <c r="BS34" s="48" t="str">
        <f t="shared" si="10"/>
        <v/>
      </c>
      <c r="BT34" s="47" t="str">
        <f t="shared" si="11"/>
        <v/>
      </c>
      <c r="CA34" s="47" t="str">
        <f t="shared" si="12"/>
        <v/>
      </c>
      <c r="CB34" s="47" t="str">
        <f t="shared" si="13"/>
        <v/>
      </c>
      <c r="CC34" s="47" t="str">
        <f t="shared" si="14"/>
        <v/>
      </c>
      <c r="CD34" s="47" t="str">
        <f t="shared" si="15"/>
        <v/>
      </c>
      <c r="CE34" s="47" t="str">
        <f>IF(AH34="","",IF(OR(AI34&lt;&gt;'Seasonal Tercile Tally'!$B$3,AM34&lt;&gt;'Seasonal Tercile Tally'!$B$4),"Other site/ season",IF(DT34=0,"Excluded: duplicate (later row)",IF(N34&lt;&gt;1,"Excluded: not sighted",IF(AC34&lt;&gt;1,"Excluded: not confirmed",IF(AD34&lt;&gt;1,"Excluded: not approved",IF(AP34="Contested","Excluded: contested",IF(OR(U34="",U34=0),"Excluded: no tercile",IF(CB34="","Counted (simple tally only — no weight)","Counted")))))))))</f>
        <v/>
      </c>
      <c r="CF34" s="49" t="str">
        <f>IF(AH34="","",IFERROR(INDEX('Prior Multipliers'!$C$6:$C$70,MATCH(LEFT(AH34,10),'Prior Multipliers'!$A$6:$A$70,0)),IFERROR(INDEX('Prior Multipliers'!$C$6:$C$70,MATCH(LEFT(AH34,6),'Prior Multipliers'!$A$6:$A$70,0)),IFERROR(INDEX('Prior Multipliers'!$C$6:$C$70,MATCH(LEFT(AH34,2),'Prior Multipliers'!$A$6:$A$70,0)),1))))</f>
        <v/>
      </c>
      <c r="CG34" s="49" t="str">
        <f>IF(CB34="","",IF(AND('Seasonal Tercile Tally'!$B$5=1,BT34="Rating-based"),CB34*CF34,CB34))</f>
        <v/>
      </c>
      <c r="CH34" s="47">
        <f t="shared" si="16"/>
        <v>0</v>
      </c>
      <c r="CI34" s="45"/>
      <c r="CJ34" s="42" t="str">
        <f t="shared" si="17"/>
        <v/>
      </c>
      <c r="CM34" s="42" t="str">
        <f t="shared" si="18"/>
        <v/>
      </c>
      <c r="CP34" s="46" t="str">
        <f t="shared" si="19"/>
        <v/>
      </c>
      <c r="CS34" s="46" t="str">
        <f t="shared" si="20"/>
        <v/>
      </c>
      <c r="CT34" s="42" t="str">
        <f t="shared" si="21"/>
        <v/>
      </c>
      <c r="CU34" s="42" t="str">
        <f t="shared" si="22"/>
        <v/>
      </c>
      <c r="CV34" s="42" t="str">
        <f t="shared" si="23"/>
        <v/>
      </c>
      <c r="DB34" s="45"/>
      <c r="DH34" s="42" t="str">
        <f t="shared" si="24"/>
        <v/>
      </c>
      <c r="DI34" s="43" t="str">
        <f t="shared" si="25"/>
        <v/>
      </c>
      <c r="DK34" s="46" t="str">
        <f t="shared" si="26"/>
        <v/>
      </c>
      <c r="DQ34" s="42" t="str">
        <f>IF(AH34="","",IFERROR(ROUND(100*('Weighting Options'!$D$7*IF(ISNUMBER(CA34),CA34/3,0)+'Weighting Options'!$D$8*MIN(N(BL34),3)/3+'Weighting Options'!$D$9*IF(AP34="Community/Plenary-endorsed",1,IF(AP34="FGD-validated only",0.75,IF(AP34="Sub-community-specific",0.5,IF(AP34="Provisional/emerging",0.25,0))))+'Weighting Options'!$D$10*IF(ISNUMBER(K34),K34/3,0)+'Weighting Options'!$D$11*IF(CC34="",0.5,IF(CC34="OK",1,0.25))+'Weighting Options'!$D$12*IF(DK34="",0.5,IF(DK34="Agrees",1,IF(DK34="Opposite",0,0.5)))+'Weighting Options'!$D$13*MIN(N(BG34),3)/3+'Weighting Options'!$D$14*IF(AE34=1,1,0))/SUM('Weighting Options'!$D$7:$D$14),0),""))</f>
        <v/>
      </c>
      <c r="DR34" s="44" t="str">
        <f>IF(AH34="","",IFERROR(INDEX('Weighting Options'!$D$20:$D$27,VALUE(LEFT(TRIM(BU34),1))),1))</f>
        <v/>
      </c>
      <c r="DS34" s="44" t="str">
        <f t="shared" si="27"/>
        <v/>
      </c>
      <c r="DT34" s="42" t="str">
        <f>IF(AH34="","",IF(COUNTIFS($AH$12:AH34,AH34,$AI$12:AI34,AI34,$AM$12:AM34,AM34)=1,1,0))</f>
        <v/>
      </c>
    </row>
    <row r="35" spans="1:124" ht="12.75" customHeight="1" x14ac:dyDescent="0.35">
      <c r="A35" s="38"/>
      <c r="B35" s="38"/>
      <c r="C35" s="38"/>
      <c r="D35" s="38"/>
      <c r="E35" s="38"/>
      <c r="F35" s="38"/>
      <c r="G35" s="38"/>
      <c r="H35" s="38"/>
      <c r="I35" s="38"/>
      <c r="J35" s="38"/>
      <c r="K35" s="38"/>
      <c r="L35" s="38"/>
      <c r="M35" s="38"/>
      <c r="N35" s="38"/>
      <c r="O35" s="38"/>
      <c r="P35" s="39"/>
      <c r="Q35" s="39"/>
      <c r="R35" s="39"/>
      <c r="S35" s="39"/>
      <c r="AH35" s="40"/>
      <c r="AP35" s="40"/>
      <c r="AS35" s="41"/>
      <c r="AT35" s="41"/>
      <c r="AW35" t="str">
        <f t="shared" si="0"/>
        <v/>
      </c>
      <c r="AX35" t="str">
        <f t="shared" si="1"/>
        <v/>
      </c>
      <c r="AY35" t="str">
        <f t="shared" si="2"/>
        <v/>
      </c>
      <c r="AZ35" s="40"/>
      <c r="BL35" s="47" t="str">
        <f t="shared" si="3"/>
        <v/>
      </c>
      <c r="BM35" s="47" t="str">
        <f t="shared" si="4"/>
        <v/>
      </c>
      <c r="BN35" s="47" t="str">
        <f t="shared" si="5"/>
        <v/>
      </c>
      <c r="BO35" s="47" t="str">
        <f t="shared" si="6"/>
        <v/>
      </c>
      <c r="BP35" s="47" t="str">
        <f t="shared" si="7"/>
        <v/>
      </c>
      <c r="BQ35" s="48" t="str">
        <f t="shared" si="8"/>
        <v/>
      </c>
      <c r="BR35" s="48" t="str">
        <f t="shared" si="9"/>
        <v/>
      </c>
      <c r="BS35" s="48" t="str">
        <f t="shared" si="10"/>
        <v/>
      </c>
      <c r="BT35" s="47" t="str">
        <f t="shared" si="11"/>
        <v/>
      </c>
      <c r="CA35" s="47" t="str">
        <f t="shared" si="12"/>
        <v/>
      </c>
      <c r="CB35" s="47" t="str">
        <f t="shared" si="13"/>
        <v/>
      </c>
      <c r="CC35" s="47" t="str">
        <f t="shared" si="14"/>
        <v/>
      </c>
      <c r="CD35" s="47" t="str">
        <f t="shared" si="15"/>
        <v/>
      </c>
      <c r="CE35" s="47" t="str">
        <f>IF(AH35="","",IF(OR(AI35&lt;&gt;'Seasonal Tercile Tally'!$B$3,AM35&lt;&gt;'Seasonal Tercile Tally'!$B$4),"Other site/ season",IF(DT35=0,"Excluded: duplicate (later row)",IF(N35&lt;&gt;1,"Excluded: not sighted",IF(AC35&lt;&gt;1,"Excluded: not confirmed",IF(AD35&lt;&gt;1,"Excluded: not approved",IF(AP35="Contested","Excluded: contested",IF(OR(U35="",U35=0),"Excluded: no tercile",IF(CB35="","Counted (simple tally only — no weight)","Counted")))))))))</f>
        <v/>
      </c>
      <c r="CF35" s="49" t="str">
        <f>IF(AH35="","",IFERROR(INDEX('Prior Multipliers'!$C$6:$C$70,MATCH(LEFT(AH35,10),'Prior Multipliers'!$A$6:$A$70,0)),IFERROR(INDEX('Prior Multipliers'!$C$6:$C$70,MATCH(LEFT(AH35,6),'Prior Multipliers'!$A$6:$A$70,0)),IFERROR(INDEX('Prior Multipliers'!$C$6:$C$70,MATCH(LEFT(AH35,2),'Prior Multipliers'!$A$6:$A$70,0)),1))))</f>
        <v/>
      </c>
      <c r="CG35" s="49" t="str">
        <f>IF(CB35="","",IF(AND('Seasonal Tercile Tally'!$B$5=1,BT35="Rating-based"),CB35*CF35,CB35))</f>
        <v/>
      </c>
      <c r="CH35" s="47">
        <f t="shared" si="16"/>
        <v>0</v>
      </c>
      <c r="CI35" s="45"/>
      <c r="CJ35" s="42" t="str">
        <f t="shared" si="17"/>
        <v/>
      </c>
      <c r="CM35" s="42" t="str">
        <f t="shared" si="18"/>
        <v/>
      </c>
      <c r="CP35" s="46" t="str">
        <f t="shared" si="19"/>
        <v/>
      </c>
      <c r="CS35" s="46" t="str">
        <f t="shared" si="20"/>
        <v/>
      </c>
      <c r="CT35" s="42" t="str">
        <f t="shared" si="21"/>
        <v/>
      </c>
      <c r="CU35" s="42" t="str">
        <f t="shared" si="22"/>
        <v/>
      </c>
      <c r="CV35" s="42" t="str">
        <f t="shared" si="23"/>
        <v/>
      </c>
      <c r="DB35" s="45"/>
      <c r="DH35" s="42" t="str">
        <f t="shared" si="24"/>
        <v/>
      </c>
      <c r="DI35" s="43" t="str">
        <f t="shared" si="25"/>
        <v/>
      </c>
      <c r="DK35" s="46" t="str">
        <f t="shared" si="26"/>
        <v/>
      </c>
      <c r="DQ35" s="42" t="str">
        <f>IF(AH35="","",IFERROR(ROUND(100*('Weighting Options'!$D$7*IF(ISNUMBER(CA35),CA35/3,0)+'Weighting Options'!$D$8*MIN(N(BL35),3)/3+'Weighting Options'!$D$9*IF(AP35="Community/Plenary-endorsed",1,IF(AP35="FGD-validated only",0.75,IF(AP35="Sub-community-specific",0.5,IF(AP35="Provisional/emerging",0.25,0))))+'Weighting Options'!$D$10*IF(ISNUMBER(K35),K35/3,0)+'Weighting Options'!$D$11*IF(CC35="",0.5,IF(CC35="OK",1,0.25))+'Weighting Options'!$D$12*IF(DK35="",0.5,IF(DK35="Agrees",1,IF(DK35="Opposite",0,0.5)))+'Weighting Options'!$D$13*MIN(N(BG35),3)/3+'Weighting Options'!$D$14*IF(AE35=1,1,0))/SUM('Weighting Options'!$D$7:$D$14),0),""))</f>
        <v/>
      </c>
      <c r="DR35" s="44" t="str">
        <f>IF(AH35="","",IFERROR(INDEX('Weighting Options'!$D$20:$D$27,VALUE(LEFT(TRIM(BU35),1))),1))</f>
        <v/>
      </c>
      <c r="DS35" s="44" t="str">
        <f t="shared" si="27"/>
        <v/>
      </c>
      <c r="DT35" s="42" t="str">
        <f>IF(AH35="","",IF(COUNTIFS($AH$12:AH35,AH35,$AI$12:AI35,AI35,$AM$12:AM35,AM35)=1,1,0))</f>
        <v/>
      </c>
    </row>
    <row r="36" spans="1:124" ht="12.75" customHeight="1" x14ac:dyDescent="0.35">
      <c r="A36" s="38"/>
      <c r="B36" s="38"/>
      <c r="C36" s="38"/>
      <c r="D36" s="38"/>
      <c r="E36" s="38"/>
      <c r="F36" s="38"/>
      <c r="G36" s="38"/>
      <c r="H36" s="38"/>
      <c r="I36" s="38"/>
      <c r="J36" s="38"/>
      <c r="K36" s="38"/>
      <c r="L36" s="38"/>
      <c r="M36" s="38"/>
      <c r="N36" s="38"/>
      <c r="O36" s="38"/>
      <c r="P36" s="39"/>
      <c r="Q36" s="39"/>
      <c r="R36" s="39"/>
      <c r="S36" s="39"/>
      <c r="AH36" s="40"/>
      <c r="AP36" s="40"/>
      <c r="AS36" s="41"/>
      <c r="AT36" s="41"/>
      <c r="AW36" t="str">
        <f t="shared" si="0"/>
        <v/>
      </c>
      <c r="AX36" t="str">
        <f t="shared" si="1"/>
        <v/>
      </c>
      <c r="AY36" t="str">
        <f t="shared" si="2"/>
        <v/>
      </c>
      <c r="AZ36" s="40"/>
      <c r="BL36" s="47" t="str">
        <f t="shared" si="3"/>
        <v/>
      </c>
      <c r="BM36" s="47" t="str">
        <f t="shared" si="4"/>
        <v/>
      </c>
      <c r="BN36" s="47" t="str">
        <f t="shared" si="5"/>
        <v/>
      </c>
      <c r="BO36" s="47" t="str">
        <f t="shared" si="6"/>
        <v/>
      </c>
      <c r="BP36" s="47" t="str">
        <f t="shared" si="7"/>
        <v/>
      </c>
      <c r="BQ36" s="48" t="str">
        <f t="shared" si="8"/>
        <v/>
      </c>
      <c r="BR36" s="48" t="str">
        <f t="shared" si="9"/>
        <v/>
      </c>
      <c r="BS36" s="48" t="str">
        <f t="shared" si="10"/>
        <v/>
      </c>
      <c r="BT36" s="47" t="str">
        <f t="shared" si="11"/>
        <v/>
      </c>
      <c r="CA36" s="47" t="str">
        <f t="shared" si="12"/>
        <v/>
      </c>
      <c r="CB36" s="47" t="str">
        <f t="shared" si="13"/>
        <v/>
      </c>
      <c r="CC36" s="47" t="str">
        <f t="shared" si="14"/>
        <v/>
      </c>
      <c r="CD36" s="47" t="str">
        <f t="shared" si="15"/>
        <v/>
      </c>
      <c r="CE36" s="47" t="str">
        <f>IF(AH36="","",IF(OR(AI36&lt;&gt;'Seasonal Tercile Tally'!$B$3,AM36&lt;&gt;'Seasonal Tercile Tally'!$B$4),"Other site/ season",IF(DT36=0,"Excluded: duplicate (later row)",IF(N36&lt;&gt;1,"Excluded: not sighted",IF(AC36&lt;&gt;1,"Excluded: not confirmed",IF(AD36&lt;&gt;1,"Excluded: not approved",IF(AP36="Contested","Excluded: contested",IF(OR(U36="",U36=0),"Excluded: no tercile",IF(CB36="","Counted (simple tally only — no weight)","Counted")))))))))</f>
        <v/>
      </c>
      <c r="CF36" s="49" t="str">
        <f>IF(AH36="","",IFERROR(INDEX('Prior Multipliers'!$C$6:$C$70,MATCH(LEFT(AH36,10),'Prior Multipliers'!$A$6:$A$70,0)),IFERROR(INDEX('Prior Multipliers'!$C$6:$C$70,MATCH(LEFT(AH36,6),'Prior Multipliers'!$A$6:$A$70,0)),IFERROR(INDEX('Prior Multipliers'!$C$6:$C$70,MATCH(LEFT(AH36,2),'Prior Multipliers'!$A$6:$A$70,0)),1))))</f>
        <v/>
      </c>
      <c r="CG36" s="49" t="str">
        <f>IF(CB36="","",IF(AND('Seasonal Tercile Tally'!$B$5=1,BT36="Rating-based"),CB36*CF36,CB36))</f>
        <v/>
      </c>
      <c r="CH36" s="47">
        <f t="shared" si="16"/>
        <v>0</v>
      </c>
      <c r="CI36" s="45"/>
      <c r="CJ36" s="42" t="str">
        <f t="shared" si="17"/>
        <v/>
      </c>
      <c r="CM36" s="42" t="str">
        <f t="shared" si="18"/>
        <v/>
      </c>
      <c r="CP36" s="46" t="str">
        <f t="shared" si="19"/>
        <v/>
      </c>
      <c r="CS36" s="46" t="str">
        <f t="shared" si="20"/>
        <v/>
      </c>
      <c r="CT36" s="42" t="str">
        <f t="shared" si="21"/>
        <v/>
      </c>
      <c r="CU36" s="42" t="str">
        <f t="shared" si="22"/>
        <v/>
      </c>
      <c r="CV36" s="42" t="str">
        <f t="shared" si="23"/>
        <v/>
      </c>
      <c r="DB36" s="45"/>
      <c r="DH36" s="42" t="str">
        <f t="shared" si="24"/>
        <v/>
      </c>
      <c r="DI36" s="43" t="str">
        <f t="shared" si="25"/>
        <v/>
      </c>
      <c r="DK36" s="46" t="str">
        <f t="shared" si="26"/>
        <v/>
      </c>
      <c r="DQ36" s="42" t="str">
        <f>IF(AH36="","",IFERROR(ROUND(100*('Weighting Options'!$D$7*IF(ISNUMBER(CA36),CA36/3,0)+'Weighting Options'!$D$8*MIN(N(BL36),3)/3+'Weighting Options'!$D$9*IF(AP36="Community/Plenary-endorsed",1,IF(AP36="FGD-validated only",0.75,IF(AP36="Sub-community-specific",0.5,IF(AP36="Provisional/emerging",0.25,0))))+'Weighting Options'!$D$10*IF(ISNUMBER(K36),K36/3,0)+'Weighting Options'!$D$11*IF(CC36="",0.5,IF(CC36="OK",1,0.25))+'Weighting Options'!$D$12*IF(DK36="",0.5,IF(DK36="Agrees",1,IF(DK36="Opposite",0,0.5)))+'Weighting Options'!$D$13*MIN(N(BG36),3)/3+'Weighting Options'!$D$14*IF(AE36=1,1,0))/SUM('Weighting Options'!$D$7:$D$14),0),""))</f>
        <v/>
      </c>
      <c r="DR36" s="44" t="str">
        <f>IF(AH36="","",IFERROR(INDEX('Weighting Options'!$D$20:$D$27,VALUE(LEFT(TRIM(BU36),1))),1))</f>
        <v/>
      </c>
      <c r="DS36" s="44" t="str">
        <f t="shared" si="27"/>
        <v/>
      </c>
      <c r="DT36" s="42" t="str">
        <f>IF(AH36="","",IF(COUNTIFS($AH$12:AH36,AH36,$AI$12:AI36,AI36,$AM$12:AM36,AM36)=1,1,0))</f>
        <v/>
      </c>
    </row>
    <row r="37" spans="1:124" ht="12.75" customHeight="1" x14ac:dyDescent="0.35">
      <c r="A37" s="38"/>
      <c r="B37" s="38"/>
      <c r="C37" s="38"/>
      <c r="D37" s="38"/>
      <c r="E37" s="38"/>
      <c r="F37" s="38"/>
      <c r="G37" s="38"/>
      <c r="H37" s="38"/>
      <c r="I37" s="38"/>
      <c r="J37" s="38"/>
      <c r="K37" s="38"/>
      <c r="L37" s="38"/>
      <c r="M37" s="38"/>
      <c r="N37" s="38"/>
      <c r="O37" s="38"/>
      <c r="P37" s="39"/>
      <c r="Q37" s="39"/>
      <c r="R37" s="39"/>
      <c r="S37" s="39"/>
      <c r="AH37" s="40"/>
      <c r="AP37" s="40"/>
      <c r="AS37" s="41"/>
      <c r="AT37" s="41"/>
      <c r="AW37" t="str">
        <f t="shared" si="0"/>
        <v/>
      </c>
      <c r="AX37" t="str">
        <f t="shared" si="1"/>
        <v/>
      </c>
      <c r="AY37" t="str">
        <f t="shared" si="2"/>
        <v/>
      </c>
      <c r="AZ37" s="40"/>
      <c r="BL37" s="47" t="str">
        <f t="shared" si="3"/>
        <v/>
      </c>
      <c r="BM37" s="47" t="str">
        <f t="shared" si="4"/>
        <v/>
      </c>
      <c r="BN37" s="47" t="str">
        <f t="shared" si="5"/>
        <v/>
      </c>
      <c r="BO37" s="47" t="str">
        <f t="shared" si="6"/>
        <v/>
      </c>
      <c r="BP37" s="47" t="str">
        <f t="shared" si="7"/>
        <v/>
      </c>
      <c r="BQ37" s="48" t="str">
        <f t="shared" si="8"/>
        <v/>
      </c>
      <c r="BR37" s="48" t="str">
        <f t="shared" si="9"/>
        <v/>
      </c>
      <c r="BS37" s="48" t="str">
        <f t="shared" si="10"/>
        <v/>
      </c>
      <c r="BT37" s="47" t="str">
        <f t="shared" si="11"/>
        <v/>
      </c>
      <c r="CA37" s="47" t="str">
        <f t="shared" si="12"/>
        <v/>
      </c>
      <c r="CB37" s="47" t="str">
        <f t="shared" si="13"/>
        <v/>
      </c>
      <c r="CC37" s="47" t="str">
        <f t="shared" si="14"/>
        <v/>
      </c>
      <c r="CD37" s="47" t="str">
        <f t="shared" si="15"/>
        <v/>
      </c>
      <c r="CE37" s="47" t="str">
        <f>IF(AH37="","",IF(OR(AI37&lt;&gt;'Seasonal Tercile Tally'!$B$3,AM37&lt;&gt;'Seasonal Tercile Tally'!$B$4),"Other site/ season",IF(DT37=0,"Excluded: duplicate (later row)",IF(N37&lt;&gt;1,"Excluded: not sighted",IF(AC37&lt;&gt;1,"Excluded: not confirmed",IF(AD37&lt;&gt;1,"Excluded: not approved",IF(AP37="Contested","Excluded: contested",IF(OR(U37="",U37=0),"Excluded: no tercile",IF(CB37="","Counted (simple tally only — no weight)","Counted")))))))))</f>
        <v/>
      </c>
      <c r="CF37" s="49" t="str">
        <f>IF(AH37="","",IFERROR(INDEX('Prior Multipliers'!$C$6:$C$70,MATCH(LEFT(AH37,10),'Prior Multipliers'!$A$6:$A$70,0)),IFERROR(INDEX('Prior Multipliers'!$C$6:$C$70,MATCH(LEFT(AH37,6),'Prior Multipliers'!$A$6:$A$70,0)),IFERROR(INDEX('Prior Multipliers'!$C$6:$C$70,MATCH(LEFT(AH37,2),'Prior Multipliers'!$A$6:$A$70,0)),1))))</f>
        <v/>
      </c>
      <c r="CG37" s="49" t="str">
        <f>IF(CB37="","",IF(AND('Seasonal Tercile Tally'!$B$5=1,BT37="Rating-based"),CB37*CF37,CB37))</f>
        <v/>
      </c>
      <c r="CH37" s="47">
        <f t="shared" si="16"/>
        <v>0</v>
      </c>
      <c r="CI37" s="45"/>
      <c r="CJ37" s="42" t="str">
        <f t="shared" si="17"/>
        <v/>
      </c>
      <c r="CM37" s="42" t="str">
        <f t="shared" si="18"/>
        <v/>
      </c>
      <c r="CP37" s="46" t="str">
        <f t="shared" si="19"/>
        <v/>
      </c>
      <c r="CS37" s="46" t="str">
        <f t="shared" si="20"/>
        <v/>
      </c>
      <c r="CT37" s="42" t="str">
        <f t="shared" si="21"/>
        <v/>
      </c>
      <c r="CU37" s="42" t="str">
        <f t="shared" si="22"/>
        <v/>
      </c>
      <c r="CV37" s="42" t="str">
        <f t="shared" si="23"/>
        <v/>
      </c>
      <c r="DB37" s="45"/>
      <c r="DH37" s="42" t="str">
        <f t="shared" si="24"/>
        <v/>
      </c>
      <c r="DI37" s="43" t="str">
        <f t="shared" si="25"/>
        <v/>
      </c>
      <c r="DK37" s="46" t="str">
        <f t="shared" si="26"/>
        <v/>
      </c>
      <c r="DQ37" s="42" t="str">
        <f>IF(AH37="","",IFERROR(ROUND(100*('Weighting Options'!$D$7*IF(ISNUMBER(CA37),CA37/3,0)+'Weighting Options'!$D$8*MIN(N(BL37),3)/3+'Weighting Options'!$D$9*IF(AP37="Community/Plenary-endorsed",1,IF(AP37="FGD-validated only",0.75,IF(AP37="Sub-community-specific",0.5,IF(AP37="Provisional/emerging",0.25,0))))+'Weighting Options'!$D$10*IF(ISNUMBER(K37),K37/3,0)+'Weighting Options'!$D$11*IF(CC37="",0.5,IF(CC37="OK",1,0.25))+'Weighting Options'!$D$12*IF(DK37="",0.5,IF(DK37="Agrees",1,IF(DK37="Opposite",0,0.5)))+'Weighting Options'!$D$13*MIN(N(BG37),3)/3+'Weighting Options'!$D$14*IF(AE37=1,1,0))/SUM('Weighting Options'!$D$7:$D$14),0),""))</f>
        <v/>
      </c>
      <c r="DR37" s="44" t="str">
        <f>IF(AH37="","",IFERROR(INDEX('Weighting Options'!$D$20:$D$27,VALUE(LEFT(TRIM(BU37),1))),1))</f>
        <v/>
      </c>
      <c r="DS37" s="44" t="str">
        <f t="shared" si="27"/>
        <v/>
      </c>
      <c r="DT37" s="42" t="str">
        <f>IF(AH37="","",IF(COUNTIFS($AH$12:AH37,AH37,$AI$12:AI37,AI37,$AM$12:AM37,AM37)=1,1,0))</f>
        <v/>
      </c>
    </row>
    <row r="38" spans="1:124" ht="12.75" customHeight="1" x14ac:dyDescent="0.35">
      <c r="P38" s="41"/>
      <c r="Q38" s="41"/>
      <c r="R38" s="41"/>
      <c r="S38" s="41"/>
      <c r="AH38" s="40"/>
      <c r="AP38" s="40"/>
      <c r="AS38" s="41"/>
      <c r="AT38" s="41"/>
      <c r="AW38" t="str">
        <f t="shared" si="0"/>
        <v/>
      </c>
      <c r="AX38" t="str">
        <f t="shared" si="1"/>
        <v/>
      </c>
      <c r="AY38" t="str">
        <f t="shared" si="2"/>
        <v/>
      </c>
      <c r="AZ38" s="40"/>
      <c r="BL38" s="47" t="str">
        <f t="shared" si="3"/>
        <v/>
      </c>
      <c r="BM38" s="47" t="str">
        <f t="shared" si="4"/>
        <v/>
      </c>
      <c r="BN38" s="47" t="str">
        <f t="shared" si="5"/>
        <v/>
      </c>
      <c r="BO38" s="47" t="str">
        <f t="shared" si="6"/>
        <v/>
      </c>
      <c r="BP38" s="47" t="str">
        <f t="shared" si="7"/>
        <v/>
      </c>
      <c r="BQ38" s="48" t="str">
        <f t="shared" si="8"/>
        <v/>
      </c>
      <c r="BR38" s="48" t="str">
        <f t="shared" si="9"/>
        <v/>
      </c>
      <c r="BS38" s="48" t="str">
        <f t="shared" si="10"/>
        <v/>
      </c>
      <c r="BT38" s="47" t="str">
        <f t="shared" si="11"/>
        <v/>
      </c>
      <c r="CA38" s="47" t="str">
        <f t="shared" si="12"/>
        <v/>
      </c>
      <c r="CB38" s="47" t="str">
        <f t="shared" si="13"/>
        <v/>
      </c>
      <c r="CC38" s="47" t="str">
        <f t="shared" si="14"/>
        <v/>
      </c>
      <c r="CD38" s="47" t="str">
        <f t="shared" si="15"/>
        <v/>
      </c>
      <c r="CE38" s="47" t="str">
        <f>IF(AH38="","",IF(OR(AI38&lt;&gt;'Seasonal Tercile Tally'!$B$3,AM38&lt;&gt;'Seasonal Tercile Tally'!$B$4),"Other site/ season",IF(DT38=0,"Excluded: duplicate (later row)",IF(N38&lt;&gt;1,"Excluded: not sighted",IF(AC38&lt;&gt;1,"Excluded: not confirmed",IF(AD38&lt;&gt;1,"Excluded: not approved",IF(AP38="Contested","Excluded: contested",IF(OR(U38="",U38=0),"Excluded: no tercile",IF(CB38="","Counted (simple tally only — no weight)","Counted")))))))))</f>
        <v/>
      </c>
      <c r="CF38" s="49" t="str">
        <f>IF(AH38="","",IFERROR(INDEX('Prior Multipliers'!$C$6:$C$70,MATCH(LEFT(AH38,10),'Prior Multipliers'!$A$6:$A$70,0)),IFERROR(INDEX('Prior Multipliers'!$C$6:$C$70,MATCH(LEFT(AH38,6),'Prior Multipliers'!$A$6:$A$70,0)),IFERROR(INDEX('Prior Multipliers'!$C$6:$C$70,MATCH(LEFT(AH38,2),'Prior Multipliers'!$A$6:$A$70,0)),1))))</f>
        <v/>
      </c>
      <c r="CG38" s="49" t="str">
        <f>IF(CB38="","",IF(AND('Seasonal Tercile Tally'!$B$5=1,BT38="Rating-based"),CB38*CF38,CB38))</f>
        <v/>
      </c>
      <c r="CH38" s="47">
        <f t="shared" si="16"/>
        <v>0</v>
      </c>
      <c r="CI38" s="45"/>
      <c r="CJ38" s="42" t="str">
        <f t="shared" si="17"/>
        <v/>
      </c>
      <c r="CM38" s="42" t="str">
        <f t="shared" si="18"/>
        <v/>
      </c>
      <c r="CP38" s="46" t="str">
        <f t="shared" si="19"/>
        <v/>
      </c>
      <c r="CS38" s="46" t="str">
        <f t="shared" si="20"/>
        <v/>
      </c>
      <c r="CT38" s="42" t="str">
        <f t="shared" si="21"/>
        <v/>
      </c>
      <c r="CU38" s="42" t="str">
        <f t="shared" si="22"/>
        <v/>
      </c>
      <c r="CV38" s="42" t="str">
        <f t="shared" si="23"/>
        <v/>
      </c>
      <c r="DB38" s="45"/>
      <c r="DH38" s="42" t="str">
        <f t="shared" si="24"/>
        <v/>
      </c>
      <c r="DI38" s="43" t="str">
        <f t="shared" si="25"/>
        <v/>
      </c>
      <c r="DK38" s="46" t="str">
        <f t="shared" si="26"/>
        <v/>
      </c>
      <c r="DQ38" s="42" t="str">
        <f>IF(AH38="","",IFERROR(ROUND(100*('Weighting Options'!$D$7*IF(ISNUMBER(CA38),CA38/3,0)+'Weighting Options'!$D$8*MIN(N(BL38),3)/3+'Weighting Options'!$D$9*IF(AP38="Community/Plenary-endorsed",1,IF(AP38="FGD-validated only",0.75,IF(AP38="Sub-community-specific",0.5,IF(AP38="Provisional/emerging",0.25,0))))+'Weighting Options'!$D$10*IF(ISNUMBER(K38),K38/3,0)+'Weighting Options'!$D$11*IF(CC38="",0.5,IF(CC38="OK",1,0.25))+'Weighting Options'!$D$12*IF(DK38="",0.5,IF(DK38="Agrees",1,IF(DK38="Opposite",0,0.5)))+'Weighting Options'!$D$13*MIN(N(BG38),3)/3+'Weighting Options'!$D$14*IF(AE38=1,1,0))/SUM('Weighting Options'!$D$7:$D$14),0),""))</f>
        <v/>
      </c>
      <c r="DR38" s="44" t="str">
        <f>IF(AH38="","",IFERROR(INDEX('Weighting Options'!$D$20:$D$27,VALUE(LEFT(TRIM(BU38),1))),1))</f>
        <v/>
      </c>
      <c r="DS38" s="44" t="str">
        <f t="shared" si="27"/>
        <v/>
      </c>
      <c r="DT38" s="42" t="str">
        <f>IF(AH38="","",IF(COUNTIFS($AH$12:AH38,AH38,$AI$12:AI38,AI38,$AM$12:AM38,AM38)=1,1,0))</f>
        <v/>
      </c>
    </row>
    <row r="39" spans="1:124" ht="12.75" customHeight="1" x14ac:dyDescent="0.35">
      <c r="P39" s="41"/>
      <c r="Q39" s="41"/>
      <c r="R39" s="41"/>
      <c r="S39" s="41"/>
      <c r="AH39" s="40"/>
      <c r="AP39" s="40"/>
      <c r="AS39" s="41"/>
      <c r="AT39" s="41"/>
      <c r="AW39" t="str">
        <f t="shared" si="0"/>
        <v/>
      </c>
      <c r="AX39" t="str">
        <f t="shared" si="1"/>
        <v/>
      </c>
      <c r="AY39" t="str">
        <f t="shared" si="2"/>
        <v/>
      </c>
      <c r="AZ39" s="40"/>
      <c r="BL39" s="47" t="str">
        <f t="shared" si="3"/>
        <v/>
      </c>
      <c r="BM39" s="47" t="str">
        <f t="shared" si="4"/>
        <v/>
      </c>
      <c r="BN39" s="47" t="str">
        <f t="shared" si="5"/>
        <v/>
      </c>
      <c r="BO39" s="47" t="str">
        <f t="shared" si="6"/>
        <v/>
      </c>
      <c r="BP39" s="47" t="str">
        <f t="shared" si="7"/>
        <v/>
      </c>
      <c r="BQ39" s="48" t="str">
        <f t="shared" si="8"/>
        <v/>
      </c>
      <c r="BR39" s="48" t="str">
        <f t="shared" si="9"/>
        <v/>
      </c>
      <c r="BS39" s="48" t="str">
        <f t="shared" si="10"/>
        <v/>
      </c>
      <c r="BT39" s="47" t="str">
        <f t="shared" si="11"/>
        <v/>
      </c>
      <c r="CA39" s="47" t="str">
        <f t="shared" si="12"/>
        <v/>
      </c>
      <c r="CB39" s="47" t="str">
        <f t="shared" si="13"/>
        <v/>
      </c>
      <c r="CC39" s="47" t="str">
        <f t="shared" si="14"/>
        <v/>
      </c>
      <c r="CD39" s="47" t="str">
        <f t="shared" si="15"/>
        <v/>
      </c>
      <c r="CE39" s="47" t="str">
        <f>IF(AH39="","",IF(OR(AI39&lt;&gt;'Seasonal Tercile Tally'!$B$3,AM39&lt;&gt;'Seasonal Tercile Tally'!$B$4),"Other site/ season",IF(DT39=0,"Excluded: duplicate (later row)",IF(N39&lt;&gt;1,"Excluded: not sighted",IF(AC39&lt;&gt;1,"Excluded: not confirmed",IF(AD39&lt;&gt;1,"Excluded: not approved",IF(AP39="Contested","Excluded: contested",IF(OR(U39="",U39=0),"Excluded: no tercile",IF(CB39="","Counted (simple tally only — no weight)","Counted")))))))))</f>
        <v/>
      </c>
      <c r="CF39" s="49" t="str">
        <f>IF(AH39="","",IFERROR(INDEX('Prior Multipliers'!$C$6:$C$70,MATCH(LEFT(AH39,10),'Prior Multipliers'!$A$6:$A$70,0)),IFERROR(INDEX('Prior Multipliers'!$C$6:$C$70,MATCH(LEFT(AH39,6),'Prior Multipliers'!$A$6:$A$70,0)),IFERROR(INDEX('Prior Multipliers'!$C$6:$C$70,MATCH(LEFT(AH39,2),'Prior Multipliers'!$A$6:$A$70,0)),1))))</f>
        <v/>
      </c>
      <c r="CG39" s="49" t="str">
        <f>IF(CB39="","",IF(AND('Seasonal Tercile Tally'!$B$5=1,BT39="Rating-based"),CB39*CF39,CB39))</f>
        <v/>
      </c>
      <c r="CH39" s="47">
        <f t="shared" si="16"/>
        <v>0</v>
      </c>
      <c r="CI39" s="45"/>
      <c r="CJ39" s="42" t="str">
        <f t="shared" si="17"/>
        <v/>
      </c>
      <c r="CM39" s="42" t="str">
        <f t="shared" si="18"/>
        <v/>
      </c>
      <c r="CP39" s="46" t="str">
        <f t="shared" si="19"/>
        <v/>
      </c>
      <c r="CS39" s="46" t="str">
        <f t="shared" si="20"/>
        <v/>
      </c>
      <c r="CT39" s="42" t="str">
        <f t="shared" si="21"/>
        <v/>
      </c>
      <c r="CU39" s="42" t="str">
        <f t="shared" si="22"/>
        <v/>
      </c>
      <c r="CV39" s="42" t="str">
        <f t="shared" si="23"/>
        <v/>
      </c>
      <c r="DB39" s="45"/>
      <c r="DH39" s="42" t="str">
        <f t="shared" si="24"/>
        <v/>
      </c>
      <c r="DI39" s="43" t="str">
        <f t="shared" si="25"/>
        <v/>
      </c>
      <c r="DK39" s="46" t="str">
        <f t="shared" si="26"/>
        <v/>
      </c>
      <c r="DQ39" s="42" t="str">
        <f>IF(AH39="","",IFERROR(ROUND(100*('Weighting Options'!$D$7*IF(ISNUMBER(CA39),CA39/3,0)+'Weighting Options'!$D$8*MIN(N(BL39),3)/3+'Weighting Options'!$D$9*IF(AP39="Community/Plenary-endorsed",1,IF(AP39="FGD-validated only",0.75,IF(AP39="Sub-community-specific",0.5,IF(AP39="Provisional/emerging",0.25,0))))+'Weighting Options'!$D$10*IF(ISNUMBER(K39),K39/3,0)+'Weighting Options'!$D$11*IF(CC39="",0.5,IF(CC39="OK",1,0.25))+'Weighting Options'!$D$12*IF(DK39="",0.5,IF(DK39="Agrees",1,IF(DK39="Opposite",0,0.5)))+'Weighting Options'!$D$13*MIN(N(BG39),3)/3+'Weighting Options'!$D$14*IF(AE39=1,1,0))/SUM('Weighting Options'!$D$7:$D$14),0),""))</f>
        <v/>
      </c>
      <c r="DR39" s="44" t="str">
        <f>IF(AH39="","",IFERROR(INDEX('Weighting Options'!$D$20:$D$27,VALUE(LEFT(TRIM(BU39),1))),1))</f>
        <v/>
      </c>
      <c r="DS39" s="44" t="str">
        <f t="shared" si="27"/>
        <v/>
      </c>
      <c r="DT39" s="42" t="str">
        <f>IF(AH39="","",IF(COUNTIFS($AH$12:AH39,AH39,$AI$12:AI39,AI39,$AM$12:AM39,AM39)=1,1,0))</f>
        <v/>
      </c>
    </row>
    <row r="40" spans="1:124" ht="12.75" customHeight="1" x14ac:dyDescent="0.35">
      <c r="P40" s="41"/>
      <c r="Q40" s="41"/>
      <c r="R40" s="41"/>
      <c r="S40" s="41"/>
      <c r="AH40" s="40"/>
      <c r="AP40" s="40"/>
      <c r="AS40" s="41"/>
      <c r="AT40" s="41"/>
      <c r="AW40" t="str">
        <f t="shared" si="0"/>
        <v/>
      </c>
      <c r="AX40" t="str">
        <f t="shared" si="1"/>
        <v/>
      </c>
      <c r="AY40" t="str">
        <f t="shared" si="2"/>
        <v/>
      </c>
      <c r="AZ40" s="40"/>
      <c r="BL40" s="47" t="str">
        <f t="shared" si="3"/>
        <v/>
      </c>
      <c r="BM40" s="47" t="str">
        <f t="shared" si="4"/>
        <v/>
      </c>
      <c r="BN40" s="47" t="str">
        <f t="shared" si="5"/>
        <v/>
      </c>
      <c r="BO40" s="47" t="str">
        <f t="shared" si="6"/>
        <v/>
      </c>
      <c r="BP40" s="47" t="str">
        <f t="shared" si="7"/>
        <v/>
      </c>
      <c r="BQ40" s="48" t="str">
        <f t="shared" si="8"/>
        <v/>
      </c>
      <c r="BR40" s="48" t="str">
        <f t="shared" si="9"/>
        <v/>
      </c>
      <c r="BS40" s="48" t="str">
        <f t="shared" si="10"/>
        <v/>
      </c>
      <c r="BT40" s="47" t="str">
        <f t="shared" si="11"/>
        <v/>
      </c>
      <c r="CA40" s="47" t="str">
        <f t="shared" si="12"/>
        <v/>
      </c>
      <c r="CB40" s="47" t="str">
        <f t="shared" si="13"/>
        <v/>
      </c>
      <c r="CC40" s="47" t="str">
        <f t="shared" si="14"/>
        <v/>
      </c>
      <c r="CD40" s="47" t="str">
        <f t="shared" si="15"/>
        <v/>
      </c>
      <c r="CE40" s="47" t="str">
        <f>IF(AH40="","",IF(OR(AI40&lt;&gt;'Seasonal Tercile Tally'!$B$3,AM40&lt;&gt;'Seasonal Tercile Tally'!$B$4),"Other site/ season",IF(DT40=0,"Excluded: duplicate (later row)",IF(N40&lt;&gt;1,"Excluded: not sighted",IF(AC40&lt;&gt;1,"Excluded: not confirmed",IF(AD40&lt;&gt;1,"Excluded: not approved",IF(AP40="Contested","Excluded: contested",IF(OR(U40="",U40=0),"Excluded: no tercile",IF(CB40="","Counted (simple tally only — no weight)","Counted")))))))))</f>
        <v/>
      </c>
      <c r="CF40" s="49" t="str">
        <f>IF(AH40="","",IFERROR(INDEX('Prior Multipliers'!$C$6:$C$70,MATCH(LEFT(AH40,10),'Prior Multipliers'!$A$6:$A$70,0)),IFERROR(INDEX('Prior Multipliers'!$C$6:$C$70,MATCH(LEFT(AH40,6),'Prior Multipliers'!$A$6:$A$70,0)),IFERROR(INDEX('Prior Multipliers'!$C$6:$C$70,MATCH(LEFT(AH40,2),'Prior Multipliers'!$A$6:$A$70,0)),1))))</f>
        <v/>
      </c>
      <c r="CG40" s="49" t="str">
        <f>IF(CB40="","",IF(AND('Seasonal Tercile Tally'!$B$5=1,BT40="Rating-based"),CB40*CF40,CB40))</f>
        <v/>
      </c>
      <c r="CH40" s="47">
        <f t="shared" si="16"/>
        <v>0</v>
      </c>
      <c r="CI40" s="45"/>
      <c r="CJ40" s="42" t="str">
        <f t="shared" si="17"/>
        <v/>
      </c>
      <c r="CM40" s="42" t="str">
        <f t="shared" si="18"/>
        <v/>
      </c>
      <c r="CP40" s="46" t="str">
        <f t="shared" si="19"/>
        <v/>
      </c>
      <c r="CS40" s="46" t="str">
        <f t="shared" si="20"/>
        <v/>
      </c>
      <c r="CT40" s="42" t="str">
        <f t="shared" si="21"/>
        <v/>
      </c>
      <c r="CU40" s="42" t="str">
        <f t="shared" si="22"/>
        <v/>
      </c>
      <c r="CV40" s="42" t="str">
        <f t="shared" si="23"/>
        <v/>
      </c>
      <c r="DB40" s="45"/>
      <c r="DH40" s="42" t="str">
        <f t="shared" si="24"/>
        <v/>
      </c>
      <c r="DI40" s="43" t="str">
        <f t="shared" si="25"/>
        <v/>
      </c>
      <c r="DK40" s="46" t="str">
        <f t="shared" si="26"/>
        <v/>
      </c>
      <c r="DQ40" s="42" t="str">
        <f>IF(AH40="","",IFERROR(ROUND(100*('Weighting Options'!$D$7*IF(ISNUMBER(CA40),CA40/3,0)+'Weighting Options'!$D$8*MIN(N(BL40),3)/3+'Weighting Options'!$D$9*IF(AP40="Community/Plenary-endorsed",1,IF(AP40="FGD-validated only",0.75,IF(AP40="Sub-community-specific",0.5,IF(AP40="Provisional/emerging",0.25,0))))+'Weighting Options'!$D$10*IF(ISNUMBER(K40),K40/3,0)+'Weighting Options'!$D$11*IF(CC40="",0.5,IF(CC40="OK",1,0.25))+'Weighting Options'!$D$12*IF(DK40="",0.5,IF(DK40="Agrees",1,IF(DK40="Opposite",0,0.5)))+'Weighting Options'!$D$13*MIN(N(BG40),3)/3+'Weighting Options'!$D$14*IF(AE40=1,1,0))/SUM('Weighting Options'!$D$7:$D$14),0),""))</f>
        <v/>
      </c>
      <c r="DR40" s="44" t="str">
        <f>IF(AH40="","",IFERROR(INDEX('Weighting Options'!$D$20:$D$27,VALUE(LEFT(TRIM(BU40),1))),1))</f>
        <v/>
      </c>
      <c r="DS40" s="44" t="str">
        <f t="shared" si="27"/>
        <v/>
      </c>
      <c r="DT40" s="42" t="str">
        <f>IF(AH40="","",IF(COUNTIFS($AH$12:AH40,AH40,$AI$12:AI40,AI40,$AM$12:AM40,AM40)=1,1,0))</f>
        <v/>
      </c>
    </row>
    <row r="41" spans="1:124" ht="12.75" customHeight="1" x14ac:dyDescent="0.35">
      <c r="P41" s="41"/>
      <c r="Q41" s="41"/>
      <c r="R41" s="41"/>
      <c r="S41" s="41"/>
      <c r="AH41" s="40"/>
      <c r="AP41" s="40"/>
      <c r="AS41" s="41"/>
      <c r="AT41" s="41"/>
      <c r="AW41" t="str">
        <f t="shared" si="0"/>
        <v/>
      </c>
      <c r="AX41" t="str">
        <f t="shared" si="1"/>
        <v/>
      </c>
      <c r="AY41" t="str">
        <f t="shared" si="2"/>
        <v/>
      </c>
      <c r="AZ41" s="40"/>
      <c r="BL41" s="47" t="str">
        <f t="shared" si="3"/>
        <v/>
      </c>
      <c r="BM41" s="47" t="str">
        <f t="shared" si="4"/>
        <v/>
      </c>
      <c r="BN41" s="47" t="str">
        <f t="shared" si="5"/>
        <v/>
      </c>
      <c r="BO41" s="47" t="str">
        <f t="shared" si="6"/>
        <v/>
      </c>
      <c r="BP41" s="47" t="str">
        <f t="shared" si="7"/>
        <v/>
      </c>
      <c r="BQ41" s="48" t="str">
        <f t="shared" si="8"/>
        <v/>
      </c>
      <c r="BR41" s="48" t="str">
        <f t="shared" si="9"/>
        <v/>
      </c>
      <c r="BS41" s="48" t="str">
        <f t="shared" si="10"/>
        <v/>
      </c>
      <c r="BT41" s="47" t="str">
        <f t="shared" si="11"/>
        <v/>
      </c>
      <c r="CA41" s="47" t="str">
        <f t="shared" si="12"/>
        <v/>
      </c>
      <c r="CB41" s="47" t="str">
        <f t="shared" si="13"/>
        <v/>
      </c>
      <c r="CC41" s="47" t="str">
        <f t="shared" si="14"/>
        <v/>
      </c>
      <c r="CD41" s="47" t="str">
        <f t="shared" si="15"/>
        <v/>
      </c>
      <c r="CE41" s="47" t="str">
        <f>IF(AH41="","",IF(OR(AI41&lt;&gt;'Seasonal Tercile Tally'!$B$3,AM41&lt;&gt;'Seasonal Tercile Tally'!$B$4),"Other site/ season",IF(DT41=0,"Excluded: duplicate (later row)",IF(N41&lt;&gt;1,"Excluded: not sighted",IF(AC41&lt;&gt;1,"Excluded: not confirmed",IF(AD41&lt;&gt;1,"Excluded: not approved",IF(AP41="Contested","Excluded: contested",IF(OR(U41="",U41=0),"Excluded: no tercile",IF(CB41="","Counted (simple tally only — no weight)","Counted")))))))))</f>
        <v/>
      </c>
      <c r="CF41" s="49" t="str">
        <f>IF(AH41="","",IFERROR(INDEX('Prior Multipliers'!$C$6:$C$70,MATCH(LEFT(AH41,10),'Prior Multipliers'!$A$6:$A$70,0)),IFERROR(INDEX('Prior Multipliers'!$C$6:$C$70,MATCH(LEFT(AH41,6),'Prior Multipliers'!$A$6:$A$70,0)),IFERROR(INDEX('Prior Multipliers'!$C$6:$C$70,MATCH(LEFT(AH41,2),'Prior Multipliers'!$A$6:$A$70,0)),1))))</f>
        <v/>
      </c>
      <c r="CG41" s="49" t="str">
        <f>IF(CB41="","",IF(AND('Seasonal Tercile Tally'!$B$5=1,BT41="Rating-based"),CB41*CF41,CB41))</f>
        <v/>
      </c>
      <c r="CH41" s="47">
        <f t="shared" si="16"/>
        <v>0</v>
      </c>
      <c r="CI41" s="45"/>
      <c r="CJ41" s="42" t="str">
        <f t="shared" si="17"/>
        <v/>
      </c>
      <c r="CM41" s="42" t="str">
        <f t="shared" si="18"/>
        <v/>
      </c>
      <c r="CP41" s="46" t="str">
        <f t="shared" si="19"/>
        <v/>
      </c>
      <c r="CS41" s="46" t="str">
        <f t="shared" si="20"/>
        <v/>
      </c>
      <c r="CT41" s="42" t="str">
        <f t="shared" si="21"/>
        <v/>
      </c>
      <c r="CU41" s="42" t="str">
        <f t="shared" si="22"/>
        <v/>
      </c>
      <c r="CV41" s="42" t="str">
        <f t="shared" si="23"/>
        <v/>
      </c>
      <c r="DB41" s="45"/>
      <c r="DH41" s="42" t="str">
        <f t="shared" si="24"/>
        <v/>
      </c>
      <c r="DI41" s="43" t="str">
        <f t="shared" si="25"/>
        <v/>
      </c>
      <c r="DK41" s="46" t="str">
        <f t="shared" si="26"/>
        <v/>
      </c>
      <c r="DQ41" s="42" t="str">
        <f>IF(AH41="","",IFERROR(ROUND(100*('Weighting Options'!$D$7*IF(ISNUMBER(CA41),CA41/3,0)+'Weighting Options'!$D$8*MIN(N(BL41),3)/3+'Weighting Options'!$D$9*IF(AP41="Community/Plenary-endorsed",1,IF(AP41="FGD-validated only",0.75,IF(AP41="Sub-community-specific",0.5,IF(AP41="Provisional/emerging",0.25,0))))+'Weighting Options'!$D$10*IF(ISNUMBER(K41),K41/3,0)+'Weighting Options'!$D$11*IF(CC41="",0.5,IF(CC41="OK",1,0.25))+'Weighting Options'!$D$12*IF(DK41="",0.5,IF(DK41="Agrees",1,IF(DK41="Opposite",0,0.5)))+'Weighting Options'!$D$13*MIN(N(BG41),3)/3+'Weighting Options'!$D$14*IF(AE41=1,1,0))/SUM('Weighting Options'!$D$7:$D$14),0),""))</f>
        <v/>
      </c>
      <c r="DR41" s="44" t="str">
        <f>IF(AH41="","",IFERROR(INDEX('Weighting Options'!$D$20:$D$27,VALUE(LEFT(TRIM(BU41),1))),1))</f>
        <v/>
      </c>
      <c r="DS41" s="44" t="str">
        <f t="shared" si="27"/>
        <v/>
      </c>
      <c r="DT41" s="42" t="str">
        <f>IF(AH41="","",IF(COUNTIFS($AH$12:AH41,AH41,$AI$12:AI41,AI41,$AM$12:AM41,AM41)=1,1,0))</f>
        <v/>
      </c>
    </row>
    <row r="42" spans="1:124" ht="12.75" customHeight="1" x14ac:dyDescent="0.35">
      <c r="P42" s="41"/>
      <c r="Q42" s="41"/>
      <c r="R42" s="41"/>
      <c r="S42" s="41"/>
      <c r="AH42" s="40"/>
      <c r="AP42" s="40"/>
      <c r="AS42" s="41"/>
      <c r="AT42" s="41"/>
      <c r="AW42" t="str">
        <f t="shared" si="0"/>
        <v/>
      </c>
      <c r="AX42" t="str">
        <f t="shared" si="1"/>
        <v/>
      </c>
      <c r="AY42" t="str">
        <f t="shared" si="2"/>
        <v/>
      </c>
      <c r="AZ42" s="40"/>
      <c r="BL42" s="47" t="str">
        <f t="shared" si="3"/>
        <v/>
      </c>
      <c r="BM42" s="47" t="str">
        <f t="shared" si="4"/>
        <v/>
      </c>
      <c r="BN42" s="47" t="str">
        <f t="shared" si="5"/>
        <v/>
      </c>
      <c r="BO42" s="47" t="str">
        <f t="shared" si="6"/>
        <v/>
      </c>
      <c r="BP42" s="47" t="str">
        <f t="shared" si="7"/>
        <v/>
      </c>
      <c r="BQ42" s="48" t="str">
        <f t="shared" si="8"/>
        <v/>
      </c>
      <c r="BR42" s="48" t="str">
        <f t="shared" si="9"/>
        <v/>
      </c>
      <c r="BS42" s="48" t="str">
        <f t="shared" si="10"/>
        <v/>
      </c>
      <c r="BT42" s="47" t="str">
        <f t="shared" si="11"/>
        <v/>
      </c>
      <c r="CA42" s="47" t="str">
        <f t="shared" si="12"/>
        <v/>
      </c>
      <c r="CB42" s="47" t="str">
        <f t="shared" si="13"/>
        <v/>
      </c>
      <c r="CC42" s="47" t="str">
        <f t="shared" si="14"/>
        <v/>
      </c>
      <c r="CD42" s="47" t="str">
        <f t="shared" si="15"/>
        <v/>
      </c>
      <c r="CE42" s="47" t="str">
        <f>IF(AH42="","",IF(OR(AI42&lt;&gt;'Seasonal Tercile Tally'!$B$3,AM42&lt;&gt;'Seasonal Tercile Tally'!$B$4),"Other site/ season",IF(DT42=0,"Excluded: duplicate (later row)",IF(N42&lt;&gt;1,"Excluded: not sighted",IF(AC42&lt;&gt;1,"Excluded: not confirmed",IF(AD42&lt;&gt;1,"Excluded: not approved",IF(AP42="Contested","Excluded: contested",IF(OR(U42="",U42=0),"Excluded: no tercile",IF(CB42="","Counted (simple tally only — no weight)","Counted")))))))))</f>
        <v/>
      </c>
      <c r="CF42" s="49" t="str">
        <f>IF(AH42="","",IFERROR(INDEX('Prior Multipliers'!$C$6:$C$70,MATCH(LEFT(AH42,10),'Prior Multipliers'!$A$6:$A$70,0)),IFERROR(INDEX('Prior Multipliers'!$C$6:$C$70,MATCH(LEFT(AH42,6),'Prior Multipliers'!$A$6:$A$70,0)),IFERROR(INDEX('Prior Multipliers'!$C$6:$C$70,MATCH(LEFT(AH42,2),'Prior Multipliers'!$A$6:$A$70,0)),1))))</f>
        <v/>
      </c>
      <c r="CG42" s="49" t="str">
        <f>IF(CB42="","",IF(AND('Seasonal Tercile Tally'!$B$5=1,BT42="Rating-based"),CB42*CF42,CB42))</f>
        <v/>
      </c>
      <c r="CH42" s="47">
        <f t="shared" si="16"/>
        <v>0</v>
      </c>
      <c r="CI42" s="45"/>
      <c r="CJ42" s="42" t="str">
        <f t="shared" si="17"/>
        <v/>
      </c>
      <c r="CM42" s="42" t="str">
        <f t="shared" si="18"/>
        <v/>
      </c>
      <c r="CP42" s="46" t="str">
        <f t="shared" si="19"/>
        <v/>
      </c>
      <c r="CS42" s="46" t="str">
        <f t="shared" si="20"/>
        <v/>
      </c>
      <c r="CT42" s="42" t="str">
        <f t="shared" si="21"/>
        <v/>
      </c>
      <c r="CU42" s="42" t="str">
        <f t="shared" si="22"/>
        <v/>
      </c>
      <c r="CV42" s="42" t="str">
        <f t="shared" si="23"/>
        <v/>
      </c>
      <c r="DB42" s="45"/>
      <c r="DH42" s="42" t="str">
        <f t="shared" si="24"/>
        <v/>
      </c>
      <c r="DI42" s="43" t="str">
        <f t="shared" si="25"/>
        <v/>
      </c>
      <c r="DK42" s="46" t="str">
        <f t="shared" si="26"/>
        <v/>
      </c>
      <c r="DQ42" s="42" t="str">
        <f>IF(AH42="","",IFERROR(ROUND(100*('Weighting Options'!$D$7*IF(ISNUMBER(CA42),CA42/3,0)+'Weighting Options'!$D$8*MIN(N(BL42),3)/3+'Weighting Options'!$D$9*IF(AP42="Community/Plenary-endorsed",1,IF(AP42="FGD-validated only",0.75,IF(AP42="Sub-community-specific",0.5,IF(AP42="Provisional/emerging",0.25,0))))+'Weighting Options'!$D$10*IF(ISNUMBER(K42),K42/3,0)+'Weighting Options'!$D$11*IF(CC42="",0.5,IF(CC42="OK",1,0.25))+'Weighting Options'!$D$12*IF(DK42="",0.5,IF(DK42="Agrees",1,IF(DK42="Opposite",0,0.5)))+'Weighting Options'!$D$13*MIN(N(BG42),3)/3+'Weighting Options'!$D$14*IF(AE42=1,1,0))/SUM('Weighting Options'!$D$7:$D$14),0),""))</f>
        <v/>
      </c>
      <c r="DR42" s="44" t="str">
        <f>IF(AH42="","",IFERROR(INDEX('Weighting Options'!$D$20:$D$27,VALUE(LEFT(TRIM(BU42),1))),1))</f>
        <v/>
      </c>
      <c r="DS42" s="44" t="str">
        <f t="shared" si="27"/>
        <v/>
      </c>
      <c r="DT42" s="42" t="str">
        <f>IF(AH42="","",IF(COUNTIFS($AH$12:AH42,AH42,$AI$12:AI42,AI42,$AM$12:AM42,AM42)=1,1,0))</f>
        <v/>
      </c>
    </row>
    <row r="43" spans="1:124" ht="12.75" customHeight="1" x14ac:dyDescent="0.35">
      <c r="P43" s="41"/>
      <c r="Q43" s="41"/>
      <c r="R43" s="41"/>
      <c r="S43" s="41"/>
      <c r="AH43" s="40"/>
      <c r="AP43" s="40"/>
      <c r="AS43" s="41"/>
      <c r="AT43" s="41"/>
      <c r="AW43" t="str">
        <f t="shared" si="0"/>
        <v/>
      </c>
      <c r="AX43" t="str">
        <f t="shared" si="1"/>
        <v/>
      </c>
      <c r="AY43" t="str">
        <f t="shared" si="2"/>
        <v/>
      </c>
      <c r="AZ43" s="40"/>
      <c r="BL43" s="47" t="str">
        <f t="shared" si="3"/>
        <v/>
      </c>
      <c r="BM43" s="47" t="str">
        <f t="shared" si="4"/>
        <v/>
      </c>
      <c r="BN43" s="47" t="str">
        <f t="shared" si="5"/>
        <v/>
      </c>
      <c r="BO43" s="47" t="str">
        <f t="shared" si="6"/>
        <v/>
      </c>
      <c r="BP43" s="47" t="str">
        <f t="shared" si="7"/>
        <v/>
      </c>
      <c r="BQ43" s="48" t="str">
        <f t="shared" si="8"/>
        <v/>
      </c>
      <c r="BR43" s="48" t="str">
        <f t="shared" si="9"/>
        <v/>
      </c>
      <c r="BS43" s="48" t="str">
        <f t="shared" si="10"/>
        <v/>
      </c>
      <c r="BT43" s="47" t="str">
        <f t="shared" si="11"/>
        <v/>
      </c>
      <c r="CA43" s="47" t="str">
        <f t="shared" si="12"/>
        <v/>
      </c>
      <c r="CB43" s="47" t="str">
        <f t="shared" si="13"/>
        <v/>
      </c>
      <c r="CC43" s="47" t="str">
        <f t="shared" si="14"/>
        <v/>
      </c>
      <c r="CD43" s="47" t="str">
        <f t="shared" si="15"/>
        <v/>
      </c>
      <c r="CE43" s="47" t="str">
        <f>IF(AH43="","",IF(OR(AI43&lt;&gt;'Seasonal Tercile Tally'!$B$3,AM43&lt;&gt;'Seasonal Tercile Tally'!$B$4),"Other site/ season",IF(DT43=0,"Excluded: duplicate (later row)",IF(N43&lt;&gt;1,"Excluded: not sighted",IF(AC43&lt;&gt;1,"Excluded: not confirmed",IF(AD43&lt;&gt;1,"Excluded: not approved",IF(AP43="Contested","Excluded: contested",IF(OR(U43="",U43=0),"Excluded: no tercile",IF(CB43="","Counted (simple tally only — no weight)","Counted")))))))))</f>
        <v/>
      </c>
      <c r="CF43" s="49" t="str">
        <f>IF(AH43="","",IFERROR(INDEX('Prior Multipliers'!$C$6:$C$70,MATCH(LEFT(AH43,10),'Prior Multipliers'!$A$6:$A$70,0)),IFERROR(INDEX('Prior Multipliers'!$C$6:$C$70,MATCH(LEFT(AH43,6),'Prior Multipliers'!$A$6:$A$70,0)),IFERROR(INDEX('Prior Multipliers'!$C$6:$C$70,MATCH(LEFT(AH43,2),'Prior Multipliers'!$A$6:$A$70,0)),1))))</f>
        <v/>
      </c>
      <c r="CG43" s="49" t="str">
        <f>IF(CB43="","",IF(AND('Seasonal Tercile Tally'!$B$5=1,BT43="Rating-based"),CB43*CF43,CB43))</f>
        <v/>
      </c>
      <c r="CH43" s="47">
        <f t="shared" si="16"/>
        <v>0</v>
      </c>
      <c r="CI43" s="45"/>
      <c r="CJ43" s="42" t="str">
        <f t="shared" si="17"/>
        <v/>
      </c>
      <c r="CM43" s="42" t="str">
        <f t="shared" si="18"/>
        <v/>
      </c>
      <c r="CP43" s="46" t="str">
        <f t="shared" si="19"/>
        <v/>
      </c>
      <c r="CS43" s="46" t="str">
        <f t="shared" si="20"/>
        <v/>
      </c>
      <c r="CT43" s="42" t="str">
        <f t="shared" si="21"/>
        <v/>
      </c>
      <c r="CU43" s="42" t="str">
        <f t="shared" si="22"/>
        <v/>
      </c>
      <c r="CV43" s="42" t="str">
        <f t="shared" si="23"/>
        <v/>
      </c>
      <c r="DB43" s="45"/>
      <c r="DH43" s="42" t="str">
        <f t="shared" si="24"/>
        <v/>
      </c>
      <c r="DI43" s="43" t="str">
        <f t="shared" si="25"/>
        <v/>
      </c>
      <c r="DK43" s="46" t="str">
        <f t="shared" si="26"/>
        <v/>
      </c>
      <c r="DQ43" s="42" t="str">
        <f>IF(AH43="","",IFERROR(ROUND(100*('Weighting Options'!$D$7*IF(ISNUMBER(CA43),CA43/3,0)+'Weighting Options'!$D$8*MIN(N(BL43),3)/3+'Weighting Options'!$D$9*IF(AP43="Community/Plenary-endorsed",1,IF(AP43="FGD-validated only",0.75,IF(AP43="Sub-community-specific",0.5,IF(AP43="Provisional/emerging",0.25,0))))+'Weighting Options'!$D$10*IF(ISNUMBER(K43),K43/3,0)+'Weighting Options'!$D$11*IF(CC43="",0.5,IF(CC43="OK",1,0.25))+'Weighting Options'!$D$12*IF(DK43="",0.5,IF(DK43="Agrees",1,IF(DK43="Opposite",0,0.5)))+'Weighting Options'!$D$13*MIN(N(BG43),3)/3+'Weighting Options'!$D$14*IF(AE43=1,1,0))/SUM('Weighting Options'!$D$7:$D$14),0),""))</f>
        <v/>
      </c>
      <c r="DR43" s="44" t="str">
        <f>IF(AH43="","",IFERROR(INDEX('Weighting Options'!$D$20:$D$27,VALUE(LEFT(TRIM(BU43),1))),1))</f>
        <v/>
      </c>
      <c r="DS43" s="44" t="str">
        <f t="shared" si="27"/>
        <v/>
      </c>
      <c r="DT43" s="42" t="str">
        <f>IF(AH43="","",IF(COUNTIFS($AH$12:AH43,AH43,$AI$12:AI43,AI43,$AM$12:AM43,AM43)=1,1,0))</f>
        <v/>
      </c>
    </row>
    <row r="44" spans="1:124" ht="12.75" customHeight="1" x14ac:dyDescent="0.35">
      <c r="P44" s="41"/>
      <c r="Q44" s="41"/>
      <c r="R44" s="41"/>
      <c r="S44" s="41"/>
      <c r="AH44" s="40"/>
      <c r="AP44" s="40"/>
      <c r="AS44" s="41"/>
      <c r="AT44" s="41"/>
      <c r="AW44" t="str">
        <f t="shared" si="0"/>
        <v/>
      </c>
      <c r="AX44" t="str">
        <f t="shared" si="1"/>
        <v/>
      </c>
      <c r="AY44" t="str">
        <f t="shared" si="2"/>
        <v/>
      </c>
      <c r="AZ44" s="40"/>
      <c r="BL44" s="47" t="str">
        <f t="shared" si="3"/>
        <v/>
      </c>
      <c r="BM44" s="47" t="str">
        <f t="shared" si="4"/>
        <v/>
      </c>
      <c r="BN44" s="47" t="str">
        <f t="shared" si="5"/>
        <v/>
      </c>
      <c r="BO44" s="47" t="str">
        <f t="shared" si="6"/>
        <v/>
      </c>
      <c r="BP44" s="47" t="str">
        <f t="shared" si="7"/>
        <v/>
      </c>
      <c r="BQ44" s="48" t="str">
        <f t="shared" si="8"/>
        <v/>
      </c>
      <c r="BR44" s="48" t="str">
        <f t="shared" si="9"/>
        <v/>
      </c>
      <c r="BS44" s="48" t="str">
        <f t="shared" si="10"/>
        <v/>
      </c>
      <c r="BT44" s="47" t="str">
        <f t="shared" si="11"/>
        <v/>
      </c>
      <c r="CA44" s="47" t="str">
        <f t="shared" si="12"/>
        <v/>
      </c>
      <c r="CB44" s="47" t="str">
        <f t="shared" si="13"/>
        <v/>
      </c>
      <c r="CC44" s="47" t="str">
        <f t="shared" si="14"/>
        <v/>
      </c>
      <c r="CD44" s="47" t="str">
        <f t="shared" si="15"/>
        <v/>
      </c>
      <c r="CE44" s="47" t="str">
        <f>IF(AH44="","",IF(OR(AI44&lt;&gt;'Seasonal Tercile Tally'!$B$3,AM44&lt;&gt;'Seasonal Tercile Tally'!$B$4),"Other site/ season",IF(DT44=0,"Excluded: duplicate (later row)",IF(N44&lt;&gt;1,"Excluded: not sighted",IF(AC44&lt;&gt;1,"Excluded: not confirmed",IF(AD44&lt;&gt;1,"Excluded: not approved",IF(AP44="Contested","Excluded: contested",IF(OR(U44="",U44=0),"Excluded: no tercile",IF(CB44="","Counted (simple tally only — no weight)","Counted")))))))))</f>
        <v/>
      </c>
      <c r="CF44" s="49" t="str">
        <f>IF(AH44="","",IFERROR(INDEX('Prior Multipliers'!$C$6:$C$70,MATCH(LEFT(AH44,10),'Prior Multipliers'!$A$6:$A$70,0)),IFERROR(INDEX('Prior Multipliers'!$C$6:$C$70,MATCH(LEFT(AH44,6),'Prior Multipliers'!$A$6:$A$70,0)),IFERROR(INDEX('Prior Multipliers'!$C$6:$C$70,MATCH(LEFT(AH44,2),'Prior Multipliers'!$A$6:$A$70,0)),1))))</f>
        <v/>
      </c>
      <c r="CG44" s="49" t="str">
        <f>IF(CB44="","",IF(AND('Seasonal Tercile Tally'!$B$5=1,BT44="Rating-based"),CB44*CF44,CB44))</f>
        <v/>
      </c>
      <c r="CH44" s="47">
        <f t="shared" si="16"/>
        <v>0</v>
      </c>
      <c r="CI44" s="45"/>
      <c r="CJ44" s="42" t="str">
        <f t="shared" si="17"/>
        <v/>
      </c>
      <c r="CM44" s="42" t="str">
        <f t="shared" si="18"/>
        <v/>
      </c>
      <c r="CP44" s="46" t="str">
        <f t="shared" si="19"/>
        <v/>
      </c>
      <c r="CS44" s="46" t="str">
        <f t="shared" si="20"/>
        <v/>
      </c>
      <c r="CT44" s="42" t="str">
        <f t="shared" si="21"/>
        <v/>
      </c>
      <c r="CU44" s="42" t="str">
        <f t="shared" si="22"/>
        <v/>
      </c>
      <c r="CV44" s="42" t="str">
        <f t="shared" si="23"/>
        <v/>
      </c>
      <c r="DB44" s="45"/>
      <c r="DH44" s="42" t="str">
        <f t="shared" si="24"/>
        <v/>
      </c>
      <c r="DI44" s="43" t="str">
        <f t="shared" si="25"/>
        <v/>
      </c>
      <c r="DK44" s="46" t="str">
        <f t="shared" si="26"/>
        <v/>
      </c>
      <c r="DQ44" s="42" t="str">
        <f>IF(AH44="","",IFERROR(ROUND(100*('Weighting Options'!$D$7*IF(ISNUMBER(CA44),CA44/3,0)+'Weighting Options'!$D$8*MIN(N(BL44),3)/3+'Weighting Options'!$D$9*IF(AP44="Community/Plenary-endorsed",1,IF(AP44="FGD-validated only",0.75,IF(AP44="Sub-community-specific",0.5,IF(AP44="Provisional/emerging",0.25,0))))+'Weighting Options'!$D$10*IF(ISNUMBER(K44),K44/3,0)+'Weighting Options'!$D$11*IF(CC44="",0.5,IF(CC44="OK",1,0.25))+'Weighting Options'!$D$12*IF(DK44="",0.5,IF(DK44="Agrees",1,IF(DK44="Opposite",0,0.5)))+'Weighting Options'!$D$13*MIN(N(BG44),3)/3+'Weighting Options'!$D$14*IF(AE44=1,1,0))/SUM('Weighting Options'!$D$7:$D$14),0),""))</f>
        <v/>
      </c>
      <c r="DR44" s="44" t="str">
        <f>IF(AH44="","",IFERROR(INDEX('Weighting Options'!$D$20:$D$27,VALUE(LEFT(TRIM(BU44),1))),1))</f>
        <v/>
      </c>
      <c r="DS44" s="44" t="str">
        <f t="shared" si="27"/>
        <v/>
      </c>
      <c r="DT44" s="42" t="str">
        <f>IF(AH44="","",IF(COUNTIFS($AH$12:AH44,AH44,$AI$12:AI44,AI44,$AM$12:AM44,AM44)=1,1,0))</f>
        <v/>
      </c>
    </row>
    <row r="45" spans="1:124" ht="12.75" customHeight="1" x14ac:dyDescent="0.35">
      <c r="P45" s="41"/>
      <c r="Q45" s="41"/>
      <c r="R45" s="41"/>
      <c r="S45" s="41"/>
      <c r="AH45" s="40"/>
      <c r="AP45" s="40"/>
      <c r="AS45" s="41"/>
      <c r="AT45" s="41"/>
      <c r="AW45" t="str">
        <f t="shared" si="0"/>
        <v/>
      </c>
      <c r="AX45" t="str">
        <f t="shared" si="1"/>
        <v/>
      </c>
      <c r="AY45" t="str">
        <f t="shared" si="2"/>
        <v/>
      </c>
      <c r="AZ45" s="40"/>
      <c r="BL45" s="47" t="str">
        <f t="shared" si="3"/>
        <v/>
      </c>
      <c r="BM45" s="47" t="str">
        <f t="shared" si="4"/>
        <v/>
      </c>
      <c r="BN45" s="47" t="str">
        <f t="shared" si="5"/>
        <v/>
      </c>
      <c r="BO45" s="47" t="str">
        <f t="shared" si="6"/>
        <v/>
      </c>
      <c r="BP45" s="47" t="str">
        <f t="shared" si="7"/>
        <v/>
      </c>
      <c r="BQ45" s="48" t="str">
        <f t="shared" si="8"/>
        <v/>
      </c>
      <c r="BR45" s="48" t="str">
        <f t="shared" si="9"/>
        <v/>
      </c>
      <c r="BS45" s="48" t="str">
        <f t="shared" si="10"/>
        <v/>
      </c>
      <c r="BT45" s="47" t="str">
        <f t="shared" si="11"/>
        <v/>
      </c>
      <c r="CA45" s="47" t="str">
        <f t="shared" si="12"/>
        <v/>
      </c>
      <c r="CB45" s="47" t="str">
        <f t="shared" si="13"/>
        <v/>
      </c>
      <c r="CC45" s="47" t="str">
        <f t="shared" si="14"/>
        <v/>
      </c>
      <c r="CD45" s="47" t="str">
        <f t="shared" si="15"/>
        <v/>
      </c>
      <c r="CE45" s="47" t="str">
        <f>IF(AH45="","",IF(OR(AI45&lt;&gt;'Seasonal Tercile Tally'!$B$3,AM45&lt;&gt;'Seasonal Tercile Tally'!$B$4),"Other site/ season",IF(DT45=0,"Excluded: duplicate (later row)",IF(N45&lt;&gt;1,"Excluded: not sighted",IF(AC45&lt;&gt;1,"Excluded: not confirmed",IF(AD45&lt;&gt;1,"Excluded: not approved",IF(AP45="Contested","Excluded: contested",IF(OR(U45="",U45=0),"Excluded: no tercile",IF(CB45="","Counted (simple tally only — no weight)","Counted")))))))))</f>
        <v/>
      </c>
      <c r="CF45" s="49" t="str">
        <f>IF(AH45="","",IFERROR(INDEX('Prior Multipliers'!$C$6:$C$70,MATCH(LEFT(AH45,10),'Prior Multipliers'!$A$6:$A$70,0)),IFERROR(INDEX('Prior Multipliers'!$C$6:$C$70,MATCH(LEFT(AH45,6),'Prior Multipliers'!$A$6:$A$70,0)),IFERROR(INDEX('Prior Multipliers'!$C$6:$C$70,MATCH(LEFT(AH45,2),'Prior Multipliers'!$A$6:$A$70,0)),1))))</f>
        <v/>
      </c>
      <c r="CG45" s="49" t="str">
        <f>IF(CB45="","",IF(AND('Seasonal Tercile Tally'!$B$5=1,BT45="Rating-based"),CB45*CF45,CB45))</f>
        <v/>
      </c>
      <c r="CH45" s="47">
        <f t="shared" si="16"/>
        <v>0</v>
      </c>
      <c r="CI45" s="45"/>
      <c r="CJ45" s="42" t="str">
        <f t="shared" si="17"/>
        <v/>
      </c>
      <c r="CM45" s="42" t="str">
        <f t="shared" si="18"/>
        <v/>
      </c>
      <c r="CP45" s="46" t="str">
        <f t="shared" si="19"/>
        <v/>
      </c>
      <c r="CS45" s="46" t="str">
        <f t="shared" si="20"/>
        <v/>
      </c>
      <c r="CT45" s="42" t="str">
        <f t="shared" si="21"/>
        <v/>
      </c>
      <c r="CU45" s="42" t="str">
        <f t="shared" si="22"/>
        <v/>
      </c>
      <c r="CV45" s="42" t="str">
        <f t="shared" si="23"/>
        <v/>
      </c>
      <c r="DB45" s="45"/>
      <c r="DH45" s="42" t="str">
        <f t="shared" si="24"/>
        <v/>
      </c>
      <c r="DI45" s="43" t="str">
        <f t="shared" si="25"/>
        <v/>
      </c>
      <c r="DK45" s="46" t="str">
        <f t="shared" si="26"/>
        <v/>
      </c>
      <c r="DQ45" s="42" t="str">
        <f>IF(AH45="","",IFERROR(ROUND(100*('Weighting Options'!$D$7*IF(ISNUMBER(CA45),CA45/3,0)+'Weighting Options'!$D$8*MIN(N(BL45),3)/3+'Weighting Options'!$D$9*IF(AP45="Community/Plenary-endorsed",1,IF(AP45="FGD-validated only",0.75,IF(AP45="Sub-community-specific",0.5,IF(AP45="Provisional/emerging",0.25,0))))+'Weighting Options'!$D$10*IF(ISNUMBER(K45),K45/3,0)+'Weighting Options'!$D$11*IF(CC45="",0.5,IF(CC45="OK",1,0.25))+'Weighting Options'!$D$12*IF(DK45="",0.5,IF(DK45="Agrees",1,IF(DK45="Opposite",0,0.5)))+'Weighting Options'!$D$13*MIN(N(BG45),3)/3+'Weighting Options'!$D$14*IF(AE45=1,1,0))/SUM('Weighting Options'!$D$7:$D$14),0),""))</f>
        <v/>
      </c>
      <c r="DR45" s="44" t="str">
        <f>IF(AH45="","",IFERROR(INDEX('Weighting Options'!$D$20:$D$27,VALUE(LEFT(TRIM(BU45),1))),1))</f>
        <v/>
      </c>
      <c r="DS45" s="44" t="str">
        <f t="shared" si="27"/>
        <v/>
      </c>
      <c r="DT45" s="42" t="str">
        <f>IF(AH45="","",IF(COUNTIFS($AH$12:AH45,AH45,$AI$12:AI45,AI45,$AM$12:AM45,AM45)=1,1,0))</f>
        <v/>
      </c>
    </row>
    <row r="46" spans="1:124" ht="12.75" customHeight="1" x14ac:dyDescent="0.35">
      <c r="P46" s="41"/>
      <c r="Q46" s="41"/>
      <c r="R46" s="41"/>
      <c r="S46" s="41"/>
      <c r="AH46" s="40"/>
      <c r="AP46" s="40"/>
      <c r="AS46" s="41"/>
      <c r="AT46" s="41"/>
      <c r="AW46" t="str">
        <f t="shared" si="0"/>
        <v/>
      </c>
      <c r="AX46" t="str">
        <f t="shared" si="1"/>
        <v/>
      </c>
      <c r="AY46" t="str">
        <f t="shared" si="2"/>
        <v/>
      </c>
      <c r="AZ46" s="40"/>
      <c r="BL46" s="47" t="str">
        <f t="shared" si="3"/>
        <v/>
      </c>
      <c r="BM46" s="47" t="str">
        <f t="shared" si="4"/>
        <v/>
      </c>
      <c r="BN46" s="47" t="str">
        <f t="shared" si="5"/>
        <v/>
      </c>
      <c r="BO46" s="47" t="str">
        <f t="shared" si="6"/>
        <v/>
      </c>
      <c r="BP46" s="47" t="str">
        <f t="shared" si="7"/>
        <v/>
      </c>
      <c r="BQ46" s="48" t="str">
        <f t="shared" si="8"/>
        <v/>
      </c>
      <c r="BR46" s="48" t="str">
        <f t="shared" si="9"/>
        <v/>
      </c>
      <c r="BS46" s="48" t="str">
        <f t="shared" si="10"/>
        <v/>
      </c>
      <c r="BT46" s="47" t="str">
        <f t="shared" si="11"/>
        <v/>
      </c>
      <c r="CA46" s="47" t="str">
        <f t="shared" si="12"/>
        <v/>
      </c>
      <c r="CB46" s="47" t="str">
        <f t="shared" si="13"/>
        <v/>
      </c>
      <c r="CC46" s="47" t="str">
        <f t="shared" si="14"/>
        <v/>
      </c>
      <c r="CD46" s="47" t="str">
        <f t="shared" si="15"/>
        <v/>
      </c>
      <c r="CE46" s="47" t="str">
        <f>IF(AH46="","",IF(OR(AI46&lt;&gt;'Seasonal Tercile Tally'!$B$3,AM46&lt;&gt;'Seasonal Tercile Tally'!$B$4),"Other site/ season",IF(DT46=0,"Excluded: duplicate (later row)",IF(N46&lt;&gt;1,"Excluded: not sighted",IF(AC46&lt;&gt;1,"Excluded: not confirmed",IF(AD46&lt;&gt;1,"Excluded: not approved",IF(AP46="Contested","Excluded: contested",IF(OR(U46="",U46=0),"Excluded: no tercile",IF(CB46="","Counted (simple tally only — no weight)","Counted")))))))))</f>
        <v/>
      </c>
      <c r="CF46" s="49" t="str">
        <f>IF(AH46="","",IFERROR(INDEX('Prior Multipliers'!$C$6:$C$70,MATCH(LEFT(AH46,10),'Prior Multipliers'!$A$6:$A$70,0)),IFERROR(INDEX('Prior Multipliers'!$C$6:$C$70,MATCH(LEFT(AH46,6),'Prior Multipliers'!$A$6:$A$70,0)),IFERROR(INDEX('Prior Multipliers'!$C$6:$C$70,MATCH(LEFT(AH46,2),'Prior Multipliers'!$A$6:$A$70,0)),1))))</f>
        <v/>
      </c>
      <c r="CG46" s="49" t="str">
        <f>IF(CB46="","",IF(AND('Seasonal Tercile Tally'!$B$5=1,BT46="Rating-based"),CB46*CF46,CB46))</f>
        <v/>
      </c>
      <c r="CH46" s="47">
        <f t="shared" si="16"/>
        <v>0</v>
      </c>
      <c r="CI46" s="45"/>
      <c r="CJ46" s="42" t="str">
        <f t="shared" si="17"/>
        <v/>
      </c>
      <c r="CM46" s="42" t="str">
        <f t="shared" si="18"/>
        <v/>
      </c>
      <c r="CP46" s="46" t="str">
        <f t="shared" si="19"/>
        <v/>
      </c>
      <c r="CS46" s="46" t="str">
        <f t="shared" si="20"/>
        <v/>
      </c>
      <c r="CT46" s="42" t="str">
        <f t="shared" si="21"/>
        <v/>
      </c>
      <c r="CU46" s="42" t="str">
        <f t="shared" si="22"/>
        <v/>
      </c>
      <c r="CV46" s="42" t="str">
        <f t="shared" si="23"/>
        <v/>
      </c>
      <c r="DB46" s="45"/>
      <c r="DH46" s="42" t="str">
        <f t="shared" si="24"/>
        <v/>
      </c>
      <c r="DI46" s="43" t="str">
        <f t="shared" si="25"/>
        <v/>
      </c>
      <c r="DK46" s="46" t="str">
        <f t="shared" si="26"/>
        <v/>
      </c>
      <c r="DQ46" s="42" t="str">
        <f>IF(AH46="","",IFERROR(ROUND(100*('Weighting Options'!$D$7*IF(ISNUMBER(CA46),CA46/3,0)+'Weighting Options'!$D$8*MIN(N(BL46),3)/3+'Weighting Options'!$D$9*IF(AP46="Community/Plenary-endorsed",1,IF(AP46="FGD-validated only",0.75,IF(AP46="Sub-community-specific",0.5,IF(AP46="Provisional/emerging",0.25,0))))+'Weighting Options'!$D$10*IF(ISNUMBER(K46),K46/3,0)+'Weighting Options'!$D$11*IF(CC46="",0.5,IF(CC46="OK",1,0.25))+'Weighting Options'!$D$12*IF(DK46="",0.5,IF(DK46="Agrees",1,IF(DK46="Opposite",0,0.5)))+'Weighting Options'!$D$13*MIN(N(BG46),3)/3+'Weighting Options'!$D$14*IF(AE46=1,1,0))/SUM('Weighting Options'!$D$7:$D$14),0),""))</f>
        <v/>
      </c>
      <c r="DR46" s="44" t="str">
        <f>IF(AH46="","",IFERROR(INDEX('Weighting Options'!$D$20:$D$27,VALUE(LEFT(TRIM(BU46),1))),1))</f>
        <v/>
      </c>
      <c r="DS46" s="44" t="str">
        <f t="shared" si="27"/>
        <v/>
      </c>
      <c r="DT46" s="42" t="str">
        <f>IF(AH46="","",IF(COUNTIFS($AH$12:AH46,AH46,$AI$12:AI46,AI46,$AM$12:AM46,AM46)=1,1,0))</f>
        <v/>
      </c>
    </row>
    <row r="47" spans="1:124" ht="12.75" customHeight="1" x14ac:dyDescent="0.35">
      <c r="P47" s="41"/>
      <c r="Q47" s="41"/>
      <c r="R47" s="41"/>
      <c r="S47" s="41"/>
      <c r="AH47" s="40"/>
      <c r="AP47" s="40"/>
      <c r="AS47" s="41"/>
      <c r="AT47" s="41"/>
      <c r="AW47" t="str">
        <f t="shared" si="0"/>
        <v/>
      </c>
      <c r="AX47" t="str">
        <f t="shared" si="1"/>
        <v/>
      </c>
      <c r="AY47" t="str">
        <f t="shared" si="2"/>
        <v/>
      </c>
      <c r="AZ47" s="40"/>
      <c r="BL47" s="47" t="str">
        <f t="shared" si="3"/>
        <v/>
      </c>
      <c r="BM47" s="47" t="str">
        <f t="shared" si="4"/>
        <v/>
      </c>
      <c r="BN47" s="47" t="str">
        <f t="shared" si="5"/>
        <v/>
      </c>
      <c r="BO47" s="47" t="str">
        <f t="shared" si="6"/>
        <v/>
      </c>
      <c r="BP47" s="47" t="str">
        <f t="shared" si="7"/>
        <v/>
      </c>
      <c r="BQ47" s="48" t="str">
        <f t="shared" si="8"/>
        <v/>
      </c>
      <c r="BR47" s="48" t="str">
        <f t="shared" si="9"/>
        <v/>
      </c>
      <c r="BS47" s="48" t="str">
        <f t="shared" si="10"/>
        <v/>
      </c>
      <c r="BT47" s="47" t="str">
        <f t="shared" si="11"/>
        <v/>
      </c>
      <c r="CA47" s="47" t="str">
        <f t="shared" si="12"/>
        <v/>
      </c>
      <c r="CB47" s="47" t="str">
        <f t="shared" si="13"/>
        <v/>
      </c>
      <c r="CC47" s="47" t="str">
        <f t="shared" si="14"/>
        <v/>
      </c>
      <c r="CD47" s="47" t="str">
        <f t="shared" si="15"/>
        <v/>
      </c>
      <c r="CE47" s="47" t="str">
        <f>IF(AH47="","",IF(OR(AI47&lt;&gt;'Seasonal Tercile Tally'!$B$3,AM47&lt;&gt;'Seasonal Tercile Tally'!$B$4),"Other site/ season",IF(DT47=0,"Excluded: duplicate (later row)",IF(N47&lt;&gt;1,"Excluded: not sighted",IF(AC47&lt;&gt;1,"Excluded: not confirmed",IF(AD47&lt;&gt;1,"Excluded: not approved",IF(AP47="Contested","Excluded: contested",IF(OR(U47="",U47=0),"Excluded: no tercile",IF(CB47="","Counted (simple tally only — no weight)","Counted")))))))))</f>
        <v/>
      </c>
      <c r="CF47" s="49" t="str">
        <f>IF(AH47="","",IFERROR(INDEX('Prior Multipliers'!$C$6:$C$70,MATCH(LEFT(AH47,10),'Prior Multipliers'!$A$6:$A$70,0)),IFERROR(INDEX('Prior Multipliers'!$C$6:$C$70,MATCH(LEFT(AH47,6),'Prior Multipliers'!$A$6:$A$70,0)),IFERROR(INDEX('Prior Multipliers'!$C$6:$C$70,MATCH(LEFT(AH47,2),'Prior Multipliers'!$A$6:$A$70,0)),1))))</f>
        <v/>
      </c>
      <c r="CG47" s="49" t="str">
        <f>IF(CB47="","",IF(AND('Seasonal Tercile Tally'!$B$5=1,BT47="Rating-based"),CB47*CF47,CB47))</f>
        <v/>
      </c>
      <c r="CH47" s="47">
        <f t="shared" si="16"/>
        <v>0</v>
      </c>
      <c r="CI47" s="45"/>
      <c r="CJ47" s="42" t="str">
        <f t="shared" si="17"/>
        <v/>
      </c>
      <c r="CM47" s="42" t="str">
        <f t="shared" si="18"/>
        <v/>
      </c>
      <c r="CP47" s="46" t="str">
        <f t="shared" si="19"/>
        <v/>
      </c>
      <c r="CS47" s="46" t="str">
        <f t="shared" si="20"/>
        <v/>
      </c>
      <c r="CT47" s="42" t="str">
        <f t="shared" si="21"/>
        <v/>
      </c>
      <c r="CU47" s="42" t="str">
        <f t="shared" si="22"/>
        <v/>
      </c>
      <c r="CV47" s="42" t="str">
        <f t="shared" si="23"/>
        <v/>
      </c>
      <c r="DB47" s="45"/>
      <c r="DH47" s="42" t="str">
        <f t="shared" si="24"/>
        <v/>
      </c>
      <c r="DI47" s="43" t="str">
        <f t="shared" si="25"/>
        <v/>
      </c>
      <c r="DK47" s="46" t="str">
        <f t="shared" si="26"/>
        <v/>
      </c>
      <c r="DQ47" s="42" t="str">
        <f>IF(AH47="","",IFERROR(ROUND(100*('Weighting Options'!$D$7*IF(ISNUMBER(CA47),CA47/3,0)+'Weighting Options'!$D$8*MIN(N(BL47),3)/3+'Weighting Options'!$D$9*IF(AP47="Community/Plenary-endorsed",1,IF(AP47="FGD-validated only",0.75,IF(AP47="Sub-community-specific",0.5,IF(AP47="Provisional/emerging",0.25,0))))+'Weighting Options'!$D$10*IF(ISNUMBER(K47),K47/3,0)+'Weighting Options'!$D$11*IF(CC47="",0.5,IF(CC47="OK",1,0.25))+'Weighting Options'!$D$12*IF(DK47="",0.5,IF(DK47="Agrees",1,IF(DK47="Opposite",0,0.5)))+'Weighting Options'!$D$13*MIN(N(BG47),3)/3+'Weighting Options'!$D$14*IF(AE47=1,1,0))/SUM('Weighting Options'!$D$7:$D$14),0),""))</f>
        <v/>
      </c>
      <c r="DR47" s="44" t="str">
        <f>IF(AH47="","",IFERROR(INDEX('Weighting Options'!$D$20:$D$27,VALUE(LEFT(TRIM(BU47),1))),1))</f>
        <v/>
      </c>
      <c r="DS47" s="44" t="str">
        <f t="shared" si="27"/>
        <v/>
      </c>
      <c r="DT47" s="42" t="str">
        <f>IF(AH47="","",IF(COUNTIFS($AH$12:AH47,AH47,$AI$12:AI47,AI47,$AM$12:AM47,AM47)=1,1,0))</f>
        <v/>
      </c>
    </row>
    <row r="48" spans="1:124" ht="12.75" customHeight="1" x14ac:dyDescent="0.35">
      <c r="P48" s="41"/>
      <c r="Q48" s="41"/>
      <c r="R48" s="41"/>
      <c r="S48" s="41"/>
      <c r="AH48" s="40"/>
      <c r="AP48" s="40"/>
      <c r="AS48" s="41"/>
      <c r="AT48" s="41"/>
      <c r="AW48" t="str">
        <f t="shared" si="0"/>
        <v/>
      </c>
      <c r="AX48" t="str">
        <f t="shared" si="1"/>
        <v/>
      </c>
      <c r="AY48" t="str">
        <f t="shared" si="2"/>
        <v/>
      </c>
      <c r="AZ48" s="40"/>
      <c r="BL48" s="47" t="str">
        <f t="shared" si="3"/>
        <v/>
      </c>
      <c r="BM48" s="47" t="str">
        <f t="shared" si="4"/>
        <v/>
      </c>
      <c r="BN48" s="47" t="str">
        <f t="shared" si="5"/>
        <v/>
      </c>
      <c r="BO48" s="47" t="str">
        <f t="shared" si="6"/>
        <v/>
      </c>
      <c r="BP48" s="47" t="str">
        <f t="shared" si="7"/>
        <v/>
      </c>
      <c r="BQ48" s="48" t="str">
        <f t="shared" si="8"/>
        <v/>
      </c>
      <c r="BR48" s="48" t="str">
        <f t="shared" si="9"/>
        <v/>
      </c>
      <c r="BS48" s="48" t="str">
        <f t="shared" si="10"/>
        <v/>
      </c>
      <c r="BT48" s="47" t="str">
        <f t="shared" si="11"/>
        <v/>
      </c>
      <c r="CA48" s="47" t="str">
        <f t="shared" si="12"/>
        <v/>
      </c>
      <c r="CB48" s="47" t="str">
        <f t="shared" si="13"/>
        <v/>
      </c>
      <c r="CC48" s="47" t="str">
        <f t="shared" si="14"/>
        <v/>
      </c>
      <c r="CD48" s="47" t="str">
        <f t="shared" si="15"/>
        <v/>
      </c>
      <c r="CE48" s="47" t="str">
        <f>IF(AH48="","",IF(OR(AI48&lt;&gt;'Seasonal Tercile Tally'!$B$3,AM48&lt;&gt;'Seasonal Tercile Tally'!$B$4),"Other site/ season",IF(DT48=0,"Excluded: duplicate (later row)",IF(N48&lt;&gt;1,"Excluded: not sighted",IF(AC48&lt;&gt;1,"Excluded: not confirmed",IF(AD48&lt;&gt;1,"Excluded: not approved",IF(AP48="Contested","Excluded: contested",IF(OR(U48="",U48=0),"Excluded: no tercile",IF(CB48="","Counted (simple tally only — no weight)","Counted")))))))))</f>
        <v/>
      </c>
      <c r="CF48" s="49" t="str">
        <f>IF(AH48="","",IFERROR(INDEX('Prior Multipliers'!$C$6:$C$70,MATCH(LEFT(AH48,10),'Prior Multipliers'!$A$6:$A$70,0)),IFERROR(INDEX('Prior Multipliers'!$C$6:$C$70,MATCH(LEFT(AH48,6),'Prior Multipliers'!$A$6:$A$70,0)),IFERROR(INDEX('Prior Multipliers'!$C$6:$C$70,MATCH(LEFT(AH48,2),'Prior Multipliers'!$A$6:$A$70,0)),1))))</f>
        <v/>
      </c>
      <c r="CG48" s="49" t="str">
        <f>IF(CB48="","",IF(AND('Seasonal Tercile Tally'!$B$5=1,BT48="Rating-based"),CB48*CF48,CB48))</f>
        <v/>
      </c>
      <c r="CH48" s="47">
        <f t="shared" si="16"/>
        <v>0</v>
      </c>
      <c r="CI48" s="45"/>
      <c r="CJ48" s="42" t="str">
        <f t="shared" si="17"/>
        <v/>
      </c>
      <c r="CM48" s="42" t="str">
        <f t="shared" si="18"/>
        <v/>
      </c>
      <c r="CP48" s="46" t="str">
        <f t="shared" si="19"/>
        <v/>
      </c>
      <c r="CS48" s="46" t="str">
        <f t="shared" si="20"/>
        <v/>
      </c>
      <c r="CT48" s="42" t="str">
        <f t="shared" si="21"/>
        <v/>
      </c>
      <c r="CU48" s="42" t="str">
        <f t="shared" si="22"/>
        <v/>
      </c>
      <c r="CV48" s="42" t="str">
        <f t="shared" si="23"/>
        <v/>
      </c>
      <c r="DB48" s="45"/>
      <c r="DH48" s="42" t="str">
        <f t="shared" si="24"/>
        <v/>
      </c>
      <c r="DI48" s="43" t="str">
        <f t="shared" si="25"/>
        <v/>
      </c>
      <c r="DK48" s="46" t="str">
        <f t="shared" si="26"/>
        <v/>
      </c>
      <c r="DQ48" s="42" t="str">
        <f>IF(AH48="","",IFERROR(ROUND(100*('Weighting Options'!$D$7*IF(ISNUMBER(CA48),CA48/3,0)+'Weighting Options'!$D$8*MIN(N(BL48),3)/3+'Weighting Options'!$D$9*IF(AP48="Community/Plenary-endorsed",1,IF(AP48="FGD-validated only",0.75,IF(AP48="Sub-community-specific",0.5,IF(AP48="Provisional/emerging",0.25,0))))+'Weighting Options'!$D$10*IF(ISNUMBER(K48),K48/3,0)+'Weighting Options'!$D$11*IF(CC48="",0.5,IF(CC48="OK",1,0.25))+'Weighting Options'!$D$12*IF(DK48="",0.5,IF(DK48="Agrees",1,IF(DK48="Opposite",0,0.5)))+'Weighting Options'!$D$13*MIN(N(BG48),3)/3+'Weighting Options'!$D$14*IF(AE48=1,1,0))/SUM('Weighting Options'!$D$7:$D$14),0),""))</f>
        <v/>
      </c>
      <c r="DR48" s="44" t="str">
        <f>IF(AH48="","",IFERROR(INDEX('Weighting Options'!$D$20:$D$27,VALUE(LEFT(TRIM(BU48),1))),1))</f>
        <v/>
      </c>
      <c r="DS48" s="44" t="str">
        <f t="shared" si="27"/>
        <v/>
      </c>
      <c r="DT48" s="42" t="str">
        <f>IF(AH48="","",IF(COUNTIFS($AH$12:AH48,AH48,$AI$12:AI48,AI48,$AM$12:AM48,AM48)=1,1,0))</f>
        <v/>
      </c>
    </row>
    <row r="49" spans="16:124" ht="12.75" customHeight="1" x14ac:dyDescent="0.35">
      <c r="P49" s="41"/>
      <c r="Q49" s="41"/>
      <c r="R49" s="41"/>
      <c r="S49" s="41"/>
      <c r="AH49" s="40"/>
      <c r="AP49" s="40"/>
      <c r="AS49" s="41"/>
      <c r="AT49" s="41"/>
      <c r="AW49" t="str">
        <f t="shared" si="0"/>
        <v/>
      </c>
      <c r="AX49" t="str">
        <f t="shared" si="1"/>
        <v/>
      </c>
      <c r="AY49" t="str">
        <f t="shared" si="2"/>
        <v/>
      </c>
      <c r="AZ49" s="40"/>
      <c r="BL49" s="47" t="str">
        <f t="shared" si="3"/>
        <v/>
      </c>
      <c r="BM49" s="47" t="str">
        <f t="shared" si="4"/>
        <v/>
      </c>
      <c r="BN49" s="47" t="str">
        <f t="shared" si="5"/>
        <v/>
      </c>
      <c r="BO49" s="47" t="str">
        <f t="shared" si="6"/>
        <v/>
      </c>
      <c r="BP49" s="47" t="str">
        <f t="shared" si="7"/>
        <v/>
      </c>
      <c r="BQ49" s="48" t="str">
        <f t="shared" si="8"/>
        <v/>
      </c>
      <c r="BR49" s="48" t="str">
        <f t="shared" si="9"/>
        <v/>
      </c>
      <c r="BS49" s="48" t="str">
        <f t="shared" si="10"/>
        <v/>
      </c>
      <c r="BT49" s="47" t="str">
        <f t="shared" si="11"/>
        <v/>
      </c>
      <c r="CA49" s="47" t="str">
        <f t="shared" si="12"/>
        <v/>
      </c>
      <c r="CB49" s="47" t="str">
        <f t="shared" si="13"/>
        <v/>
      </c>
      <c r="CC49" s="47" t="str">
        <f t="shared" si="14"/>
        <v/>
      </c>
      <c r="CD49" s="47" t="str">
        <f t="shared" si="15"/>
        <v/>
      </c>
      <c r="CE49" s="47" t="str">
        <f>IF(AH49="","",IF(OR(AI49&lt;&gt;'Seasonal Tercile Tally'!$B$3,AM49&lt;&gt;'Seasonal Tercile Tally'!$B$4),"Other site/ season",IF(DT49=0,"Excluded: duplicate (later row)",IF(N49&lt;&gt;1,"Excluded: not sighted",IF(AC49&lt;&gt;1,"Excluded: not confirmed",IF(AD49&lt;&gt;1,"Excluded: not approved",IF(AP49="Contested","Excluded: contested",IF(OR(U49="",U49=0),"Excluded: no tercile",IF(CB49="","Counted (simple tally only — no weight)","Counted")))))))))</f>
        <v/>
      </c>
      <c r="CF49" s="49" t="str">
        <f>IF(AH49="","",IFERROR(INDEX('Prior Multipliers'!$C$6:$C$70,MATCH(LEFT(AH49,10),'Prior Multipliers'!$A$6:$A$70,0)),IFERROR(INDEX('Prior Multipliers'!$C$6:$C$70,MATCH(LEFT(AH49,6),'Prior Multipliers'!$A$6:$A$70,0)),IFERROR(INDEX('Prior Multipliers'!$C$6:$C$70,MATCH(LEFT(AH49,2),'Prior Multipliers'!$A$6:$A$70,0)),1))))</f>
        <v/>
      </c>
      <c r="CG49" s="49" t="str">
        <f>IF(CB49="","",IF(AND('Seasonal Tercile Tally'!$B$5=1,BT49="Rating-based"),CB49*CF49,CB49))</f>
        <v/>
      </c>
      <c r="CH49" s="47">
        <f t="shared" si="16"/>
        <v>0</v>
      </c>
      <c r="CI49" s="45"/>
      <c r="CJ49" s="42" t="str">
        <f t="shared" si="17"/>
        <v/>
      </c>
      <c r="CM49" s="42" t="str">
        <f t="shared" si="18"/>
        <v/>
      </c>
      <c r="CP49" s="46" t="str">
        <f t="shared" si="19"/>
        <v/>
      </c>
      <c r="CS49" s="46" t="str">
        <f t="shared" si="20"/>
        <v/>
      </c>
      <c r="CT49" s="42" t="str">
        <f t="shared" si="21"/>
        <v/>
      </c>
      <c r="CU49" s="42" t="str">
        <f t="shared" si="22"/>
        <v/>
      </c>
      <c r="CV49" s="42" t="str">
        <f t="shared" si="23"/>
        <v/>
      </c>
      <c r="DB49" s="45"/>
      <c r="DH49" s="42" t="str">
        <f t="shared" si="24"/>
        <v/>
      </c>
      <c r="DI49" s="43" t="str">
        <f t="shared" si="25"/>
        <v/>
      </c>
      <c r="DK49" s="46" t="str">
        <f t="shared" si="26"/>
        <v/>
      </c>
      <c r="DQ49" s="42" t="str">
        <f>IF(AH49="","",IFERROR(ROUND(100*('Weighting Options'!$D$7*IF(ISNUMBER(CA49),CA49/3,0)+'Weighting Options'!$D$8*MIN(N(BL49),3)/3+'Weighting Options'!$D$9*IF(AP49="Community/Plenary-endorsed",1,IF(AP49="FGD-validated only",0.75,IF(AP49="Sub-community-specific",0.5,IF(AP49="Provisional/emerging",0.25,0))))+'Weighting Options'!$D$10*IF(ISNUMBER(K49),K49/3,0)+'Weighting Options'!$D$11*IF(CC49="",0.5,IF(CC49="OK",1,0.25))+'Weighting Options'!$D$12*IF(DK49="",0.5,IF(DK49="Agrees",1,IF(DK49="Opposite",0,0.5)))+'Weighting Options'!$D$13*MIN(N(BG49),3)/3+'Weighting Options'!$D$14*IF(AE49=1,1,0))/SUM('Weighting Options'!$D$7:$D$14),0),""))</f>
        <v/>
      </c>
      <c r="DR49" s="44" t="str">
        <f>IF(AH49="","",IFERROR(INDEX('Weighting Options'!$D$20:$D$27,VALUE(LEFT(TRIM(BU49),1))),1))</f>
        <v/>
      </c>
      <c r="DS49" s="44" t="str">
        <f t="shared" si="27"/>
        <v/>
      </c>
      <c r="DT49" s="42" t="str">
        <f>IF(AH49="","",IF(COUNTIFS($AH$12:AH49,AH49,$AI$12:AI49,AI49,$AM$12:AM49,AM49)=1,1,0))</f>
        <v/>
      </c>
    </row>
    <row r="50" spans="16:124" ht="12.75" customHeight="1" x14ac:dyDescent="0.35">
      <c r="P50" s="41"/>
      <c r="Q50" s="41"/>
      <c r="R50" s="41"/>
      <c r="S50" s="41"/>
      <c r="AH50" s="40"/>
      <c r="AP50" s="40"/>
      <c r="AS50" s="41"/>
      <c r="AT50" s="41"/>
      <c r="AW50" t="str">
        <f t="shared" si="0"/>
        <v/>
      </c>
      <c r="AX50" t="str">
        <f t="shared" si="1"/>
        <v/>
      </c>
      <c r="AY50" t="str">
        <f t="shared" si="2"/>
        <v/>
      </c>
      <c r="AZ50" s="40"/>
      <c r="BL50" s="47" t="str">
        <f t="shared" si="3"/>
        <v/>
      </c>
      <c r="BM50" s="47" t="str">
        <f t="shared" si="4"/>
        <v/>
      </c>
      <c r="BN50" s="47" t="str">
        <f t="shared" si="5"/>
        <v/>
      </c>
      <c r="BO50" s="47" t="str">
        <f t="shared" si="6"/>
        <v/>
      </c>
      <c r="BP50" s="47" t="str">
        <f t="shared" si="7"/>
        <v/>
      </c>
      <c r="BQ50" s="48" t="str">
        <f t="shared" si="8"/>
        <v/>
      </c>
      <c r="BR50" s="48" t="str">
        <f t="shared" si="9"/>
        <v/>
      </c>
      <c r="BS50" s="48" t="str">
        <f t="shared" si="10"/>
        <v/>
      </c>
      <c r="BT50" s="47" t="str">
        <f t="shared" si="11"/>
        <v/>
      </c>
      <c r="CA50" s="47" t="str">
        <f t="shared" si="12"/>
        <v/>
      </c>
      <c r="CB50" s="47" t="str">
        <f t="shared" si="13"/>
        <v/>
      </c>
      <c r="CC50" s="47" t="str">
        <f t="shared" si="14"/>
        <v/>
      </c>
      <c r="CD50" s="47" t="str">
        <f t="shared" si="15"/>
        <v/>
      </c>
      <c r="CE50" s="47" t="str">
        <f>IF(AH50="","",IF(OR(AI50&lt;&gt;'Seasonal Tercile Tally'!$B$3,AM50&lt;&gt;'Seasonal Tercile Tally'!$B$4),"Other site/ season",IF(DT50=0,"Excluded: duplicate (later row)",IF(N50&lt;&gt;1,"Excluded: not sighted",IF(AC50&lt;&gt;1,"Excluded: not confirmed",IF(AD50&lt;&gt;1,"Excluded: not approved",IF(AP50="Contested","Excluded: contested",IF(OR(U50="",U50=0),"Excluded: no tercile",IF(CB50="","Counted (simple tally only — no weight)","Counted")))))))))</f>
        <v/>
      </c>
      <c r="CF50" s="49" t="str">
        <f>IF(AH50="","",IFERROR(INDEX('Prior Multipliers'!$C$6:$C$70,MATCH(LEFT(AH50,10),'Prior Multipliers'!$A$6:$A$70,0)),IFERROR(INDEX('Prior Multipliers'!$C$6:$C$70,MATCH(LEFT(AH50,6),'Prior Multipliers'!$A$6:$A$70,0)),IFERROR(INDEX('Prior Multipliers'!$C$6:$C$70,MATCH(LEFT(AH50,2),'Prior Multipliers'!$A$6:$A$70,0)),1))))</f>
        <v/>
      </c>
      <c r="CG50" s="49" t="str">
        <f>IF(CB50="","",IF(AND('Seasonal Tercile Tally'!$B$5=1,BT50="Rating-based"),CB50*CF50,CB50))</f>
        <v/>
      </c>
      <c r="CH50" s="47">
        <f t="shared" si="16"/>
        <v>0</v>
      </c>
      <c r="CI50" s="45"/>
      <c r="CJ50" s="42" t="str">
        <f t="shared" si="17"/>
        <v/>
      </c>
      <c r="CM50" s="42" t="str">
        <f t="shared" si="18"/>
        <v/>
      </c>
      <c r="CP50" s="46" t="str">
        <f t="shared" si="19"/>
        <v/>
      </c>
      <c r="CS50" s="46" t="str">
        <f t="shared" si="20"/>
        <v/>
      </c>
      <c r="CT50" s="42" t="str">
        <f t="shared" si="21"/>
        <v/>
      </c>
      <c r="CU50" s="42" t="str">
        <f t="shared" si="22"/>
        <v/>
      </c>
      <c r="CV50" s="42" t="str">
        <f t="shared" si="23"/>
        <v/>
      </c>
      <c r="DB50" s="45"/>
      <c r="DH50" s="42" t="str">
        <f t="shared" si="24"/>
        <v/>
      </c>
      <c r="DI50" s="43" t="str">
        <f t="shared" si="25"/>
        <v/>
      </c>
      <c r="DK50" s="46" t="str">
        <f t="shared" si="26"/>
        <v/>
      </c>
      <c r="DQ50" s="42" t="str">
        <f>IF(AH50="","",IFERROR(ROUND(100*('Weighting Options'!$D$7*IF(ISNUMBER(CA50),CA50/3,0)+'Weighting Options'!$D$8*MIN(N(BL50),3)/3+'Weighting Options'!$D$9*IF(AP50="Community/Plenary-endorsed",1,IF(AP50="FGD-validated only",0.75,IF(AP50="Sub-community-specific",0.5,IF(AP50="Provisional/emerging",0.25,0))))+'Weighting Options'!$D$10*IF(ISNUMBER(K50),K50/3,0)+'Weighting Options'!$D$11*IF(CC50="",0.5,IF(CC50="OK",1,0.25))+'Weighting Options'!$D$12*IF(DK50="",0.5,IF(DK50="Agrees",1,IF(DK50="Opposite",0,0.5)))+'Weighting Options'!$D$13*MIN(N(BG50),3)/3+'Weighting Options'!$D$14*IF(AE50=1,1,0))/SUM('Weighting Options'!$D$7:$D$14),0),""))</f>
        <v/>
      </c>
      <c r="DR50" s="44" t="str">
        <f>IF(AH50="","",IFERROR(INDEX('Weighting Options'!$D$20:$D$27,VALUE(LEFT(TRIM(BU50),1))),1))</f>
        <v/>
      </c>
      <c r="DS50" s="44" t="str">
        <f t="shared" si="27"/>
        <v/>
      </c>
      <c r="DT50" s="42" t="str">
        <f>IF(AH50="","",IF(COUNTIFS($AH$12:AH50,AH50,$AI$12:AI50,AI50,$AM$12:AM50,AM50)=1,1,0))</f>
        <v/>
      </c>
    </row>
    <row r="51" spans="16:124" ht="12.75" customHeight="1" x14ac:dyDescent="0.35">
      <c r="P51" s="41"/>
      <c r="Q51" s="41"/>
      <c r="R51" s="41"/>
      <c r="S51" s="41"/>
      <c r="AH51" s="40"/>
      <c r="AP51" s="40"/>
      <c r="AS51" s="41"/>
      <c r="AT51" s="41"/>
      <c r="AW51" t="str">
        <f t="shared" si="0"/>
        <v/>
      </c>
      <c r="AX51" t="str">
        <f t="shared" si="1"/>
        <v/>
      </c>
      <c r="AY51" t="str">
        <f t="shared" si="2"/>
        <v/>
      </c>
      <c r="AZ51" s="40"/>
      <c r="BL51" s="47" t="str">
        <f t="shared" si="3"/>
        <v/>
      </c>
      <c r="BM51" s="47" t="str">
        <f t="shared" si="4"/>
        <v/>
      </c>
      <c r="BN51" s="47" t="str">
        <f t="shared" si="5"/>
        <v/>
      </c>
      <c r="BO51" s="47" t="str">
        <f t="shared" si="6"/>
        <v/>
      </c>
      <c r="BP51" s="47" t="str">
        <f t="shared" si="7"/>
        <v/>
      </c>
      <c r="BQ51" s="48" t="str">
        <f t="shared" si="8"/>
        <v/>
      </c>
      <c r="BR51" s="48" t="str">
        <f t="shared" si="9"/>
        <v/>
      </c>
      <c r="BS51" s="48" t="str">
        <f t="shared" si="10"/>
        <v/>
      </c>
      <c r="BT51" s="47" t="str">
        <f t="shared" si="11"/>
        <v/>
      </c>
      <c r="CA51" s="47" t="str">
        <f t="shared" si="12"/>
        <v/>
      </c>
      <c r="CB51" s="47" t="str">
        <f t="shared" si="13"/>
        <v/>
      </c>
      <c r="CC51" s="47" t="str">
        <f t="shared" si="14"/>
        <v/>
      </c>
      <c r="CD51" s="47" t="str">
        <f t="shared" si="15"/>
        <v/>
      </c>
      <c r="CE51" s="47" t="str">
        <f>IF(AH51="","",IF(OR(AI51&lt;&gt;'Seasonal Tercile Tally'!$B$3,AM51&lt;&gt;'Seasonal Tercile Tally'!$B$4),"Other site/ season",IF(DT51=0,"Excluded: duplicate (later row)",IF(N51&lt;&gt;1,"Excluded: not sighted",IF(AC51&lt;&gt;1,"Excluded: not confirmed",IF(AD51&lt;&gt;1,"Excluded: not approved",IF(AP51="Contested","Excluded: contested",IF(OR(U51="",U51=0),"Excluded: no tercile",IF(CB51="","Counted (simple tally only — no weight)","Counted")))))))))</f>
        <v/>
      </c>
      <c r="CF51" s="49" t="str">
        <f>IF(AH51="","",IFERROR(INDEX('Prior Multipliers'!$C$6:$C$70,MATCH(LEFT(AH51,10),'Prior Multipliers'!$A$6:$A$70,0)),IFERROR(INDEX('Prior Multipliers'!$C$6:$C$70,MATCH(LEFT(AH51,6),'Prior Multipliers'!$A$6:$A$70,0)),IFERROR(INDEX('Prior Multipliers'!$C$6:$C$70,MATCH(LEFT(AH51,2),'Prior Multipliers'!$A$6:$A$70,0)),1))))</f>
        <v/>
      </c>
      <c r="CG51" s="49" t="str">
        <f>IF(CB51="","",IF(AND('Seasonal Tercile Tally'!$B$5=1,BT51="Rating-based"),CB51*CF51,CB51))</f>
        <v/>
      </c>
      <c r="CH51" s="47">
        <f t="shared" si="16"/>
        <v>0</v>
      </c>
      <c r="CI51" s="45"/>
      <c r="CJ51" s="42" t="str">
        <f t="shared" si="17"/>
        <v/>
      </c>
      <c r="CM51" s="42" t="str">
        <f t="shared" si="18"/>
        <v/>
      </c>
      <c r="CP51" s="46" t="str">
        <f t="shared" si="19"/>
        <v/>
      </c>
      <c r="CS51" s="46" t="str">
        <f t="shared" si="20"/>
        <v/>
      </c>
      <c r="CT51" s="42" t="str">
        <f t="shared" si="21"/>
        <v/>
      </c>
      <c r="CU51" s="42" t="str">
        <f t="shared" si="22"/>
        <v/>
      </c>
      <c r="CV51" s="42" t="str">
        <f t="shared" si="23"/>
        <v/>
      </c>
      <c r="DB51" s="45"/>
      <c r="DH51" s="42" t="str">
        <f t="shared" si="24"/>
        <v/>
      </c>
      <c r="DI51" s="43" t="str">
        <f t="shared" si="25"/>
        <v/>
      </c>
      <c r="DK51" s="46" t="str">
        <f t="shared" si="26"/>
        <v/>
      </c>
      <c r="DQ51" s="42" t="str">
        <f>IF(AH51="","",IFERROR(ROUND(100*('Weighting Options'!$D$7*IF(ISNUMBER(CA51),CA51/3,0)+'Weighting Options'!$D$8*MIN(N(BL51),3)/3+'Weighting Options'!$D$9*IF(AP51="Community/Plenary-endorsed",1,IF(AP51="FGD-validated only",0.75,IF(AP51="Sub-community-specific",0.5,IF(AP51="Provisional/emerging",0.25,0))))+'Weighting Options'!$D$10*IF(ISNUMBER(K51),K51/3,0)+'Weighting Options'!$D$11*IF(CC51="",0.5,IF(CC51="OK",1,0.25))+'Weighting Options'!$D$12*IF(DK51="",0.5,IF(DK51="Agrees",1,IF(DK51="Opposite",0,0.5)))+'Weighting Options'!$D$13*MIN(N(BG51),3)/3+'Weighting Options'!$D$14*IF(AE51=1,1,0))/SUM('Weighting Options'!$D$7:$D$14),0),""))</f>
        <v/>
      </c>
      <c r="DR51" s="44" t="str">
        <f>IF(AH51="","",IFERROR(INDEX('Weighting Options'!$D$20:$D$27,VALUE(LEFT(TRIM(BU51),1))),1))</f>
        <v/>
      </c>
      <c r="DS51" s="44" t="str">
        <f t="shared" si="27"/>
        <v/>
      </c>
      <c r="DT51" s="42" t="str">
        <f>IF(AH51="","",IF(COUNTIFS($AH$12:AH51,AH51,$AI$12:AI51,AI51,$AM$12:AM51,AM51)=1,1,0))</f>
        <v/>
      </c>
    </row>
    <row r="52" spans="16:124" ht="12.75" customHeight="1" x14ac:dyDescent="0.35">
      <c r="P52" s="41"/>
      <c r="Q52" s="41"/>
      <c r="R52" s="41"/>
      <c r="S52" s="41"/>
      <c r="AH52" s="40"/>
      <c r="AP52" s="40"/>
      <c r="AS52" s="41"/>
      <c r="AT52" s="41"/>
      <c r="AW52" t="str">
        <f t="shared" si="0"/>
        <v/>
      </c>
      <c r="AX52" t="str">
        <f t="shared" si="1"/>
        <v/>
      </c>
      <c r="AY52" t="str">
        <f t="shared" si="2"/>
        <v/>
      </c>
      <c r="AZ52" s="40"/>
      <c r="BL52" s="47" t="str">
        <f t="shared" si="3"/>
        <v/>
      </c>
      <c r="BM52" s="47" t="str">
        <f t="shared" si="4"/>
        <v/>
      </c>
      <c r="BN52" s="47" t="str">
        <f t="shared" si="5"/>
        <v/>
      </c>
      <c r="BO52" s="47" t="str">
        <f t="shared" si="6"/>
        <v/>
      </c>
      <c r="BP52" s="47" t="str">
        <f t="shared" si="7"/>
        <v/>
      </c>
      <c r="BQ52" s="48" t="str">
        <f t="shared" si="8"/>
        <v/>
      </c>
      <c r="BR52" s="48" t="str">
        <f t="shared" si="9"/>
        <v/>
      </c>
      <c r="BS52" s="48" t="str">
        <f t="shared" si="10"/>
        <v/>
      </c>
      <c r="BT52" s="47" t="str">
        <f t="shared" si="11"/>
        <v/>
      </c>
      <c r="CA52" s="47" t="str">
        <f t="shared" si="12"/>
        <v/>
      </c>
      <c r="CB52" s="47" t="str">
        <f t="shared" si="13"/>
        <v/>
      </c>
      <c r="CC52" s="47" t="str">
        <f t="shared" si="14"/>
        <v/>
      </c>
      <c r="CD52" s="47" t="str">
        <f t="shared" si="15"/>
        <v/>
      </c>
      <c r="CE52" s="47" t="str">
        <f>IF(AH52="","",IF(OR(AI52&lt;&gt;'Seasonal Tercile Tally'!$B$3,AM52&lt;&gt;'Seasonal Tercile Tally'!$B$4),"Other site/ season",IF(DT52=0,"Excluded: duplicate (later row)",IF(N52&lt;&gt;1,"Excluded: not sighted",IF(AC52&lt;&gt;1,"Excluded: not confirmed",IF(AD52&lt;&gt;1,"Excluded: not approved",IF(AP52="Contested","Excluded: contested",IF(OR(U52="",U52=0),"Excluded: no tercile",IF(CB52="","Counted (simple tally only — no weight)","Counted")))))))))</f>
        <v/>
      </c>
      <c r="CF52" s="49" t="str">
        <f>IF(AH52="","",IFERROR(INDEX('Prior Multipliers'!$C$6:$C$70,MATCH(LEFT(AH52,10),'Prior Multipliers'!$A$6:$A$70,0)),IFERROR(INDEX('Prior Multipliers'!$C$6:$C$70,MATCH(LEFT(AH52,6),'Prior Multipliers'!$A$6:$A$70,0)),IFERROR(INDEX('Prior Multipliers'!$C$6:$C$70,MATCH(LEFT(AH52,2),'Prior Multipliers'!$A$6:$A$70,0)),1))))</f>
        <v/>
      </c>
      <c r="CG52" s="49" t="str">
        <f>IF(CB52="","",IF(AND('Seasonal Tercile Tally'!$B$5=1,BT52="Rating-based"),CB52*CF52,CB52))</f>
        <v/>
      </c>
      <c r="CH52" s="47">
        <f t="shared" si="16"/>
        <v>0</v>
      </c>
      <c r="CI52" s="45"/>
      <c r="CJ52" s="42" t="str">
        <f t="shared" si="17"/>
        <v/>
      </c>
      <c r="CM52" s="42" t="str">
        <f t="shared" si="18"/>
        <v/>
      </c>
      <c r="CP52" s="46" t="str">
        <f t="shared" si="19"/>
        <v/>
      </c>
      <c r="CS52" s="46" t="str">
        <f t="shared" si="20"/>
        <v/>
      </c>
      <c r="CT52" s="42" t="str">
        <f t="shared" si="21"/>
        <v/>
      </c>
      <c r="CU52" s="42" t="str">
        <f t="shared" si="22"/>
        <v/>
      </c>
      <c r="CV52" s="42" t="str">
        <f t="shared" si="23"/>
        <v/>
      </c>
      <c r="DB52" s="45"/>
      <c r="DH52" s="42" t="str">
        <f t="shared" si="24"/>
        <v/>
      </c>
      <c r="DI52" s="43" t="str">
        <f t="shared" si="25"/>
        <v/>
      </c>
      <c r="DK52" s="46" t="str">
        <f t="shared" si="26"/>
        <v/>
      </c>
      <c r="DQ52" s="42" t="str">
        <f>IF(AH52="","",IFERROR(ROUND(100*('Weighting Options'!$D$7*IF(ISNUMBER(CA52),CA52/3,0)+'Weighting Options'!$D$8*MIN(N(BL52),3)/3+'Weighting Options'!$D$9*IF(AP52="Community/Plenary-endorsed",1,IF(AP52="FGD-validated only",0.75,IF(AP52="Sub-community-specific",0.5,IF(AP52="Provisional/emerging",0.25,0))))+'Weighting Options'!$D$10*IF(ISNUMBER(K52),K52/3,0)+'Weighting Options'!$D$11*IF(CC52="",0.5,IF(CC52="OK",1,0.25))+'Weighting Options'!$D$12*IF(DK52="",0.5,IF(DK52="Agrees",1,IF(DK52="Opposite",0,0.5)))+'Weighting Options'!$D$13*MIN(N(BG52),3)/3+'Weighting Options'!$D$14*IF(AE52=1,1,0))/SUM('Weighting Options'!$D$7:$D$14),0),""))</f>
        <v/>
      </c>
      <c r="DR52" s="44" t="str">
        <f>IF(AH52="","",IFERROR(INDEX('Weighting Options'!$D$20:$D$27,VALUE(LEFT(TRIM(BU52),1))),1))</f>
        <v/>
      </c>
      <c r="DS52" s="44" t="str">
        <f t="shared" si="27"/>
        <v/>
      </c>
      <c r="DT52" s="42" t="str">
        <f>IF(AH52="","",IF(COUNTIFS($AH$12:AH52,AH52,$AI$12:AI52,AI52,$AM$12:AM52,AM52)=1,1,0))</f>
        <v/>
      </c>
    </row>
    <row r="53" spans="16:124" ht="12.75" customHeight="1" x14ac:dyDescent="0.35">
      <c r="P53" s="41"/>
      <c r="Q53" s="41"/>
      <c r="R53" s="41"/>
      <c r="S53" s="41"/>
      <c r="AH53" s="40"/>
      <c r="AP53" s="40"/>
      <c r="AS53" s="41"/>
      <c r="AT53" s="41"/>
      <c r="AW53" t="str">
        <f t="shared" si="0"/>
        <v/>
      </c>
      <c r="AX53" t="str">
        <f t="shared" si="1"/>
        <v/>
      </c>
      <c r="AY53" t="str">
        <f t="shared" si="2"/>
        <v/>
      </c>
      <c r="AZ53" s="40"/>
      <c r="BL53" s="47" t="str">
        <f t="shared" si="3"/>
        <v/>
      </c>
      <c r="BM53" s="47" t="str">
        <f t="shared" si="4"/>
        <v/>
      </c>
      <c r="BN53" s="47" t="str">
        <f t="shared" si="5"/>
        <v/>
      </c>
      <c r="BO53" s="47" t="str">
        <f t="shared" si="6"/>
        <v/>
      </c>
      <c r="BP53" s="47" t="str">
        <f t="shared" si="7"/>
        <v/>
      </c>
      <c r="BQ53" s="48" t="str">
        <f t="shared" si="8"/>
        <v/>
      </c>
      <c r="BR53" s="48" t="str">
        <f t="shared" si="9"/>
        <v/>
      </c>
      <c r="BS53" s="48" t="str">
        <f t="shared" si="10"/>
        <v/>
      </c>
      <c r="BT53" s="47" t="str">
        <f t="shared" si="11"/>
        <v/>
      </c>
      <c r="CA53" s="47" t="str">
        <f t="shared" si="12"/>
        <v/>
      </c>
      <c r="CB53" s="47" t="str">
        <f t="shared" si="13"/>
        <v/>
      </c>
      <c r="CC53" s="47" t="str">
        <f t="shared" si="14"/>
        <v/>
      </c>
      <c r="CD53" s="47" t="str">
        <f t="shared" si="15"/>
        <v/>
      </c>
      <c r="CE53" s="47" t="str">
        <f>IF(AH53="","",IF(OR(AI53&lt;&gt;'Seasonal Tercile Tally'!$B$3,AM53&lt;&gt;'Seasonal Tercile Tally'!$B$4),"Other site/ season",IF(DT53=0,"Excluded: duplicate (later row)",IF(N53&lt;&gt;1,"Excluded: not sighted",IF(AC53&lt;&gt;1,"Excluded: not confirmed",IF(AD53&lt;&gt;1,"Excluded: not approved",IF(AP53="Contested","Excluded: contested",IF(OR(U53="",U53=0),"Excluded: no tercile",IF(CB53="","Counted (simple tally only — no weight)","Counted")))))))))</f>
        <v/>
      </c>
      <c r="CF53" s="49" t="str">
        <f>IF(AH53="","",IFERROR(INDEX('Prior Multipliers'!$C$6:$C$70,MATCH(LEFT(AH53,10),'Prior Multipliers'!$A$6:$A$70,0)),IFERROR(INDEX('Prior Multipliers'!$C$6:$C$70,MATCH(LEFT(AH53,6),'Prior Multipliers'!$A$6:$A$70,0)),IFERROR(INDEX('Prior Multipliers'!$C$6:$C$70,MATCH(LEFT(AH53,2),'Prior Multipliers'!$A$6:$A$70,0)),1))))</f>
        <v/>
      </c>
      <c r="CG53" s="49" t="str">
        <f>IF(CB53="","",IF(AND('Seasonal Tercile Tally'!$B$5=1,BT53="Rating-based"),CB53*CF53,CB53))</f>
        <v/>
      </c>
      <c r="CH53" s="47">
        <f t="shared" si="16"/>
        <v>0</v>
      </c>
      <c r="CI53" s="45"/>
      <c r="CJ53" s="42" t="str">
        <f t="shared" si="17"/>
        <v/>
      </c>
      <c r="CM53" s="42" t="str">
        <f t="shared" si="18"/>
        <v/>
      </c>
      <c r="CP53" s="46" t="str">
        <f t="shared" si="19"/>
        <v/>
      </c>
      <c r="CS53" s="46" t="str">
        <f t="shared" si="20"/>
        <v/>
      </c>
      <c r="CT53" s="42" t="str">
        <f t="shared" si="21"/>
        <v/>
      </c>
      <c r="CU53" s="42" t="str">
        <f t="shared" si="22"/>
        <v/>
      </c>
      <c r="CV53" s="42" t="str">
        <f t="shared" si="23"/>
        <v/>
      </c>
      <c r="DB53" s="45"/>
      <c r="DH53" s="42" t="str">
        <f t="shared" si="24"/>
        <v/>
      </c>
      <c r="DI53" s="43" t="str">
        <f t="shared" si="25"/>
        <v/>
      </c>
      <c r="DK53" s="46" t="str">
        <f t="shared" si="26"/>
        <v/>
      </c>
      <c r="DQ53" s="42" t="str">
        <f>IF(AH53="","",IFERROR(ROUND(100*('Weighting Options'!$D$7*IF(ISNUMBER(CA53),CA53/3,0)+'Weighting Options'!$D$8*MIN(N(BL53),3)/3+'Weighting Options'!$D$9*IF(AP53="Community/Plenary-endorsed",1,IF(AP53="FGD-validated only",0.75,IF(AP53="Sub-community-specific",0.5,IF(AP53="Provisional/emerging",0.25,0))))+'Weighting Options'!$D$10*IF(ISNUMBER(K53),K53/3,0)+'Weighting Options'!$D$11*IF(CC53="",0.5,IF(CC53="OK",1,0.25))+'Weighting Options'!$D$12*IF(DK53="",0.5,IF(DK53="Agrees",1,IF(DK53="Opposite",0,0.5)))+'Weighting Options'!$D$13*MIN(N(BG53),3)/3+'Weighting Options'!$D$14*IF(AE53=1,1,0))/SUM('Weighting Options'!$D$7:$D$14),0),""))</f>
        <v/>
      </c>
      <c r="DR53" s="44" t="str">
        <f>IF(AH53="","",IFERROR(INDEX('Weighting Options'!$D$20:$D$27,VALUE(LEFT(TRIM(BU53),1))),1))</f>
        <v/>
      </c>
      <c r="DS53" s="44" t="str">
        <f t="shared" si="27"/>
        <v/>
      </c>
      <c r="DT53" s="42" t="str">
        <f>IF(AH53="","",IF(COUNTIFS($AH$12:AH53,AH53,$AI$12:AI53,AI53,$AM$12:AM53,AM53)=1,1,0))</f>
        <v/>
      </c>
    </row>
    <row r="54" spans="16:124" ht="12.75" customHeight="1" x14ac:dyDescent="0.35">
      <c r="P54" s="41"/>
      <c r="Q54" s="41"/>
      <c r="R54" s="41"/>
      <c r="S54" s="41"/>
      <c r="AH54" s="40"/>
      <c r="AP54" s="40"/>
      <c r="AS54" s="41"/>
      <c r="AT54" s="41"/>
      <c r="AW54" t="str">
        <f t="shared" si="0"/>
        <v/>
      </c>
      <c r="AX54" t="str">
        <f t="shared" si="1"/>
        <v/>
      </c>
      <c r="AY54" t="str">
        <f t="shared" si="2"/>
        <v/>
      </c>
      <c r="AZ54" s="40"/>
      <c r="BL54" s="47" t="str">
        <f t="shared" si="3"/>
        <v/>
      </c>
      <c r="BM54" s="47" t="str">
        <f t="shared" si="4"/>
        <v/>
      </c>
      <c r="BN54" s="47" t="str">
        <f t="shared" si="5"/>
        <v/>
      </c>
      <c r="BO54" s="47" t="str">
        <f t="shared" si="6"/>
        <v/>
      </c>
      <c r="BP54" s="47" t="str">
        <f t="shared" si="7"/>
        <v/>
      </c>
      <c r="BQ54" s="48" t="str">
        <f t="shared" si="8"/>
        <v/>
      </c>
      <c r="BR54" s="48" t="str">
        <f t="shared" si="9"/>
        <v/>
      </c>
      <c r="BS54" s="48" t="str">
        <f t="shared" si="10"/>
        <v/>
      </c>
      <c r="BT54" s="47" t="str">
        <f t="shared" si="11"/>
        <v/>
      </c>
      <c r="CA54" s="47" t="str">
        <f t="shared" si="12"/>
        <v/>
      </c>
      <c r="CB54" s="47" t="str">
        <f t="shared" si="13"/>
        <v/>
      </c>
      <c r="CC54" s="47" t="str">
        <f t="shared" si="14"/>
        <v/>
      </c>
      <c r="CD54" s="47" t="str">
        <f t="shared" si="15"/>
        <v/>
      </c>
      <c r="CE54" s="47" t="str">
        <f>IF(AH54="","",IF(OR(AI54&lt;&gt;'Seasonal Tercile Tally'!$B$3,AM54&lt;&gt;'Seasonal Tercile Tally'!$B$4),"Other site/ season",IF(DT54=0,"Excluded: duplicate (later row)",IF(N54&lt;&gt;1,"Excluded: not sighted",IF(AC54&lt;&gt;1,"Excluded: not confirmed",IF(AD54&lt;&gt;1,"Excluded: not approved",IF(AP54="Contested","Excluded: contested",IF(OR(U54="",U54=0),"Excluded: no tercile",IF(CB54="","Counted (simple tally only — no weight)","Counted")))))))))</f>
        <v/>
      </c>
      <c r="CF54" s="49" t="str">
        <f>IF(AH54="","",IFERROR(INDEX('Prior Multipliers'!$C$6:$C$70,MATCH(LEFT(AH54,10),'Prior Multipliers'!$A$6:$A$70,0)),IFERROR(INDEX('Prior Multipliers'!$C$6:$C$70,MATCH(LEFT(AH54,6),'Prior Multipliers'!$A$6:$A$70,0)),IFERROR(INDEX('Prior Multipliers'!$C$6:$C$70,MATCH(LEFT(AH54,2),'Prior Multipliers'!$A$6:$A$70,0)),1))))</f>
        <v/>
      </c>
      <c r="CG54" s="49" t="str">
        <f>IF(CB54="","",IF(AND('Seasonal Tercile Tally'!$B$5=1,BT54="Rating-based"),CB54*CF54,CB54))</f>
        <v/>
      </c>
      <c r="CH54" s="47">
        <f t="shared" si="16"/>
        <v>0</v>
      </c>
      <c r="CI54" s="45"/>
      <c r="CJ54" s="42" t="str">
        <f t="shared" si="17"/>
        <v/>
      </c>
      <c r="CM54" s="42" t="str">
        <f t="shared" si="18"/>
        <v/>
      </c>
      <c r="CP54" s="46" t="str">
        <f t="shared" si="19"/>
        <v/>
      </c>
      <c r="CS54" s="46" t="str">
        <f t="shared" si="20"/>
        <v/>
      </c>
      <c r="CT54" s="42" t="str">
        <f t="shared" si="21"/>
        <v/>
      </c>
      <c r="CU54" s="42" t="str">
        <f t="shared" si="22"/>
        <v/>
      </c>
      <c r="CV54" s="42" t="str">
        <f t="shared" si="23"/>
        <v/>
      </c>
      <c r="DB54" s="45"/>
      <c r="DH54" s="42" t="str">
        <f t="shared" si="24"/>
        <v/>
      </c>
      <c r="DI54" s="43" t="str">
        <f t="shared" si="25"/>
        <v/>
      </c>
      <c r="DK54" s="46" t="str">
        <f t="shared" si="26"/>
        <v/>
      </c>
      <c r="DQ54" s="42" t="str">
        <f>IF(AH54="","",IFERROR(ROUND(100*('Weighting Options'!$D$7*IF(ISNUMBER(CA54),CA54/3,0)+'Weighting Options'!$D$8*MIN(N(BL54),3)/3+'Weighting Options'!$D$9*IF(AP54="Community/Plenary-endorsed",1,IF(AP54="FGD-validated only",0.75,IF(AP54="Sub-community-specific",0.5,IF(AP54="Provisional/emerging",0.25,0))))+'Weighting Options'!$D$10*IF(ISNUMBER(K54),K54/3,0)+'Weighting Options'!$D$11*IF(CC54="",0.5,IF(CC54="OK",1,0.25))+'Weighting Options'!$D$12*IF(DK54="",0.5,IF(DK54="Agrees",1,IF(DK54="Opposite",0,0.5)))+'Weighting Options'!$D$13*MIN(N(BG54),3)/3+'Weighting Options'!$D$14*IF(AE54=1,1,0))/SUM('Weighting Options'!$D$7:$D$14),0),""))</f>
        <v/>
      </c>
      <c r="DR54" s="44" t="str">
        <f>IF(AH54="","",IFERROR(INDEX('Weighting Options'!$D$20:$D$27,VALUE(LEFT(TRIM(BU54),1))),1))</f>
        <v/>
      </c>
      <c r="DS54" s="44" t="str">
        <f t="shared" si="27"/>
        <v/>
      </c>
      <c r="DT54" s="42" t="str">
        <f>IF(AH54="","",IF(COUNTIFS($AH$12:AH54,AH54,$AI$12:AI54,AI54,$AM$12:AM54,AM54)=1,1,0))</f>
        <v/>
      </c>
    </row>
    <row r="55" spans="16:124" ht="12.75" customHeight="1" x14ac:dyDescent="0.35">
      <c r="P55" s="41"/>
      <c r="Q55" s="41"/>
      <c r="R55" s="41"/>
      <c r="S55" s="41"/>
      <c r="AH55" s="40"/>
      <c r="AP55" s="40"/>
      <c r="AS55" s="41"/>
      <c r="AT55" s="41"/>
      <c r="AW55" t="str">
        <f t="shared" si="0"/>
        <v/>
      </c>
      <c r="AX55" t="str">
        <f t="shared" si="1"/>
        <v/>
      </c>
      <c r="AY55" t="str">
        <f t="shared" si="2"/>
        <v/>
      </c>
      <c r="AZ55" s="40"/>
      <c r="BL55" s="47" t="str">
        <f t="shared" si="3"/>
        <v/>
      </c>
      <c r="BM55" s="47" t="str">
        <f t="shared" si="4"/>
        <v/>
      </c>
      <c r="BN55" s="47" t="str">
        <f t="shared" si="5"/>
        <v/>
      </c>
      <c r="BO55" s="47" t="str">
        <f t="shared" si="6"/>
        <v/>
      </c>
      <c r="BP55" s="47" t="str">
        <f t="shared" si="7"/>
        <v/>
      </c>
      <c r="BQ55" s="48" t="str">
        <f t="shared" si="8"/>
        <v/>
      </c>
      <c r="BR55" s="48" t="str">
        <f t="shared" si="9"/>
        <v/>
      </c>
      <c r="BS55" s="48" t="str">
        <f t="shared" si="10"/>
        <v/>
      </c>
      <c r="BT55" s="47" t="str">
        <f t="shared" si="11"/>
        <v/>
      </c>
      <c r="CA55" s="47" t="str">
        <f t="shared" si="12"/>
        <v/>
      </c>
      <c r="CB55" s="47" t="str">
        <f t="shared" si="13"/>
        <v/>
      </c>
      <c r="CC55" s="47" t="str">
        <f t="shared" si="14"/>
        <v/>
      </c>
      <c r="CD55" s="47" t="str">
        <f t="shared" si="15"/>
        <v/>
      </c>
      <c r="CE55" s="47" t="str">
        <f>IF(AH55="","",IF(OR(AI55&lt;&gt;'Seasonal Tercile Tally'!$B$3,AM55&lt;&gt;'Seasonal Tercile Tally'!$B$4),"Other site/ season",IF(DT55=0,"Excluded: duplicate (later row)",IF(N55&lt;&gt;1,"Excluded: not sighted",IF(AC55&lt;&gt;1,"Excluded: not confirmed",IF(AD55&lt;&gt;1,"Excluded: not approved",IF(AP55="Contested","Excluded: contested",IF(OR(U55="",U55=0),"Excluded: no tercile",IF(CB55="","Counted (simple tally only — no weight)","Counted")))))))))</f>
        <v/>
      </c>
      <c r="CF55" s="49" t="str">
        <f>IF(AH55="","",IFERROR(INDEX('Prior Multipliers'!$C$6:$C$70,MATCH(LEFT(AH55,10),'Prior Multipliers'!$A$6:$A$70,0)),IFERROR(INDEX('Prior Multipliers'!$C$6:$C$70,MATCH(LEFT(AH55,6),'Prior Multipliers'!$A$6:$A$70,0)),IFERROR(INDEX('Prior Multipliers'!$C$6:$C$70,MATCH(LEFT(AH55,2),'Prior Multipliers'!$A$6:$A$70,0)),1))))</f>
        <v/>
      </c>
      <c r="CG55" s="49" t="str">
        <f>IF(CB55="","",IF(AND('Seasonal Tercile Tally'!$B$5=1,BT55="Rating-based"),CB55*CF55,CB55))</f>
        <v/>
      </c>
      <c r="CH55" s="47">
        <f t="shared" si="16"/>
        <v>0</v>
      </c>
      <c r="CI55" s="45"/>
      <c r="CJ55" s="42" t="str">
        <f t="shared" si="17"/>
        <v/>
      </c>
      <c r="CM55" s="42" t="str">
        <f t="shared" si="18"/>
        <v/>
      </c>
      <c r="CP55" s="46" t="str">
        <f t="shared" si="19"/>
        <v/>
      </c>
      <c r="CS55" s="46" t="str">
        <f t="shared" si="20"/>
        <v/>
      </c>
      <c r="CT55" s="42" t="str">
        <f t="shared" si="21"/>
        <v/>
      </c>
      <c r="CU55" s="42" t="str">
        <f t="shared" si="22"/>
        <v/>
      </c>
      <c r="CV55" s="42" t="str">
        <f t="shared" si="23"/>
        <v/>
      </c>
      <c r="DB55" s="45"/>
      <c r="DH55" s="42" t="str">
        <f t="shared" si="24"/>
        <v/>
      </c>
      <c r="DI55" s="43" t="str">
        <f t="shared" si="25"/>
        <v/>
      </c>
      <c r="DK55" s="46" t="str">
        <f t="shared" si="26"/>
        <v/>
      </c>
      <c r="DQ55" s="42" t="str">
        <f>IF(AH55="","",IFERROR(ROUND(100*('Weighting Options'!$D$7*IF(ISNUMBER(CA55),CA55/3,0)+'Weighting Options'!$D$8*MIN(N(BL55),3)/3+'Weighting Options'!$D$9*IF(AP55="Community/Plenary-endorsed",1,IF(AP55="FGD-validated only",0.75,IF(AP55="Sub-community-specific",0.5,IF(AP55="Provisional/emerging",0.25,0))))+'Weighting Options'!$D$10*IF(ISNUMBER(K55),K55/3,0)+'Weighting Options'!$D$11*IF(CC55="",0.5,IF(CC55="OK",1,0.25))+'Weighting Options'!$D$12*IF(DK55="",0.5,IF(DK55="Agrees",1,IF(DK55="Opposite",0,0.5)))+'Weighting Options'!$D$13*MIN(N(BG55),3)/3+'Weighting Options'!$D$14*IF(AE55=1,1,0))/SUM('Weighting Options'!$D$7:$D$14),0),""))</f>
        <v/>
      </c>
      <c r="DR55" s="44" t="str">
        <f>IF(AH55="","",IFERROR(INDEX('Weighting Options'!$D$20:$D$27,VALUE(LEFT(TRIM(BU55),1))),1))</f>
        <v/>
      </c>
      <c r="DS55" s="44" t="str">
        <f t="shared" si="27"/>
        <v/>
      </c>
      <c r="DT55" s="42" t="str">
        <f>IF(AH55="","",IF(COUNTIFS($AH$12:AH55,AH55,$AI$12:AI55,AI55,$AM$12:AM55,AM55)=1,1,0))</f>
        <v/>
      </c>
    </row>
    <row r="56" spans="16:124" ht="12.75" customHeight="1" x14ac:dyDescent="0.35">
      <c r="P56" s="41"/>
      <c r="Q56" s="41"/>
      <c r="R56" s="41"/>
      <c r="S56" s="41"/>
      <c r="AH56" s="40"/>
      <c r="AP56" s="40"/>
      <c r="AS56" s="41"/>
      <c r="AT56" s="41"/>
      <c r="AW56" t="str">
        <f t="shared" si="0"/>
        <v/>
      </c>
      <c r="AX56" t="str">
        <f t="shared" si="1"/>
        <v/>
      </c>
      <c r="AY56" t="str">
        <f t="shared" si="2"/>
        <v/>
      </c>
      <c r="AZ56" s="40"/>
      <c r="BL56" s="47" t="str">
        <f t="shared" si="3"/>
        <v/>
      </c>
      <c r="BM56" s="47" t="str">
        <f t="shared" si="4"/>
        <v/>
      </c>
      <c r="BN56" s="47" t="str">
        <f t="shared" si="5"/>
        <v/>
      </c>
      <c r="BO56" s="47" t="str">
        <f t="shared" si="6"/>
        <v/>
      </c>
      <c r="BP56" s="47" t="str">
        <f t="shared" si="7"/>
        <v/>
      </c>
      <c r="BQ56" s="48" t="str">
        <f t="shared" si="8"/>
        <v/>
      </c>
      <c r="BR56" s="48" t="str">
        <f t="shared" si="9"/>
        <v/>
      </c>
      <c r="BS56" s="48" t="str">
        <f t="shared" si="10"/>
        <v/>
      </c>
      <c r="BT56" s="47" t="str">
        <f t="shared" si="11"/>
        <v/>
      </c>
      <c r="CA56" s="47" t="str">
        <f t="shared" si="12"/>
        <v/>
      </c>
      <c r="CB56" s="47" t="str">
        <f t="shared" si="13"/>
        <v/>
      </c>
      <c r="CC56" s="47" t="str">
        <f t="shared" si="14"/>
        <v/>
      </c>
      <c r="CD56" s="47" t="str">
        <f t="shared" si="15"/>
        <v/>
      </c>
      <c r="CE56" s="47" t="str">
        <f>IF(AH56="","",IF(OR(AI56&lt;&gt;'Seasonal Tercile Tally'!$B$3,AM56&lt;&gt;'Seasonal Tercile Tally'!$B$4),"Other site/ season",IF(DT56=0,"Excluded: duplicate (later row)",IF(N56&lt;&gt;1,"Excluded: not sighted",IF(AC56&lt;&gt;1,"Excluded: not confirmed",IF(AD56&lt;&gt;1,"Excluded: not approved",IF(AP56="Contested","Excluded: contested",IF(OR(U56="",U56=0),"Excluded: no tercile",IF(CB56="","Counted (simple tally only — no weight)","Counted")))))))))</f>
        <v/>
      </c>
      <c r="CF56" s="49" t="str">
        <f>IF(AH56="","",IFERROR(INDEX('Prior Multipliers'!$C$6:$C$70,MATCH(LEFT(AH56,10),'Prior Multipliers'!$A$6:$A$70,0)),IFERROR(INDEX('Prior Multipliers'!$C$6:$C$70,MATCH(LEFT(AH56,6),'Prior Multipliers'!$A$6:$A$70,0)),IFERROR(INDEX('Prior Multipliers'!$C$6:$C$70,MATCH(LEFT(AH56,2),'Prior Multipliers'!$A$6:$A$70,0)),1))))</f>
        <v/>
      </c>
      <c r="CG56" s="49" t="str">
        <f>IF(CB56="","",IF(AND('Seasonal Tercile Tally'!$B$5=1,BT56="Rating-based"),CB56*CF56,CB56))</f>
        <v/>
      </c>
      <c r="CH56" s="47">
        <f t="shared" si="16"/>
        <v>0</v>
      </c>
      <c r="CI56" s="45"/>
      <c r="CJ56" s="42" t="str">
        <f t="shared" si="17"/>
        <v/>
      </c>
      <c r="CM56" s="42" t="str">
        <f t="shared" si="18"/>
        <v/>
      </c>
      <c r="CP56" s="46" t="str">
        <f t="shared" si="19"/>
        <v/>
      </c>
      <c r="CS56" s="46" t="str">
        <f t="shared" si="20"/>
        <v/>
      </c>
      <c r="CT56" s="42" t="str">
        <f t="shared" si="21"/>
        <v/>
      </c>
      <c r="CU56" s="42" t="str">
        <f t="shared" si="22"/>
        <v/>
      </c>
      <c r="CV56" s="42" t="str">
        <f t="shared" si="23"/>
        <v/>
      </c>
      <c r="DB56" s="45"/>
      <c r="DH56" s="42" t="str">
        <f t="shared" si="24"/>
        <v/>
      </c>
      <c r="DI56" s="43" t="str">
        <f t="shared" si="25"/>
        <v/>
      </c>
      <c r="DK56" s="46" t="str">
        <f t="shared" si="26"/>
        <v/>
      </c>
      <c r="DQ56" s="42" t="str">
        <f>IF(AH56="","",IFERROR(ROUND(100*('Weighting Options'!$D$7*IF(ISNUMBER(CA56),CA56/3,0)+'Weighting Options'!$D$8*MIN(N(BL56),3)/3+'Weighting Options'!$D$9*IF(AP56="Community/Plenary-endorsed",1,IF(AP56="FGD-validated only",0.75,IF(AP56="Sub-community-specific",0.5,IF(AP56="Provisional/emerging",0.25,0))))+'Weighting Options'!$D$10*IF(ISNUMBER(K56),K56/3,0)+'Weighting Options'!$D$11*IF(CC56="",0.5,IF(CC56="OK",1,0.25))+'Weighting Options'!$D$12*IF(DK56="",0.5,IF(DK56="Agrees",1,IF(DK56="Opposite",0,0.5)))+'Weighting Options'!$D$13*MIN(N(BG56),3)/3+'Weighting Options'!$D$14*IF(AE56=1,1,0))/SUM('Weighting Options'!$D$7:$D$14),0),""))</f>
        <v/>
      </c>
      <c r="DR56" s="44" t="str">
        <f>IF(AH56="","",IFERROR(INDEX('Weighting Options'!$D$20:$D$27,VALUE(LEFT(TRIM(BU56),1))),1))</f>
        <v/>
      </c>
      <c r="DS56" s="44" t="str">
        <f t="shared" si="27"/>
        <v/>
      </c>
      <c r="DT56" s="42" t="str">
        <f>IF(AH56="","",IF(COUNTIFS($AH$12:AH56,AH56,$AI$12:AI56,AI56,$AM$12:AM56,AM56)=1,1,0))</f>
        <v/>
      </c>
    </row>
    <row r="57" spans="16:124" ht="12.75" customHeight="1" x14ac:dyDescent="0.35">
      <c r="P57" s="41"/>
      <c r="Q57" s="41"/>
      <c r="R57" s="41"/>
      <c r="S57" s="41"/>
      <c r="AH57" s="40"/>
      <c r="AP57" s="40"/>
      <c r="AS57" s="41"/>
      <c r="AT57" s="41"/>
      <c r="AW57" t="str">
        <f t="shared" si="0"/>
        <v/>
      </c>
      <c r="AX57" t="str">
        <f t="shared" si="1"/>
        <v/>
      </c>
      <c r="AY57" t="str">
        <f t="shared" si="2"/>
        <v/>
      </c>
      <c r="AZ57" s="40"/>
      <c r="BL57" s="47" t="str">
        <f t="shared" si="3"/>
        <v/>
      </c>
      <c r="BM57" s="47" t="str">
        <f t="shared" si="4"/>
        <v/>
      </c>
      <c r="BN57" s="47" t="str">
        <f t="shared" si="5"/>
        <v/>
      </c>
      <c r="BO57" s="47" t="str">
        <f t="shared" si="6"/>
        <v/>
      </c>
      <c r="BP57" s="47" t="str">
        <f t="shared" si="7"/>
        <v/>
      </c>
      <c r="BQ57" s="48" t="str">
        <f t="shared" si="8"/>
        <v/>
      </c>
      <c r="BR57" s="48" t="str">
        <f t="shared" si="9"/>
        <v/>
      </c>
      <c r="BS57" s="48" t="str">
        <f t="shared" si="10"/>
        <v/>
      </c>
      <c r="BT57" s="47" t="str">
        <f t="shared" si="11"/>
        <v/>
      </c>
      <c r="CA57" s="47" t="str">
        <f t="shared" si="12"/>
        <v/>
      </c>
      <c r="CB57" s="47" t="str">
        <f t="shared" si="13"/>
        <v/>
      </c>
      <c r="CC57" s="47" t="str">
        <f t="shared" si="14"/>
        <v/>
      </c>
      <c r="CD57" s="47" t="str">
        <f t="shared" si="15"/>
        <v/>
      </c>
      <c r="CE57" s="47" t="str">
        <f>IF(AH57="","",IF(OR(AI57&lt;&gt;'Seasonal Tercile Tally'!$B$3,AM57&lt;&gt;'Seasonal Tercile Tally'!$B$4),"Other site/ season",IF(DT57=0,"Excluded: duplicate (later row)",IF(N57&lt;&gt;1,"Excluded: not sighted",IF(AC57&lt;&gt;1,"Excluded: not confirmed",IF(AD57&lt;&gt;1,"Excluded: not approved",IF(AP57="Contested","Excluded: contested",IF(OR(U57="",U57=0),"Excluded: no tercile",IF(CB57="","Counted (simple tally only — no weight)","Counted")))))))))</f>
        <v/>
      </c>
      <c r="CF57" s="49" t="str">
        <f>IF(AH57="","",IFERROR(INDEX('Prior Multipliers'!$C$6:$C$70,MATCH(LEFT(AH57,10),'Prior Multipliers'!$A$6:$A$70,0)),IFERROR(INDEX('Prior Multipliers'!$C$6:$C$70,MATCH(LEFT(AH57,6),'Prior Multipliers'!$A$6:$A$70,0)),IFERROR(INDEX('Prior Multipliers'!$C$6:$C$70,MATCH(LEFT(AH57,2),'Prior Multipliers'!$A$6:$A$70,0)),1))))</f>
        <v/>
      </c>
      <c r="CG57" s="49" t="str">
        <f>IF(CB57="","",IF(AND('Seasonal Tercile Tally'!$B$5=1,BT57="Rating-based"),CB57*CF57,CB57))</f>
        <v/>
      </c>
      <c r="CH57" s="47">
        <f t="shared" si="16"/>
        <v>0</v>
      </c>
      <c r="CI57" s="45"/>
      <c r="CJ57" s="42" t="str">
        <f t="shared" si="17"/>
        <v/>
      </c>
      <c r="CM57" s="42" t="str">
        <f t="shared" si="18"/>
        <v/>
      </c>
      <c r="CP57" s="46" t="str">
        <f t="shared" si="19"/>
        <v/>
      </c>
      <c r="CS57" s="46" t="str">
        <f t="shared" si="20"/>
        <v/>
      </c>
      <c r="CT57" s="42" t="str">
        <f t="shared" si="21"/>
        <v/>
      </c>
      <c r="CU57" s="42" t="str">
        <f t="shared" si="22"/>
        <v/>
      </c>
      <c r="CV57" s="42" t="str">
        <f t="shared" si="23"/>
        <v/>
      </c>
      <c r="DB57" s="45"/>
      <c r="DH57" s="42" t="str">
        <f t="shared" si="24"/>
        <v/>
      </c>
      <c r="DI57" s="43" t="str">
        <f t="shared" si="25"/>
        <v/>
      </c>
      <c r="DK57" s="46" t="str">
        <f t="shared" si="26"/>
        <v/>
      </c>
      <c r="DQ57" s="42" t="str">
        <f>IF(AH57="","",IFERROR(ROUND(100*('Weighting Options'!$D$7*IF(ISNUMBER(CA57),CA57/3,0)+'Weighting Options'!$D$8*MIN(N(BL57),3)/3+'Weighting Options'!$D$9*IF(AP57="Community/Plenary-endorsed",1,IF(AP57="FGD-validated only",0.75,IF(AP57="Sub-community-specific",0.5,IF(AP57="Provisional/emerging",0.25,0))))+'Weighting Options'!$D$10*IF(ISNUMBER(K57),K57/3,0)+'Weighting Options'!$D$11*IF(CC57="",0.5,IF(CC57="OK",1,0.25))+'Weighting Options'!$D$12*IF(DK57="",0.5,IF(DK57="Agrees",1,IF(DK57="Opposite",0,0.5)))+'Weighting Options'!$D$13*MIN(N(BG57),3)/3+'Weighting Options'!$D$14*IF(AE57=1,1,0))/SUM('Weighting Options'!$D$7:$D$14),0),""))</f>
        <v/>
      </c>
      <c r="DR57" s="44" t="str">
        <f>IF(AH57="","",IFERROR(INDEX('Weighting Options'!$D$20:$D$27,VALUE(LEFT(TRIM(BU57),1))),1))</f>
        <v/>
      </c>
      <c r="DS57" s="44" t="str">
        <f t="shared" si="27"/>
        <v/>
      </c>
      <c r="DT57" s="42" t="str">
        <f>IF(AH57="","",IF(COUNTIFS($AH$12:AH57,AH57,$AI$12:AI57,AI57,$AM$12:AM57,AM57)=1,1,0))</f>
        <v/>
      </c>
    </row>
    <row r="58" spans="16:124" ht="12.75" customHeight="1" x14ac:dyDescent="0.35">
      <c r="P58" s="41"/>
      <c r="Q58" s="41"/>
      <c r="R58" s="41"/>
      <c r="S58" s="41"/>
      <c r="AH58" s="40"/>
      <c r="AP58" s="40"/>
      <c r="AS58" s="41"/>
      <c r="AT58" s="41"/>
      <c r="AW58" t="str">
        <f t="shared" si="0"/>
        <v/>
      </c>
      <c r="AX58" t="str">
        <f t="shared" si="1"/>
        <v/>
      </c>
      <c r="AY58" t="str">
        <f t="shared" si="2"/>
        <v/>
      </c>
      <c r="AZ58" s="40"/>
      <c r="BL58" s="47" t="str">
        <f t="shared" si="3"/>
        <v/>
      </c>
      <c r="BM58" s="47" t="str">
        <f t="shared" si="4"/>
        <v/>
      </c>
      <c r="BN58" s="47" t="str">
        <f t="shared" si="5"/>
        <v/>
      </c>
      <c r="BO58" s="47" t="str">
        <f t="shared" si="6"/>
        <v/>
      </c>
      <c r="BP58" s="47" t="str">
        <f t="shared" si="7"/>
        <v/>
      </c>
      <c r="BQ58" s="48" t="str">
        <f t="shared" si="8"/>
        <v/>
      </c>
      <c r="BR58" s="48" t="str">
        <f t="shared" si="9"/>
        <v/>
      </c>
      <c r="BS58" s="48" t="str">
        <f t="shared" si="10"/>
        <v/>
      </c>
      <c r="BT58" s="47" t="str">
        <f t="shared" si="11"/>
        <v/>
      </c>
      <c r="CA58" s="47" t="str">
        <f t="shared" si="12"/>
        <v/>
      </c>
      <c r="CB58" s="47" t="str">
        <f t="shared" si="13"/>
        <v/>
      </c>
      <c r="CC58" s="47" t="str">
        <f t="shared" si="14"/>
        <v/>
      </c>
      <c r="CD58" s="47" t="str">
        <f t="shared" si="15"/>
        <v/>
      </c>
      <c r="CE58" s="47" t="str">
        <f>IF(AH58="","",IF(OR(AI58&lt;&gt;'Seasonal Tercile Tally'!$B$3,AM58&lt;&gt;'Seasonal Tercile Tally'!$B$4),"Other site/ season",IF(DT58=0,"Excluded: duplicate (later row)",IF(N58&lt;&gt;1,"Excluded: not sighted",IF(AC58&lt;&gt;1,"Excluded: not confirmed",IF(AD58&lt;&gt;1,"Excluded: not approved",IF(AP58="Contested","Excluded: contested",IF(OR(U58="",U58=0),"Excluded: no tercile",IF(CB58="","Counted (simple tally only — no weight)","Counted")))))))))</f>
        <v/>
      </c>
      <c r="CF58" s="49" t="str">
        <f>IF(AH58="","",IFERROR(INDEX('Prior Multipliers'!$C$6:$C$70,MATCH(LEFT(AH58,10),'Prior Multipliers'!$A$6:$A$70,0)),IFERROR(INDEX('Prior Multipliers'!$C$6:$C$70,MATCH(LEFT(AH58,6),'Prior Multipliers'!$A$6:$A$70,0)),IFERROR(INDEX('Prior Multipliers'!$C$6:$C$70,MATCH(LEFT(AH58,2),'Prior Multipliers'!$A$6:$A$70,0)),1))))</f>
        <v/>
      </c>
      <c r="CG58" s="49" t="str">
        <f>IF(CB58="","",IF(AND('Seasonal Tercile Tally'!$B$5=1,BT58="Rating-based"),CB58*CF58,CB58))</f>
        <v/>
      </c>
      <c r="CH58" s="47">
        <f t="shared" si="16"/>
        <v>0</v>
      </c>
      <c r="CI58" s="45"/>
      <c r="CJ58" s="42" t="str">
        <f t="shared" si="17"/>
        <v/>
      </c>
      <c r="CM58" s="42" t="str">
        <f t="shared" si="18"/>
        <v/>
      </c>
      <c r="CP58" s="46" t="str">
        <f t="shared" si="19"/>
        <v/>
      </c>
      <c r="CS58" s="46" t="str">
        <f t="shared" si="20"/>
        <v/>
      </c>
      <c r="CT58" s="42" t="str">
        <f t="shared" si="21"/>
        <v/>
      </c>
      <c r="CU58" s="42" t="str">
        <f t="shared" si="22"/>
        <v/>
      </c>
      <c r="CV58" s="42" t="str">
        <f t="shared" si="23"/>
        <v/>
      </c>
      <c r="DB58" s="45"/>
      <c r="DH58" s="42" t="str">
        <f t="shared" si="24"/>
        <v/>
      </c>
      <c r="DI58" s="43" t="str">
        <f t="shared" si="25"/>
        <v/>
      </c>
      <c r="DK58" s="46" t="str">
        <f t="shared" si="26"/>
        <v/>
      </c>
      <c r="DQ58" s="42" t="str">
        <f>IF(AH58="","",IFERROR(ROUND(100*('Weighting Options'!$D$7*IF(ISNUMBER(CA58),CA58/3,0)+'Weighting Options'!$D$8*MIN(N(BL58),3)/3+'Weighting Options'!$D$9*IF(AP58="Community/Plenary-endorsed",1,IF(AP58="FGD-validated only",0.75,IF(AP58="Sub-community-specific",0.5,IF(AP58="Provisional/emerging",0.25,0))))+'Weighting Options'!$D$10*IF(ISNUMBER(K58),K58/3,0)+'Weighting Options'!$D$11*IF(CC58="",0.5,IF(CC58="OK",1,0.25))+'Weighting Options'!$D$12*IF(DK58="",0.5,IF(DK58="Agrees",1,IF(DK58="Opposite",0,0.5)))+'Weighting Options'!$D$13*MIN(N(BG58),3)/3+'Weighting Options'!$D$14*IF(AE58=1,1,0))/SUM('Weighting Options'!$D$7:$D$14),0),""))</f>
        <v/>
      </c>
      <c r="DR58" s="44" t="str">
        <f>IF(AH58="","",IFERROR(INDEX('Weighting Options'!$D$20:$D$27,VALUE(LEFT(TRIM(BU58),1))),1))</f>
        <v/>
      </c>
      <c r="DS58" s="44" t="str">
        <f t="shared" si="27"/>
        <v/>
      </c>
      <c r="DT58" s="42" t="str">
        <f>IF(AH58="","",IF(COUNTIFS($AH$12:AH58,AH58,$AI$12:AI58,AI58,$AM$12:AM58,AM58)=1,1,0))</f>
        <v/>
      </c>
    </row>
    <row r="59" spans="16:124" ht="12.75" customHeight="1" x14ac:dyDescent="0.35">
      <c r="P59" s="41"/>
      <c r="Q59" s="41"/>
      <c r="R59" s="41"/>
      <c r="S59" s="41"/>
      <c r="AH59" s="40"/>
      <c r="AP59" s="40"/>
      <c r="AS59" s="41"/>
      <c r="AT59" s="41"/>
      <c r="AW59" t="str">
        <f t="shared" si="0"/>
        <v/>
      </c>
      <c r="AX59" t="str">
        <f t="shared" si="1"/>
        <v/>
      </c>
      <c r="AY59" t="str">
        <f t="shared" si="2"/>
        <v/>
      </c>
      <c r="AZ59" s="40"/>
      <c r="BL59" s="47" t="str">
        <f t="shared" si="3"/>
        <v/>
      </c>
      <c r="BM59" s="47" t="str">
        <f t="shared" si="4"/>
        <v/>
      </c>
      <c r="BN59" s="47" t="str">
        <f t="shared" si="5"/>
        <v/>
      </c>
      <c r="BO59" s="47" t="str">
        <f t="shared" si="6"/>
        <v/>
      </c>
      <c r="BP59" s="47" t="str">
        <f t="shared" si="7"/>
        <v/>
      </c>
      <c r="BQ59" s="48" t="str">
        <f t="shared" si="8"/>
        <v/>
      </c>
      <c r="BR59" s="48" t="str">
        <f t="shared" si="9"/>
        <v/>
      </c>
      <c r="BS59" s="48" t="str">
        <f t="shared" si="10"/>
        <v/>
      </c>
      <c r="BT59" s="47" t="str">
        <f t="shared" si="11"/>
        <v/>
      </c>
      <c r="CA59" s="47" t="str">
        <f t="shared" si="12"/>
        <v/>
      </c>
      <c r="CB59" s="47" t="str">
        <f t="shared" si="13"/>
        <v/>
      </c>
      <c r="CC59" s="47" t="str">
        <f t="shared" si="14"/>
        <v/>
      </c>
      <c r="CD59" s="47" t="str">
        <f t="shared" si="15"/>
        <v/>
      </c>
      <c r="CE59" s="47" t="str">
        <f>IF(AH59="","",IF(OR(AI59&lt;&gt;'Seasonal Tercile Tally'!$B$3,AM59&lt;&gt;'Seasonal Tercile Tally'!$B$4),"Other site/ season",IF(DT59=0,"Excluded: duplicate (later row)",IF(N59&lt;&gt;1,"Excluded: not sighted",IF(AC59&lt;&gt;1,"Excluded: not confirmed",IF(AD59&lt;&gt;1,"Excluded: not approved",IF(AP59="Contested","Excluded: contested",IF(OR(U59="",U59=0),"Excluded: no tercile",IF(CB59="","Counted (simple tally only — no weight)","Counted")))))))))</f>
        <v/>
      </c>
      <c r="CF59" s="49" t="str">
        <f>IF(AH59="","",IFERROR(INDEX('Prior Multipliers'!$C$6:$C$70,MATCH(LEFT(AH59,10),'Prior Multipliers'!$A$6:$A$70,0)),IFERROR(INDEX('Prior Multipliers'!$C$6:$C$70,MATCH(LEFT(AH59,6),'Prior Multipliers'!$A$6:$A$70,0)),IFERROR(INDEX('Prior Multipliers'!$C$6:$C$70,MATCH(LEFT(AH59,2),'Prior Multipliers'!$A$6:$A$70,0)),1))))</f>
        <v/>
      </c>
      <c r="CG59" s="49" t="str">
        <f>IF(CB59="","",IF(AND('Seasonal Tercile Tally'!$B$5=1,BT59="Rating-based"),CB59*CF59,CB59))</f>
        <v/>
      </c>
      <c r="CH59" s="47">
        <f t="shared" si="16"/>
        <v>0</v>
      </c>
      <c r="CI59" s="45"/>
      <c r="CJ59" s="42" t="str">
        <f t="shared" si="17"/>
        <v/>
      </c>
      <c r="CM59" s="42" t="str">
        <f t="shared" si="18"/>
        <v/>
      </c>
      <c r="CP59" s="46" t="str">
        <f t="shared" si="19"/>
        <v/>
      </c>
      <c r="CS59" s="46" t="str">
        <f t="shared" si="20"/>
        <v/>
      </c>
      <c r="CT59" s="42" t="str">
        <f t="shared" si="21"/>
        <v/>
      </c>
      <c r="CU59" s="42" t="str">
        <f t="shared" si="22"/>
        <v/>
      </c>
      <c r="CV59" s="42" t="str">
        <f t="shared" si="23"/>
        <v/>
      </c>
      <c r="DB59" s="45"/>
      <c r="DH59" s="42" t="str">
        <f t="shared" si="24"/>
        <v/>
      </c>
      <c r="DI59" s="43" t="str">
        <f t="shared" si="25"/>
        <v/>
      </c>
      <c r="DK59" s="46" t="str">
        <f t="shared" si="26"/>
        <v/>
      </c>
      <c r="DQ59" s="42" t="str">
        <f>IF(AH59="","",IFERROR(ROUND(100*('Weighting Options'!$D$7*IF(ISNUMBER(CA59),CA59/3,0)+'Weighting Options'!$D$8*MIN(N(BL59),3)/3+'Weighting Options'!$D$9*IF(AP59="Community/Plenary-endorsed",1,IF(AP59="FGD-validated only",0.75,IF(AP59="Sub-community-specific",0.5,IF(AP59="Provisional/emerging",0.25,0))))+'Weighting Options'!$D$10*IF(ISNUMBER(K59),K59/3,0)+'Weighting Options'!$D$11*IF(CC59="",0.5,IF(CC59="OK",1,0.25))+'Weighting Options'!$D$12*IF(DK59="",0.5,IF(DK59="Agrees",1,IF(DK59="Opposite",0,0.5)))+'Weighting Options'!$D$13*MIN(N(BG59),3)/3+'Weighting Options'!$D$14*IF(AE59=1,1,0))/SUM('Weighting Options'!$D$7:$D$14),0),""))</f>
        <v/>
      </c>
      <c r="DR59" s="44" t="str">
        <f>IF(AH59="","",IFERROR(INDEX('Weighting Options'!$D$20:$D$27,VALUE(LEFT(TRIM(BU59),1))),1))</f>
        <v/>
      </c>
      <c r="DS59" s="44" t="str">
        <f t="shared" si="27"/>
        <v/>
      </c>
      <c r="DT59" s="42" t="str">
        <f>IF(AH59="","",IF(COUNTIFS($AH$12:AH59,AH59,$AI$12:AI59,AI59,$AM$12:AM59,AM59)=1,1,0))</f>
        <v/>
      </c>
    </row>
    <row r="60" spans="16:124" ht="12.75" customHeight="1" x14ac:dyDescent="0.35">
      <c r="P60" s="41"/>
      <c r="Q60" s="41"/>
      <c r="R60" s="41"/>
      <c r="S60" s="41"/>
      <c r="AH60" s="40"/>
      <c r="AP60" s="40"/>
      <c r="AS60" s="41"/>
      <c r="AT60" s="41"/>
      <c r="AW60" t="str">
        <f t="shared" si="0"/>
        <v/>
      </c>
      <c r="AX60" t="str">
        <f t="shared" si="1"/>
        <v/>
      </c>
      <c r="AY60" t="str">
        <f t="shared" si="2"/>
        <v/>
      </c>
      <c r="AZ60" s="40"/>
      <c r="BL60" s="47" t="str">
        <f t="shared" si="3"/>
        <v/>
      </c>
      <c r="BM60" s="47" t="str">
        <f t="shared" si="4"/>
        <v/>
      </c>
      <c r="BN60" s="47" t="str">
        <f t="shared" si="5"/>
        <v/>
      </c>
      <c r="BO60" s="47" t="str">
        <f t="shared" si="6"/>
        <v/>
      </c>
      <c r="BP60" s="47" t="str">
        <f t="shared" si="7"/>
        <v/>
      </c>
      <c r="BQ60" s="48" t="str">
        <f t="shared" si="8"/>
        <v/>
      </c>
      <c r="BR60" s="48" t="str">
        <f t="shared" si="9"/>
        <v/>
      </c>
      <c r="BS60" s="48" t="str">
        <f t="shared" si="10"/>
        <v/>
      </c>
      <c r="BT60" s="47" t="str">
        <f t="shared" si="11"/>
        <v/>
      </c>
      <c r="CA60" s="47" t="str">
        <f t="shared" si="12"/>
        <v/>
      </c>
      <c r="CB60" s="47" t="str">
        <f t="shared" si="13"/>
        <v/>
      </c>
      <c r="CC60" s="47" t="str">
        <f t="shared" si="14"/>
        <v/>
      </c>
      <c r="CD60" s="47" t="str">
        <f t="shared" si="15"/>
        <v/>
      </c>
      <c r="CE60" s="47" t="str">
        <f>IF(AH60="","",IF(OR(AI60&lt;&gt;'Seasonal Tercile Tally'!$B$3,AM60&lt;&gt;'Seasonal Tercile Tally'!$B$4),"Other site/ season",IF(DT60=0,"Excluded: duplicate (later row)",IF(N60&lt;&gt;1,"Excluded: not sighted",IF(AC60&lt;&gt;1,"Excluded: not confirmed",IF(AD60&lt;&gt;1,"Excluded: not approved",IF(AP60="Contested","Excluded: contested",IF(OR(U60="",U60=0),"Excluded: no tercile",IF(CB60="","Counted (simple tally only — no weight)","Counted")))))))))</f>
        <v/>
      </c>
      <c r="CF60" s="49" t="str">
        <f>IF(AH60="","",IFERROR(INDEX('Prior Multipliers'!$C$6:$C$70,MATCH(LEFT(AH60,10),'Prior Multipliers'!$A$6:$A$70,0)),IFERROR(INDEX('Prior Multipliers'!$C$6:$C$70,MATCH(LEFT(AH60,6),'Prior Multipliers'!$A$6:$A$70,0)),IFERROR(INDEX('Prior Multipliers'!$C$6:$C$70,MATCH(LEFT(AH60,2),'Prior Multipliers'!$A$6:$A$70,0)),1))))</f>
        <v/>
      </c>
      <c r="CG60" s="49" t="str">
        <f>IF(CB60="","",IF(AND('Seasonal Tercile Tally'!$B$5=1,BT60="Rating-based"),CB60*CF60,CB60))</f>
        <v/>
      </c>
      <c r="CH60" s="47">
        <f t="shared" si="16"/>
        <v>0</v>
      </c>
      <c r="CI60" s="45"/>
      <c r="CJ60" s="42" t="str">
        <f t="shared" si="17"/>
        <v/>
      </c>
      <c r="CM60" s="42" t="str">
        <f t="shared" si="18"/>
        <v/>
      </c>
      <c r="CP60" s="46" t="str">
        <f t="shared" si="19"/>
        <v/>
      </c>
      <c r="CS60" s="46" t="str">
        <f t="shared" si="20"/>
        <v/>
      </c>
      <c r="CT60" s="42" t="str">
        <f t="shared" si="21"/>
        <v/>
      </c>
      <c r="CU60" s="42" t="str">
        <f t="shared" si="22"/>
        <v/>
      </c>
      <c r="CV60" s="42" t="str">
        <f t="shared" si="23"/>
        <v/>
      </c>
      <c r="DB60" s="45"/>
      <c r="DH60" s="42" t="str">
        <f t="shared" si="24"/>
        <v/>
      </c>
      <c r="DI60" s="43" t="str">
        <f t="shared" si="25"/>
        <v/>
      </c>
      <c r="DK60" s="46" t="str">
        <f t="shared" si="26"/>
        <v/>
      </c>
      <c r="DQ60" s="42" t="str">
        <f>IF(AH60="","",IFERROR(ROUND(100*('Weighting Options'!$D$7*IF(ISNUMBER(CA60),CA60/3,0)+'Weighting Options'!$D$8*MIN(N(BL60),3)/3+'Weighting Options'!$D$9*IF(AP60="Community/Plenary-endorsed",1,IF(AP60="FGD-validated only",0.75,IF(AP60="Sub-community-specific",0.5,IF(AP60="Provisional/emerging",0.25,0))))+'Weighting Options'!$D$10*IF(ISNUMBER(K60),K60/3,0)+'Weighting Options'!$D$11*IF(CC60="",0.5,IF(CC60="OK",1,0.25))+'Weighting Options'!$D$12*IF(DK60="",0.5,IF(DK60="Agrees",1,IF(DK60="Opposite",0,0.5)))+'Weighting Options'!$D$13*MIN(N(BG60),3)/3+'Weighting Options'!$D$14*IF(AE60=1,1,0))/SUM('Weighting Options'!$D$7:$D$14),0),""))</f>
        <v/>
      </c>
      <c r="DR60" s="44" t="str">
        <f>IF(AH60="","",IFERROR(INDEX('Weighting Options'!$D$20:$D$27,VALUE(LEFT(TRIM(BU60),1))),1))</f>
        <v/>
      </c>
      <c r="DS60" s="44" t="str">
        <f t="shared" si="27"/>
        <v/>
      </c>
      <c r="DT60" s="42" t="str">
        <f>IF(AH60="","",IF(COUNTIFS($AH$12:AH60,AH60,$AI$12:AI60,AI60,$AM$12:AM60,AM60)=1,1,0))</f>
        <v/>
      </c>
    </row>
    <row r="61" spans="16:124" ht="12.75" customHeight="1" x14ac:dyDescent="0.35">
      <c r="P61" s="41"/>
      <c r="Q61" s="41"/>
      <c r="R61" s="41"/>
      <c r="S61" s="41"/>
      <c r="AH61" s="40"/>
      <c r="AP61" s="40"/>
      <c r="AS61" s="41"/>
      <c r="AT61" s="41"/>
      <c r="AW61" t="str">
        <f t="shared" si="0"/>
        <v/>
      </c>
      <c r="AX61" t="str">
        <f t="shared" si="1"/>
        <v/>
      </c>
      <c r="AY61" t="str">
        <f t="shared" si="2"/>
        <v/>
      </c>
      <c r="AZ61" s="40"/>
      <c r="BL61" s="47" t="str">
        <f t="shared" si="3"/>
        <v/>
      </c>
      <c r="BM61" s="47" t="str">
        <f t="shared" si="4"/>
        <v/>
      </c>
      <c r="BN61" s="47" t="str">
        <f t="shared" si="5"/>
        <v/>
      </c>
      <c r="BO61" s="47" t="str">
        <f t="shared" si="6"/>
        <v/>
      </c>
      <c r="BP61" s="47" t="str">
        <f t="shared" si="7"/>
        <v/>
      </c>
      <c r="BQ61" s="48" t="str">
        <f t="shared" si="8"/>
        <v/>
      </c>
      <c r="BR61" s="48" t="str">
        <f t="shared" si="9"/>
        <v/>
      </c>
      <c r="BS61" s="48" t="str">
        <f t="shared" si="10"/>
        <v/>
      </c>
      <c r="BT61" s="47" t="str">
        <f t="shared" si="11"/>
        <v/>
      </c>
      <c r="CA61" s="47" t="str">
        <f t="shared" si="12"/>
        <v/>
      </c>
      <c r="CB61" s="47" t="str">
        <f t="shared" si="13"/>
        <v/>
      </c>
      <c r="CC61" s="47" t="str">
        <f t="shared" si="14"/>
        <v/>
      </c>
      <c r="CD61" s="47" t="str">
        <f t="shared" si="15"/>
        <v/>
      </c>
      <c r="CE61" s="47" t="str">
        <f>IF(AH61="","",IF(OR(AI61&lt;&gt;'Seasonal Tercile Tally'!$B$3,AM61&lt;&gt;'Seasonal Tercile Tally'!$B$4),"Other site/ season",IF(DT61=0,"Excluded: duplicate (later row)",IF(N61&lt;&gt;1,"Excluded: not sighted",IF(AC61&lt;&gt;1,"Excluded: not confirmed",IF(AD61&lt;&gt;1,"Excluded: not approved",IF(AP61="Contested","Excluded: contested",IF(OR(U61="",U61=0),"Excluded: no tercile",IF(CB61="","Counted (simple tally only — no weight)","Counted")))))))))</f>
        <v/>
      </c>
      <c r="CF61" s="49" t="str">
        <f>IF(AH61="","",IFERROR(INDEX('Prior Multipliers'!$C$6:$C$70,MATCH(LEFT(AH61,10),'Prior Multipliers'!$A$6:$A$70,0)),IFERROR(INDEX('Prior Multipliers'!$C$6:$C$70,MATCH(LEFT(AH61,6),'Prior Multipliers'!$A$6:$A$70,0)),IFERROR(INDEX('Prior Multipliers'!$C$6:$C$70,MATCH(LEFT(AH61,2),'Prior Multipliers'!$A$6:$A$70,0)),1))))</f>
        <v/>
      </c>
      <c r="CG61" s="49" t="str">
        <f>IF(CB61="","",IF(AND('Seasonal Tercile Tally'!$B$5=1,BT61="Rating-based"),CB61*CF61,CB61))</f>
        <v/>
      </c>
      <c r="CH61" s="47">
        <f t="shared" si="16"/>
        <v>0</v>
      </c>
      <c r="CI61" s="45"/>
      <c r="CJ61" s="42" t="str">
        <f t="shared" si="17"/>
        <v/>
      </c>
      <c r="CM61" s="42" t="str">
        <f t="shared" si="18"/>
        <v/>
      </c>
      <c r="CP61" s="46" t="str">
        <f t="shared" si="19"/>
        <v/>
      </c>
      <c r="CS61" s="46" t="str">
        <f t="shared" si="20"/>
        <v/>
      </c>
      <c r="CT61" s="42" t="str">
        <f t="shared" si="21"/>
        <v/>
      </c>
      <c r="CU61" s="42" t="str">
        <f t="shared" si="22"/>
        <v/>
      </c>
      <c r="CV61" s="42" t="str">
        <f t="shared" si="23"/>
        <v/>
      </c>
      <c r="DB61" s="45"/>
      <c r="DH61" s="42" t="str">
        <f t="shared" si="24"/>
        <v/>
      </c>
      <c r="DI61" s="43" t="str">
        <f t="shared" si="25"/>
        <v/>
      </c>
      <c r="DK61" s="46" t="str">
        <f t="shared" si="26"/>
        <v/>
      </c>
      <c r="DQ61" s="42" t="str">
        <f>IF(AH61="","",IFERROR(ROUND(100*('Weighting Options'!$D$7*IF(ISNUMBER(CA61),CA61/3,0)+'Weighting Options'!$D$8*MIN(N(BL61),3)/3+'Weighting Options'!$D$9*IF(AP61="Community/Plenary-endorsed",1,IF(AP61="FGD-validated only",0.75,IF(AP61="Sub-community-specific",0.5,IF(AP61="Provisional/emerging",0.25,0))))+'Weighting Options'!$D$10*IF(ISNUMBER(K61),K61/3,0)+'Weighting Options'!$D$11*IF(CC61="",0.5,IF(CC61="OK",1,0.25))+'Weighting Options'!$D$12*IF(DK61="",0.5,IF(DK61="Agrees",1,IF(DK61="Opposite",0,0.5)))+'Weighting Options'!$D$13*MIN(N(BG61),3)/3+'Weighting Options'!$D$14*IF(AE61=1,1,0))/SUM('Weighting Options'!$D$7:$D$14),0),""))</f>
        <v/>
      </c>
      <c r="DR61" s="44" t="str">
        <f>IF(AH61="","",IFERROR(INDEX('Weighting Options'!$D$20:$D$27,VALUE(LEFT(TRIM(BU61),1))),1))</f>
        <v/>
      </c>
      <c r="DS61" s="44" t="str">
        <f t="shared" si="27"/>
        <v/>
      </c>
      <c r="DT61" s="42" t="str">
        <f>IF(AH61="","",IF(COUNTIFS($AH$12:AH61,AH61,$AI$12:AI61,AI61,$AM$12:AM61,AM61)=1,1,0))</f>
        <v/>
      </c>
    </row>
    <row r="62" spans="16:124" ht="12.75" customHeight="1" x14ac:dyDescent="0.35">
      <c r="P62" s="41"/>
      <c r="Q62" s="41"/>
      <c r="R62" s="41"/>
      <c r="S62" s="41"/>
      <c r="AH62" s="40"/>
      <c r="AP62" s="40"/>
      <c r="AS62" s="41"/>
      <c r="AT62" s="41"/>
      <c r="AW62" t="str">
        <f t="shared" si="0"/>
        <v/>
      </c>
      <c r="AX62" t="str">
        <f t="shared" si="1"/>
        <v/>
      </c>
      <c r="AY62" t="str">
        <f t="shared" si="2"/>
        <v/>
      </c>
      <c r="AZ62" s="40"/>
      <c r="BL62" s="47" t="str">
        <f t="shared" si="3"/>
        <v/>
      </c>
      <c r="BM62" s="47" t="str">
        <f t="shared" si="4"/>
        <v/>
      </c>
      <c r="BN62" s="47" t="str">
        <f t="shared" si="5"/>
        <v/>
      </c>
      <c r="BO62" s="47" t="str">
        <f t="shared" si="6"/>
        <v/>
      </c>
      <c r="BP62" s="47" t="str">
        <f t="shared" si="7"/>
        <v/>
      </c>
      <c r="BQ62" s="48" t="str">
        <f t="shared" si="8"/>
        <v/>
      </c>
      <c r="BR62" s="48" t="str">
        <f t="shared" si="9"/>
        <v/>
      </c>
      <c r="BS62" s="48" t="str">
        <f t="shared" si="10"/>
        <v/>
      </c>
      <c r="BT62" s="47" t="str">
        <f t="shared" si="11"/>
        <v/>
      </c>
      <c r="CA62" s="47" t="str">
        <f t="shared" si="12"/>
        <v/>
      </c>
      <c r="CB62" s="47" t="str">
        <f t="shared" si="13"/>
        <v/>
      </c>
      <c r="CC62" s="47" t="str">
        <f t="shared" si="14"/>
        <v/>
      </c>
      <c r="CD62" s="47" t="str">
        <f t="shared" si="15"/>
        <v/>
      </c>
      <c r="CE62" s="47" t="str">
        <f>IF(AH62="","",IF(OR(AI62&lt;&gt;'Seasonal Tercile Tally'!$B$3,AM62&lt;&gt;'Seasonal Tercile Tally'!$B$4),"Other site/ season",IF(DT62=0,"Excluded: duplicate (later row)",IF(N62&lt;&gt;1,"Excluded: not sighted",IF(AC62&lt;&gt;1,"Excluded: not confirmed",IF(AD62&lt;&gt;1,"Excluded: not approved",IF(AP62="Contested","Excluded: contested",IF(OR(U62="",U62=0),"Excluded: no tercile",IF(CB62="","Counted (simple tally only — no weight)","Counted")))))))))</f>
        <v/>
      </c>
      <c r="CF62" s="49" t="str">
        <f>IF(AH62="","",IFERROR(INDEX('Prior Multipliers'!$C$6:$C$70,MATCH(LEFT(AH62,10),'Prior Multipliers'!$A$6:$A$70,0)),IFERROR(INDEX('Prior Multipliers'!$C$6:$C$70,MATCH(LEFT(AH62,6),'Prior Multipliers'!$A$6:$A$70,0)),IFERROR(INDEX('Prior Multipliers'!$C$6:$C$70,MATCH(LEFT(AH62,2),'Prior Multipliers'!$A$6:$A$70,0)),1))))</f>
        <v/>
      </c>
      <c r="CG62" s="49" t="str">
        <f>IF(CB62="","",IF(AND('Seasonal Tercile Tally'!$B$5=1,BT62="Rating-based"),CB62*CF62,CB62))</f>
        <v/>
      </c>
      <c r="CH62" s="47">
        <f t="shared" si="16"/>
        <v>0</v>
      </c>
      <c r="CI62" s="45"/>
      <c r="CJ62" s="42" t="str">
        <f t="shared" si="17"/>
        <v/>
      </c>
      <c r="CM62" s="42" t="str">
        <f t="shared" si="18"/>
        <v/>
      </c>
      <c r="CP62" s="46" t="str">
        <f t="shared" si="19"/>
        <v/>
      </c>
      <c r="CS62" s="46" t="str">
        <f t="shared" si="20"/>
        <v/>
      </c>
      <c r="CT62" s="42" t="str">
        <f t="shared" si="21"/>
        <v/>
      </c>
      <c r="CU62" s="42" t="str">
        <f t="shared" si="22"/>
        <v/>
      </c>
      <c r="CV62" s="42" t="str">
        <f t="shared" si="23"/>
        <v/>
      </c>
      <c r="DB62" s="45"/>
      <c r="DH62" s="42" t="str">
        <f t="shared" si="24"/>
        <v/>
      </c>
      <c r="DI62" s="43" t="str">
        <f t="shared" si="25"/>
        <v/>
      </c>
      <c r="DK62" s="46" t="str">
        <f t="shared" si="26"/>
        <v/>
      </c>
      <c r="DQ62" s="42" t="str">
        <f>IF(AH62="","",IFERROR(ROUND(100*('Weighting Options'!$D$7*IF(ISNUMBER(CA62),CA62/3,0)+'Weighting Options'!$D$8*MIN(N(BL62),3)/3+'Weighting Options'!$D$9*IF(AP62="Community/Plenary-endorsed",1,IF(AP62="FGD-validated only",0.75,IF(AP62="Sub-community-specific",0.5,IF(AP62="Provisional/emerging",0.25,0))))+'Weighting Options'!$D$10*IF(ISNUMBER(K62),K62/3,0)+'Weighting Options'!$D$11*IF(CC62="",0.5,IF(CC62="OK",1,0.25))+'Weighting Options'!$D$12*IF(DK62="",0.5,IF(DK62="Agrees",1,IF(DK62="Opposite",0,0.5)))+'Weighting Options'!$D$13*MIN(N(BG62),3)/3+'Weighting Options'!$D$14*IF(AE62=1,1,0))/SUM('Weighting Options'!$D$7:$D$14),0),""))</f>
        <v/>
      </c>
      <c r="DR62" s="44" t="str">
        <f>IF(AH62="","",IFERROR(INDEX('Weighting Options'!$D$20:$D$27,VALUE(LEFT(TRIM(BU62),1))),1))</f>
        <v/>
      </c>
      <c r="DS62" s="44" t="str">
        <f t="shared" si="27"/>
        <v/>
      </c>
      <c r="DT62" s="42" t="str">
        <f>IF(AH62="","",IF(COUNTIFS($AH$12:AH62,AH62,$AI$12:AI62,AI62,$AM$12:AM62,AM62)=1,1,0))</f>
        <v/>
      </c>
    </row>
    <row r="63" spans="16:124" ht="12.75" customHeight="1" x14ac:dyDescent="0.35">
      <c r="P63" s="41"/>
      <c r="Q63" s="41"/>
      <c r="R63" s="41"/>
      <c r="S63" s="41"/>
      <c r="AH63" s="40"/>
      <c r="AP63" s="40"/>
      <c r="AS63" s="41"/>
      <c r="AT63" s="41"/>
      <c r="AW63" t="str">
        <f t="shared" si="0"/>
        <v/>
      </c>
      <c r="AX63" t="str">
        <f t="shared" si="1"/>
        <v/>
      </c>
      <c r="AY63" t="str">
        <f t="shared" si="2"/>
        <v/>
      </c>
      <c r="AZ63" s="40"/>
      <c r="BL63" s="47" t="str">
        <f t="shared" si="3"/>
        <v/>
      </c>
      <c r="BM63" s="47" t="str">
        <f t="shared" si="4"/>
        <v/>
      </c>
      <c r="BN63" s="47" t="str">
        <f t="shared" si="5"/>
        <v/>
      </c>
      <c r="BO63" s="47" t="str">
        <f t="shared" si="6"/>
        <v/>
      </c>
      <c r="BP63" s="47" t="str">
        <f t="shared" si="7"/>
        <v/>
      </c>
      <c r="BQ63" s="48" t="str">
        <f t="shared" si="8"/>
        <v/>
      </c>
      <c r="BR63" s="48" t="str">
        <f t="shared" si="9"/>
        <v/>
      </c>
      <c r="BS63" s="48" t="str">
        <f t="shared" si="10"/>
        <v/>
      </c>
      <c r="BT63" s="47" t="str">
        <f t="shared" si="11"/>
        <v/>
      </c>
      <c r="CA63" s="47" t="str">
        <f t="shared" si="12"/>
        <v/>
      </c>
      <c r="CB63" s="47" t="str">
        <f t="shared" si="13"/>
        <v/>
      </c>
      <c r="CC63" s="47" t="str">
        <f t="shared" si="14"/>
        <v/>
      </c>
      <c r="CD63" s="47" t="str">
        <f t="shared" si="15"/>
        <v/>
      </c>
      <c r="CE63" s="47" t="str">
        <f>IF(AH63="","",IF(OR(AI63&lt;&gt;'Seasonal Tercile Tally'!$B$3,AM63&lt;&gt;'Seasonal Tercile Tally'!$B$4),"Other site/ season",IF(DT63=0,"Excluded: duplicate (later row)",IF(N63&lt;&gt;1,"Excluded: not sighted",IF(AC63&lt;&gt;1,"Excluded: not confirmed",IF(AD63&lt;&gt;1,"Excluded: not approved",IF(AP63="Contested","Excluded: contested",IF(OR(U63="",U63=0),"Excluded: no tercile",IF(CB63="","Counted (simple tally only — no weight)","Counted")))))))))</f>
        <v/>
      </c>
      <c r="CF63" s="49" t="str">
        <f>IF(AH63="","",IFERROR(INDEX('Prior Multipliers'!$C$6:$C$70,MATCH(LEFT(AH63,10),'Prior Multipliers'!$A$6:$A$70,0)),IFERROR(INDEX('Prior Multipliers'!$C$6:$C$70,MATCH(LEFT(AH63,6),'Prior Multipliers'!$A$6:$A$70,0)),IFERROR(INDEX('Prior Multipliers'!$C$6:$C$70,MATCH(LEFT(AH63,2),'Prior Multipliers'!$A$6:$A$70,0)),1))))</f>
        <v/>
      </c>
      <c r="CG63" s="49" t="str">
        <f>IF(CB63="","",IF(AND('Seasonal Tercile Tally'!$B$5=1,BT63="Rating-based"),CB63*CF63,CB63))</f>
        <v/>
      </c>
      <c r="CH63" s="47">
        <f t="shared" si="16"/>
        <v>0</v>
      </c>
      <c r="CI63" s="45"/>
      <c r="CJ63" s="42" t="str">
        <f t="shared" si="17"/>
        <v/>
      </c>
      <c r="CM63" s="42" t="str">
        <f t="shared" si="18"/>
        <v/>
      </c>
      <c r="CP63" s="46" t="str">
        <f t="shared" si="19"/>
        <v/>
      </c>
      <c r="CS63" s="46" t="str">
        <f t="shared" si="20"/>
        <v/>
      </c>
      <c r="CT63" s="42" t="str">
        <f t="shared" si="21"/>
        <v/>
      </c>
      <c r="CU63" s="42" t="str">
        <f t="shared" si="22"/>
        <v/>
      </c>
      <c r="CV63" s="42" t="str">
        <f t="shared" si="23"/>
        <v/>
      </c>
      <c r="DB63" s="45"/>
      <c r="DH63" s="42" t="str">
        <f t="shared" si="24"/>
        <v/>
      </c>
      <c r="DI63" s="43" t="str">
        <f t="shared" si="25"/>
        <v/>
      </c>
      <c r="DK63" s="46" t="str">
        <f t="shared" si="26"/>
        <v/>
      </c>
      <c r="DQ63" s="42" t="str">
        <f>IF(AH63="","",IFERROR(ROUND(100*('Weighting Options'!$D$7*IF(ISNUMBER(CA63),CA63/3,0)+'Weighting Options'!$D$8*MIN(N(BL63),3)/3+'Weighting Options'!$D$9*IF(AP63="Community/Plenary-endorsed",1,IF(AP63="FGD-validated only",0.75,IF(AP63="Sub-community-specific",0.5,IF(AP63="Provisional/emerging",0.25,0))))+'Weighting Options'!$D$10*IF(ISNUMBER(K63),K63/3,0)+'Weighting Options'!$D$11*IF(CC63="",0.5,IF(CC63="OK",1,0.25))+'Weighting Options'!$D$12*IF(DK63="",0.5,IF(DK63="Agrees",1,IF(DK63="Opposite",0,0.5)))+'Weighting Options'!$D$13*MIN(N(BG63),3)/3+'Weighting Options'!$D$14*IF(AE63=1,1,0))/SUM('Weighting Options'!$D$7:$D$14),0),""))</f>
        <v/>
      </c>
      <c r="DR63" s="44" t="str">
        <f>IF(AH63="","",IFERROR(INDEX('Weighting Options'!$D$20:$D$27,VALUE(LEFT(TRIM(BU63),1))),1))</f>
        <v/>
      </c>
      <c r="DS63" s="44" t="str">
        <f t="shared" si="27"/>
        <v/>
      </c>
      <c r="DT63" s="42" t="str">
        <f>IF(AH63="","",IF(COUNTIFS($AH$12:AH63,AH63,$AI$12:AI63,AI63,$AM$12:AM63,AM63)=1,1,0))</f>
        <v/>
      </c>
    </row>
    <row r="64" spans="16:124" ht="12.75" customHeight="1" x14ac:dyDescent="0.35">
      <c r="P64" s="41"/>
      <c r="Q64" s="41"/>
      <c r="R64" s="41"/>
      <c r="S64" s="41"/>
      <c r="AH64" s="40"/>
      <c r="AP64" s="40"/>
      <c r="AS64" s="41"/>
      <c r="AT64" s="41"/>
      <c r="AW64" t="str">
        <f t="shared" si="0"/>
        <v/>
      </c>
      <c r="AX64" t="str">
        <f t="shared" si="1"/>
        <v/>
      </c>
      <c r="AY64" t="str">
        <f t="shared" si="2"/>
        <v/>
      </c>
      <c r="AZ64" s="40"/>
      <c r="BL64" s="47" t="str">
        <f t="shared" si="3"/>
        <v/>
      </c>
      <c r="BM64" s="47" t="str">
        <f t="shared" si="4"/>
        <v/>
      </c>
      <c r="BN64" s="47" t="str">
        <f t="shared" si="5"/>
        <v/>
      </c>
      <c r="BO64" s="47" t="str">
        <f t="shared" si="6"/>
        <v/>
      </c>
      <c r="BP64" s="47" t="str">
        <f t="shared" si="7"/>
        <v/>
      </c>
      <c r="BQ64" s="48" t="str">
        <f t="shared" si="8"/>
        <v/>
      </c>
      <c r="BR64" s="48" t="str">
        <f t="shared" si="9"/>
        <v/>
      </c>
      <c r="BS64" s="48" t="str">
        <f t="shared" si="10"/>
        <v/>
      </c>
      <c r="BT64" s="47" t="str">
        <f t="shared" si="11"/>
        <v/>
      </c>
      <c r="CA64" s="47" t="str">
        <f t="shared" si="12"/>
        <v/>
      </c>
      <c r="CB64" s="47" t="str">
        <f t="shared" si="13"/>
        <v/>
      </c>
      <c r="CC64" s="47" t="str">
        <f t="shared" si="14"/>
        <v/>
      </c>
      <c r="CD64" s="47" t="str">
        <f t="shared" si="15"/>
        <v/>
      </c>
      <c r="CE64" s="47" t="str">
        <f>IF(AH64="","",IF(OR(AI64&lt;&gt;'Seasonal Tercile Tally'!$B$3,AM64&lt;&gt;'Seasonal Tercile Tally'!$B$4),"Other site/ season",IF(DT64=0,"Excluded: duplicate (later row)",IF(N64&lt;&gt;1,"Excluded: not sighted",IF(AC64&lt;&gt;1,"Excluded: not confirmed",IF(AD64&lt;&gt;1,"Excluded: not approved",IF(AP64="Contested","Excluded: contested",IF(OR(U64="",U64=0),"Excluded: no tercile",IF(CB64="","Counted (simple tally only — no weight)","Counted")))))))))</f>
        <v/>
      </c>
      <c r="CF64" s="49" t="str">
        <f>IF(AH64="","",IFERROR(INDEX('Prior Multipliers'!$C$6:$C$70,MATCH(LEFT(AH64,10),'Prior Multipliers'!$A$6:$A$70,0)),IFERROR(INDEX('Prior Multipliers'!$C$6:$C$70,MATCH(LEFT(AH64,6),'Prior Multipliers'!$A$6:$A$70,0)),IFERROR(INDEX('Prior Multipliers'!$C$6:$C$70,MATCH(LEFT(AH64,2),'Prior Multipliers'!$A$6:$A$70,0)),1))))</f>
        <v/>
      </c>
      <c r="CG64" s="49" t="str">
        <f>IF(CB64="","",IF(AND('Seasonal Tercile Tally'!$B$5=1,BT64="Rating-based"),CB64*CF64,CB64))</f>
        <v/>
      </c>
      <c r="CH64" s="47">
        <f t="shared" si="16"/>
        <v>0</v>
      </c>
      <c r="CI64" s="45"/>
      <c r="CJ64" s="42" t="str">
        <f t="shared" si="17"/>
        <v/>
      </c>
      <c r="CM64" s="42" t="str">
        <f t="shared" si="18"/>
        <v/>
      </c>
      <c r="CP64" s="46" t="str">
        <f t="shared" si="19"/>
        <v/>
      </c>
      <c r="CS64" s="46" t="str">
        <f t="shared" si="20"/>
        <v/>
      </c>
      <c r="CT64" s="42" t="str">
        <f t="shared" si="21"/>
        <v/>
      </c>
      <c r="CU64" s="42" t="str">
        <f t="shared" si="22"/>
        <v/>
      </c>
      <c r="CV64" s="42" t="str">
        <f t="shared" si="23"/>
        <v/>
      </c>
      <c r="DB64" s="45"/>
      <c r="DH64" s="42" t="str">
        <f t="shared" si="24"/>
        <v/>
      </c>
      <c r="DI64" s="43" t="str">
        <f t="shared" si="25"/>
        <v/>
      </c>
      <c r="DK64" s="46" t="str">
        <f t="shared" si="26"/>
        <v/>
      </c>
      <c r="DQ64" s="42" t="str">
        <f>IF(AH64="","",IFERROR(ROUND(100*('Weighting Options'!$D$7*IF(ISNUMBER(CA64),CA64/3,0)+'Weighting Options'!$D$8*MIN(N(BL64),3)/3+'Weighting Options'!$D$9*IF(AP64="Community/Plenary-endorsed",1,IF(AP64="FGD-validated only",0.75,IF(AP64="Sub-community-specific",0.5,IF(AP64="Provisional/emerging",0.25,0))))+'Weighting Options'!$D$10*IF(ISNUMBER(K64),K64/3,0)+'Weighting Options'!$D$11*IF(CC64="",0.5,IF(CC64="OK",1,0.25))+'Weighting Options'!$D$12*IF(DK64="",0.5,IF(DK64="Agrees",1,IF(DK64="Opposite",0,0.5)))+'Weighting Options'!$D$13*MIN(N(BG64),3)/3+'Weighting Options'!$D$14*IF(AE64=1,1,0))/SUM('Weighting Options'!$D$7:$D$14),0),""))</f>
        <v/>
      </c>
      <c r="DR64" s="44" t="str">
        <f>IF(AH64="","",IFERROR(INDEX('Weighting Options'!$D$20:$D$27,VALUE(LEFT(TRIM(BU64),1))),1))</f>
        <v/>
      </c>
      <c r="DS64" s="44" t="str">
        <f t="shared" si="27"/>
        <v/>
      </c>
      <c r="DT64" s="42" t="str">
        <f>IF(AH64="","",IF(COUNTIFS($AH$12:AH64,AH64,$AI$12:AI64,AI64,$AM$12:AM64,AM64)=1,1,0))</f>
        <v/>
      </c>
    </row>
    <row r="65" spans="16:124" ht="12.75" customHeight="1" x14ac:dyDescent="0.35">
      <c r="P65" s="41"/>
      <c r="Q65" s="41"/>
      <c r="R65" s="41"/>
      <c r="S65" s="41"/>
      <c r="AH65" s="40"/>
      <c r="AP65" s="40"/>
      <c r="AS65" s="41"/>
      <c r="AT65" s="41"/>
      <c r="AW65" t="str">
        <f t="shared" si="0"/>
        <v/>
      </c>
      <c r="AX65" t="str">
        <f t="shared" si="1"/>
        <v/>
      </c>
      <c r="AY65" t="str">
        <f t="shared" si="2"/>
        <v/>
      </c>
      <c r="AZ65" s="40"/>
      <c r="BL65" s="47" t="str">
        <f t="shared" si="3"/>
        <v/>
      </c>
      <c r="BM65" s="47" t="str">
        <f t="shared" si="4"/>
        <v/>
      </c>
      <c r="BN65" s="47" t="str">
        <f t="shared" si="5"/>
        <v/>
      </c>
      <c r="BO65" s="47" t="str">
        <f t="shared" si="6"/>
        <v/>
      </c>
      <c r="BP65" s="47" t="str">
        <f t="shared" si="7"/>
        <v/>
      </c>
      <c r="BQ65" s="48" t="str">
        <f t="shared" si="8"/>
        <v/>
      </c>
      <c r="BR65" s="48" t="str">
        <f t="shared" si="9"/>
        <v/>
      </c>
      <c r="BS65" s="48" t="str">
        <f t="shared" si="10"/>
        <v/>
      </c>
      <c r="BT65" s="47" t="str">
        <f t="shared" si="11"/>
        <v/>
      </c>
      <c r="CA65" s="47" t="str">
        <f t="shared" si="12"/>
        <v/>
      </c>
      <c r="CB65" s="47" t="str">
        <f t="shared" si="13"/>
        <v/>
      </c>
      <c r="CC65" s="47" t="str">
        <f t="shared" si="14"/>
        <v/>
      </c>
      <c r="CD65" s="47" t="str">
        <f t="shared" si="15"/>
        <v/>
      </c>
      <c r="CE65" s="47" t="str">
        <f>IF(AH65="","",IF(OR(AI65&lt;&gt;'Seasonal Tercile Tally'!$B$3,AM65&lt;&gt;'Seasonal Tercile Tally'!$B$4),"Other site/ season",IF(DT65=0,"Excluded: duplicate (later row)",IF(N65&lt;&gt;1,"Excluded: not sighted",IF(AC65&lt;&gt;1,"Excluded: not confirmed",IF(AD65&lt;&gt;1,"Excluded: not approved",IF(AP65="Contested","Excluded: contested",IF(OR(U65="",U65=0),"Excluded: no tercile",IF(CB65="","Counted (simple tally only — no weight)","Counted")))))))))</f>
        <v/>
      </c>
      <c r="CF65" s="49" t="str">
        <f>IF(AH65="","",IFERROR(INDEX('Prior Multipliers'!$C$6:$C$70,MATCH(LEFT(AH65,10),'Prior Multipliers'!$A$6:$A$70,0)),IFERROR(INDEX('Prior Multipliers'!$C$6:$C$70,MATCH(LEFT(AH65,6),'Prior Multipliers'!$A$6:$A$70,0)),IFERROR(INDEX('Prior Multipliers'!$C$6:$C$70,MATCH(LEFT(AH65,2),'Prior Multipliers'!$A$6:$A$70,0)),1))))</f>
        <v/>
      </c>
      <c r="CG65" s="49" t="str">
        <f>IF(CB65="","",IF(AND('Seasonal Tercile Tally'!$B$5=1,BT65="Rating-based"),CB65*CF65,CB65))</f>
        <v/>
      </c>
      <c r="CH65" s="47">
        <f t="shared" si="16"/>
        <v>0</v>
      </c>
      <c r="CI65" s="45"/>
      <c r="CJ65" s="42" t="str">
        <f t="shared" si="17"/>
        <v/>
      </c>
      <c r="CM65" s="42" t="str">
        <f t="shared" si="18"/>
        <v/>
      </c>
      <c r="CP65" s="46" t="str">
        <f t="shared" si="19"/>
        <v/>
      </c>
      <c r="CS65" s="46" t="str">
        <f t="shared" si="20"/>
        <v/>
      </c>
      <c r="CT65" s="42" t="str">
        <f t="shared" si="21"/>
        <v/>
      </c>
      <c r="CU65" s="42" t="str">
        <f t="shared" si="22"/>
        <v/>
      </c>
      <c r="CV65" s="42" t="str">
        <f t="shared" si="23"/>
        <v/>
      </c>
      <c r="DB65" s="45"/>
      <c r="DH65" s="42" t="str">
        <f t="shared" si="24"/>
        <v/>
      </c>
      <c r="DI65" s="43" t="str">
        <f t="shared" si="25"/>
        <v/>
      </c>
      <c r="DK65" s="46" t="str">
        <f t="shared" si="26"/>
        <v/>
      </c>
      <c r="DQ65" s="42" t="str">
        <f>IF(AH65="","",IFERROR(ROUND(100*('Weighting Options'!$D$7*IF(ISNUMBER(CA65),CA65/3,0)+'Weighting Options'!$D$8*MIN(N(BL65),3)/3+'Weighting Options'!$D$9*IF(AP65="Community/Plenary-endorsed",1,IF(AP65="FGD-validated only",0.75,IF(AP65="Sub-community-specific",0.5,IF(AP65="Provisional/emerging",0.25,0))))+'Weighting Options'!$D$10*IF(ISNUMBER(K65),K65/3,0)+'Weighting Options'!$D$11*IF(CC65="",0.5,IF(CC65="OK",1,0.25))+'Weighting Options'!$D$12*IF(DK65="",0.5,IF(DK65="Agrees",1,IF(DK65="Opposite",0,0.5)))+'Weighting Options'!$D$13*MIN(N(BG65),3)/3+'Weighting Options'!$D$14*IF(AE65=1,1,0))/SUM('Weighting Options'!$D$7:$D$14),0),""))</f>
        <v/>
      </c>
      <c r="DR65" s="44" t="str">
        <f>IF(AH65="","",IFERROR(INDEX('Weighting Options'!$D$20:$D$27,VALUE(LEFT(TRIM(BU65),1))),1))</f>
        <v/>
      </c>
      <c r="DS65" s="44" t="str">
        <f t="shared" si="27"/>
        <v/>
      </c>
      <c r="DT65" s="42" t="str">
        <f>IF(AH65="","",IF(COUNTIFS($AH$12:AH65,AH65,$AI$12:AI65,AI65,$AM$12:AM65,AM65)=1,1,0))</f>
        <v/>
      </c>
    </row>
    <row r="66" spans="16:124" ht="12.75" customHeight="1" x14ac:dyDescent="0.35">
      <c r="P66" s="41"/>
      <c r="Q66" s="41"/>
      <c r="R66" s="41"/>
      <c r="S66" s="41"/>
      <c r="AH66" s="40"/>
      <c r="AP66" s="40"/>
      <c r="AS66" s="41"/>
      <c r="AT66" s="41"/>
      <c r="AW66" t="str">
        <f t="shared" si="0"/>
        <v/>
      </c>
      <c r="AX66" t="str">
        <f t="shared" si="1"/>
        <v/>
      </c>
      <c r="AY66" t="str">
        <f t="shared" si="2"/>
        <v/>
      </c>
      <c r="AZ66" s="40"/>
      <c r="BL66" s="47" t="str">
        <f t="shared" si="3"/>
        <v/>
      </c>
      <c r="BM66" s="47" t="str">
        <f t="shared" si="4"/>
        <v/>
      </c>
      <c r="BN66" s="47" t="str">
        <f t="shared" si="5"/>
        <v/>
      </c>
      <c r="BO66" s="47" t="str">
        <f t="shared" si="6"/>
        <v/>
      </c>
      <c r="BP66" s="47" t="str">
        <f t="shared" si="7"/>
        <v/>
      </c>
      <c r="BQ66" s="48" t="str">
        <f t="shared" si="8"/>
        <v/>
      </c>
      <c r="BR66" s="48" t="str">
        <f t="shared" si="9"/>
        <v/>
      </c>
      <c r="BS66" s="48" t="str">
        <f t="shared" si="10"/>
        <v/>
      </c>
      <c r="BT66" s="47" t="str">
        <f t="shared" si="11"/>
        <v/>
      </c>
      <c r="CA66" s="47" t="str">
        <f t="shared" si="12"/>
        <v/>
      </c>
      <c r="CB66" s="47" t="str">
        <f t="shared" si="13"/>
        <v/>
      </c>
      <c r="CC66" s="47" t="str">
        <f t="shared" si="14"/>
        <v/>
      </c>
      <c r="CD66" s="47" t="str">
        <f t="shared" si="15"/>
        <v/>
      </c>
      <c r="CE66" s="47" t="str">
        <f>IF(AH66="","",IF(OR(AI66&lt;&gt;'Seasonal Tercile Tally'!$B$3,AM66&lt;&gt;'Seasonal Tercile Tally'!$B$4),"Other site/ season",IF(DT66=0,"Excluded: duplicate (later row)",IF(N66&lt;&gt;1,"Excluded: not sighted",IF(AC66&lt;&gt;1,"Excluded: not confirmed",IF(AD66&lt;&gt;1,"Excluded: not approved",IF(AP66="Contested","Excluded: contested",IF(OR(U66="",U66=0),"Excluded: no tercile",IF(CB66="","Counted (simple tally only — no weight)","Counted")))))))))</f>
        <v/>
      </c>
      <c r="CF66" s="49" t="str">
        <f>IF(AH66="","",IFERROR(INDEX('Prior Multipliers'!$C$6:$C$70,MATCH(LEFT(AH66,10),'Prior Multipliers'!$A$6:$A$70,0)),IFERROR(INDEX('Prior Multipliers'!$C$6:$C$70,MATCH(LEFT(AH66,6),'Prior Multipliers'!$A$6:$A$70,0)),IFERROR(INDEX('Prior Multipliers'!$C$6:$C$70,MATCH(LEFT(AH66,2),'Prior Multipliers'!$A$6:$A$70,0)),1))))</f>
        <v/>
      </c>
      <c r="CG66" s="49" t="str">
        <f>IF(CB66="","",IF(AND('Seasonal Tercile Tally'!$B$5=1,BT66="Rating-based"),CB66*CF66,CB66))</f>
        <v/>
      </c>
      <c r="CH66" s="47">
        <f t="shared" si="16"/>
        <v>0</v>
      </c>
      <c r="CI66" s="45"/>
      <c r="CJ66" s="42" t="str">
        <f t="shared" si="17"/>
        <v/>
      </c>
      <c r="CM66" s="42" t="str">
        <f t="shared" si="18"/>
        <v/>
      </c>
      <c r="CP66" s="46" t="str">
        <f t="shared" si="19"/>
        <v/>
      </c>
      <c r="CS66" s="46" t="str">
        <f t="shared" si="20"/>
        <v/>
      </c>
      <c r="CT66" s="42" t="str">
        <f t="shared" si="21"/>
        <v/>
      </c>
      <c r="CU66" s="42" t="str">
        <f t="shared" si="22"/>
        <v/>
      </c>
      <c r="CV66" s="42" t="str">
        <f t="shared" si="23"/>
        <v/>
      </c>
      <c r="DB66" s="45"/>
      <c r="DH66" s="42" t="str">
        <f t="shared" si="24"/>
        <v/>
      </c>
      <c r="DI66" s="43" t="str">
        <f t="shared" si="25"/>
        <v/>
      </c>
      <c r="DK66" s="46" t="str">
        <f t="shared" si="26"/>
        <v/>
      </c>
      <c r="DQ66" s="42" t="str">
        <f>IF(AH66="","",IFERROR(ROUND(100*('Weighting Options'!$D$7*IF(ISNUMBER(CA66),CA66/3,0)+'Weighting Options'!$D$8*MIN(N(BL66),3)/3+'Weighting Options'!$D$9*IF(AP66="Community/Plenary-endorsed",1,IF(AP66="FGD-validated only",0.75,IF(AP66="Sub-community-specific",0.5,IF(AP66="Provisional/emerging",0.25,0))))+'Weighting Options'!$D$10*IF(ISNUMBER(K66),K66/3,0)+'Weighting Options'!$D$11*IF(CC66="",0.5,IF(CC66="OK",1,0.25))+'Weighting Options'!$D$12*IF(DK66="",0.5,IF(DK66="Agrees",1,IF(DK66="Opposite",0,0.5)))+'Weighting Options'!$D$13*MIN(N(BG66),3)/3+'Weighting Options'!$D$14*IF(AE66=1,1,0))/SUM('Weighting Options'!$D$7:$D$14),0),""))</f>
        <v/>
      </c>
      <c r="DR66" s="44" t="str">
        <f>IF(AH66="","",IFERROR(INDEX('Weighting Options'!$D$20:$D$27,VALUE(LEFT(TRIM(BU66),1))),1))</f>
        <v/>
      </c>
      <c r="DS66" s="44" t="str">
        <f t="shared" si="27"/>
        <v/>
      </c>
      <c r="DT66" s="42" t="str">
        <f>IF(AH66="","",IF(COUNTIFS($AH$12:AH66,AH66,$AI$12:AI66,AI66,$AM$12:AM66,AM66)=1,1,0))</f>
        <v/>
      </c>
    </row>
    <row r="67" spans="16:124" ht="12.75" customHeight="1" x14ac:dyDescent="0.35">
      <c r="P67" s="41"/>
      <c r="Q67" s="41"/>
      <c r="R67" s="41"/>
      <c r="S67" s="41"/>
      <c r="AH67" s="40"/>
      <c r="AP67" s="40"/>
      <c r="AS67" s="41"/>
      <c r="AT67" s="41"/>
      <c r="AW67" t="str">
        <f t="shared" si="0"/>
        <v/>
      </c>
      <c r="AX67" t="str">
        <f t="shared" si="1"/>
        <v/>
      </c>
      <c r="AY67" t="str">
        <f t="shared" si="2"/>
        <v/>
      </c>
      <c r="AZ67" s="40"/>
      <c r="BL67" s="47" t="str">
        <f t="shared" si="3"/>
        <v/>
      </c>
      <c r="BM67" s="47" t="str">
        <f t="shared" si="4"/>
        <v/>
      </c>
      <c r="BN67" s="47" t="str">
        <f t="shared" si="5"/>
        <v/>
      </c>
      <c r="BO67" s="47" t="str">
        <f t="shared" si="6"/>
        <v/>
      </c>
      <c r="BP67" s="47" t="str">
        <f t="shared" si="7"/>
        <v/>
      </c>
      <c r="BQ67" s="48" t="str">
        <f t="shared" si="8"/>
        <v/>
      </c>
      <c r="BR67" s="48" t="str">
        <f t="shared" si="9"/>
        <v/>
      </c>
      <c r="BS67" s="48" t="str">
        <f t="shared" si="10"/>
        <v/>
      </c>
      <c r="BT67" s="47" t="str">
        <f t="shared" si="11"/>
        <v/>
      </c>
      <c r="CA67" s="47" t="str">
        <f t="shared" si="12"/>
        <v/>
      </c>
      <c r="CB67" s="47" t="str">
        <f t="shared" si="13"/>
        <v/>
      </c>
      <c r="CC67" s="47" t="str">
        <f t="shared" si="14"/>
        <v/>
      </c>
      <c r="CD67" s="47" t="str">
        <f t="shared" si="15"/>
        <v/>
      </c>
      <c r="CE67" s="47" t="str">
        <f>IF(AH67="","",IF(OR(AI67&lt;&gt;'Seasonal Tercile Tally'!$B$3,AM67&lt;&gt;'Seasonal Tercile Tally'!$B$4),"Other site/ season",IF(DT67=0,"Excluded: duplicate (later row)",IF(N67&lt;&gt;1,"Excluded: not sighted",IF(AC67&lt;&gt;1,"Excluded: not confirmed",IF(AD67&lt;&gt;1,"Excluded: not approved",IF(AP67="Contested","Excluded: contested",IF(OR(U67="",U67=0),"Excluded: no tercile",IF(CB67="","Counted (simple tally only — no weight)","Counted")))))))))</f>
        <v/>
      </c>
      <c r="CF67" s="49" t="str">
        <f>IF(AH67="","",IFERROR(INDEX('Prior Multipliers'!$C$6:$C$70,MATCH(LEFT(AH67,10),'Prior Multipliers'!$A$6:$A$70,0)),IFERROR(INDEX('Prior Multipliers'!$C$6:$C$70,MATCH(LEFT(AH67,6),'Prior Multipliers'!$A$6:$A$70,0)),IFERROR(INDEX('Prior Multipliers'!$C$6:$C$70,MATCH(LEFT(AH67,2),'Prior Multipliers'!$A$6:$A$70,0)),1))))</f>
        <v/>
      </c>
      <c r="CG67" s="49" t="str">
        <f>IF(CB67="","",IF(AND('Seasonal Tercile Tally'!$B$5=1,BT67="Rating-based"),CB67*CF67,CB67))</f>
        <v/>
      </c>
      <c r="CH67" s="47">
        <f t="shared" si="16"/>
        <v>0</v>
      </c>
      <c r="CI67" s="45"/>
      <c r="CJ67" s="42" t="str">
        <f t="shared" si="17"/>
        <v/>
      </c>
      <c r="CM67" s="42" t="str">
        <f t="shared" si="18"/>
        <v/>
      </c>
      <c r="CP67" s="46" t="str">
        <f t="shared" si="19"/>
        <v/>
      </c>
      <c r="CS67" s="46" t="str">
        <f t="shared" si="20"/>
        <v/>
      </c>
      <c r="CT67" s="42" t="str">
        <f t="shared" si="21"/>
        <v/>
      </c>
      <c r="CU67" s="42" t="str">
        <f t="shared" si="22"/>
        <v/>
      </c>
      <c r="CV67" s="42" t="str">
        <f t="shared" si="23"/>
        <v/>
      </c>
      <c r="DB67" s="45"/>
      <c r="DH67" s="42" t="str">
        <f t="shared" si="24"/>
        <v/>
      </c>
      <c r="DI67" s="43" t="str">
        <f t="shared" si="25"/>
        <v/>
      </c>
      <c r="DK67" s="46" t="str">
        <f t="shared" si="26"/>
        <v/>
      </c>
      <c r="DQ67" s="42" t="str">
        <f>IF(AH67="","",IFERROR(ROUND(100*('Weighting Options'!$D$7*IF(ISNUMBER(CA67),CA67/3,0)+'Weighting Options'!$D$8*MIN(N(BL67),3)/3+'Weighting Options'!$D$9*IF(AP67="Community/Plenary-endorsed",1,IF(AP67="FGD-validated only",0.75,IF(AP67="Sub-community-specific",0.5,IF(AP67="Provisional/emerging",0.25,0))))+'Weighting Options'!$D$10*IF(ISNUMBER(K67),K67/3,0)+'Weighting Options'!$D$11*IF(CC67="",0.5,IF(CC67="OK",1,0.25))+'Weighting Options'!$D$12*IF(DK67="",0.5,IF(DK67="Agrees",1,IF(DK67="Opposite",0,0.5)))+'Weighting Options'!$D$13*MIN(N(BG67),3)/3+'Weighting Options'!$D$14*IF(AE67=1,1,0))/SUM('Weighting Options'!$D$7:$D$14),0),""))</f>
        <v/>
      </c>
      <c r="DR67" s="44" t="str">
        <f>IF(AH67="","",IFERROR(INDEX('Weighting Options'!$D$20:$D$27,VALUE(LEFT(TRIM(BU67),1))),1))</f>
        <v/>
      </c>
      <c r="DS67" s="44" t="str">
        <f t="shared" si="27"/>
        <v/>
      </c>
      <c r="DT67" s="42" t="str">
        <f>IF(AH67="","",IF(COUNTIFS($AH$12:AH67,AH67,$AI$12:AI67,AI67,$AM$12:AM67,AM67)=1,1,0))</f>
        <v/>
      </c>
    </row>
    <row r="68" spans="16:124" ht="12.75" customHeight="1" x14ac:dyDescent="0.35">
      <c r="P68" s="41"/>
      <c r="Q68" s="41"/>
      <c r="R68" s="41"/>
      <c r="S68" s="41"/>
      <c r="AH68" s="40"/>
      <c r="AP68" s="40"/>
      <c r="AS68" s="41"/>
      <c r="AT68" s="41"/>
      <c r="AW68" t="str">
        <f t="shared" si="0"/>
        <v/>
      </c>
      <c r="AX68" t="str">
        <f t="shared" si="1"/>
        <v/>
      </c>
      <c r="AY68" t="str">
        <f t="shared" si="2"/>
        <v/>
      </c>
      <c r="AZ68" s="40"/>
      <c r="BL68" s="47" t="str">
        <f t="shared" si="3"/>
        <v/>
      </c>
      <c r="BM68" s="47" t="str">
        <f t="shared" si="4"/>
        <v/>
      </c>
      <c r="BN68" s="47" t="str">
        <f t="shared" si="5"/>
        <v/>
      </c>
      <c r="BO68" s="47" t="str">
        <f t="shared" si="6"/>
        <v/>
      </c>
      <c r="BP68" s="47" t="str">
        <f t="shared" si="7"/>
        <v/>
      </c>
      <c r="BQ68" s="48" t="str">
        <f t="shared" si="8"/>
        <v/>
      </c>
      <c r="BR68" s="48" t="str">
        <f t="shared" si="9"/>
        <v/>
      </c>
      <c r="BS68" s="48" t="str">
        <f t="shared" si="10"/>
        <v/>
      </c>
      <c r="BT68" s="47" t="str">
        <f t="shared" si="11"/>
        <v/>
      </c>
      <c r="CA68" s="47" t="str">
        <f t="shared" si="12"/>
        <v/>
      </c>
      <c r="CB68" s="47" t="str">
        <f t="shared" si="13"/>
        <v/>
      </c>
      <c r="CC68" s="47" t="str">
        <f t="shared" si="14"/>
        <v/>
      </c>
      <c r="CD68" s="47" t="str">
        <f t="shared" si="15"/>
        <v/>
      </c>
      <c r="CE68" s="47" t="str">
        <f>IF(AH68="","",IF(OR(AI68&lt;&gt;'Seasonal Tercile Tally'!$B$3,AM68&lt;&gt;'Seasonal Tercile Tally'!$B$4),"Other site/ season",IF(DT68=0,"Excluded: duplicate (later row)",IF(N68&lt;&gt;1,"Excluded: not sighted",IF(AC68&lt;&gt;1,"Excluded: not confirmed",IF(AD68&lt;&gt;1,"Excluded: not approved",IF(AP68="Contested","Excluded: contested",IF(OR(U68="",U68=0),"Excluded: no tercile",IF(CB68="","Counted (simple tally only — no weight)","Counted")))))))))</f>
        <v/>
      </c>
      <c r="CF68" s="49" t="str">
        <f>IF(AH68="","",IFERROR(INDEX('Prior Multipliers'!$C$6:$C$70,MATCH(LEFT(AH68,10),'Prior Multipliers'!$A$6:$A$70,0)),IFERROR(INDEX('Prior Multipliers'!$C$6:$C$70,MATCH(LEFT(AH68,6),'Prior Multipliers'!$A$6:$A$70,0)),IFERROR(INDEX('Prior Multipliers'!$C$6:$C$70,MATCH(LEFT(AH68,2),'Prior Multipliers'!$A$6:$A$70,0)),1))))</f>
        <v/>
      </c>
      <c r="CG68" s="49" t="str">
        <f>IF(CB68="","",IF(AND('Seasonal Tercile Tally'!$B$5=1,BT68="Rating-based"),CB68*CF68,CB68))</f>
        <v/>
      </c>
      <c r="CH68" s="47">
        <f t="shared" si="16"/>
        <v>0</v>
      </c>
      <c r="CI68" s="45"/>
      <c r="CJ68" s="42" t="str">
        <f t="shared" si="17"/>
        <v/>
      </c>
      <c r="CM68" s="42" t="str">
        <f t="shared" si="18"/>
        <v/>
      </c>
      <c r="CP68" s="46" t="str">
        <f t="shared" si="19"/>
        <v/>
      </c>
      <c r="CS68" s="46" t="str">
        <f t="shared" si="20"/>
        <v/>
      </c>
      <c r="CT68" s="42" t="str">
        <f t="shared" si="21"/>
        <v/>
      </c>
      <c r="CU68" s="42" t="str">
        <f t="shared" si="22"/>
        <v/>
      </c>
      <c r="CV68" s="42" t="str">
        <f t="shared" si="23"/>
        <v/>
      </c>
      <c r="DB68" s="45"/>
      <c r="DH68" s="42" t="str">
        <f t="shared" si="24"/>
        <v/>
      </c>
      <c r="DI68" s="43" t="str">
        <f t="shared" si="25"/>
        <v/>
      </c>
      <c r="DK68" s="46" t="str">
        <f t="shared" si="26"/>
        <v/>
      </c>
      <c r="DQ68" s="42" t="str">
        <f>IF(AH68="","",IFERROR(ROUND(100*('Weighting Options'!$D$7*IF(ISNUMBER(CA68),CA68/3,0)+'Weighting Options'!$D$8*MIN(N(BL68),3)/3+'Weighting Options'!$D$9*IF(AP68="Community/Plenary-endorsed",1,IF(AP68="FGD-validated only",0.75,IF(AP68="Sub-community-specific",0.5,IF(AP68="Provisional/emerging",0.25,0))))+'Weighting Options'!$D$10*IF(ISNUMBER(K68),K68/3,0)+'Weighting Options'!$D$11*IF(CC68="",0.5,IF(CC68="OK",1,0.25))+'Weighting Options'!$D$12*IF(DK68="",0.5,IF(DK68="Agrees",1,IF(DK68="Opposite",0,0.5)))+'Weighting Options'!$D$13*MIN(N(BG68),3)/3+'Weighting Options'!$D$14*IF(AE68=1,1,0))/SUM('Weighting Options'!$D$7:$D$14),0),""))</f>
        <v/>
      </c>
      <c r="DR68" s="44" t="str">
        <f>IF(AH68="","",IFERROR(INDEX('Weighting Options'!$D$20:$D$27,VALUE(LEFT(TRIM(BU68),1))),1))</f>
        <v/>
      </c>
      <c r="DS68" s="44" t="str">
        <f t="shared" si="27"/>
        <v/>
      </c>
      <c r="DT68" s="42" t="str">
        <f>IF(AH68="","",IF(COUNTIFS($AH$12:AH68,AH68,$AI$12:AI68,AI68,$AM$12:AM68,AM68)=1,1,0))</f>
        <v/>
      </c>
    </row>
    <row r="69" spans="16:124" ht="12.75" customHeight="1" x14ac:dyDescent="0.35">
      <c r="P69" s="41"/>
      <c r="Q69" s="41"/>
      <c r="R69" s="41"/>
      <c r="S69" s="41"/>
      <c r="AH69" s="40"/>
      <c r="AP69" s="40"/>
      <c r="AS69" s="41"/>
      <c r="AT69" s="41"/>
      <c r="AW69" t="str">
        <f t="shared" si="0"/>
        <v/>
      </c>
      <c r="AX69" t="str">
        <f t="shared" si="1"/>
        <v/>
      </c>
      <c r="AY69" t="str">
        <f t="shared" si="2"/>
        <v/>
      </c>
      <c r="AZ69" s="40"/>
      <c r="BL69" s="47" t="str">
        <f t="shared" si="3"/>
        <v/>
      </c>
      <c r="BM69" s="47" t="str">
        <f t="shared" si="4"/>
        <v/>
      </c>
      <c r="BN69" s="47" t="str">
        <f t="shared" si="5"/>
        <v/>
      </c>
      <c r="BO69" s="47" t="str">
        <f t="shared" si="6"/>
        <v/>
      </c>
      <c r="BP69" s="47" t="str">
        <f t="shared" si="7"/>
        <v/>
      </c>
      <c r="BQ69" s="48" t="str">
        <f t="shared" si="8"/>
        <v/>
      </c>
      <c r="BR69" s="48" t="str">
        <f t="shared" si="9"/>
        <v/>
      </c>
      <c r="BS69" s="48" t="str">
        <f t="shared" si="10"/>
        <v/>
      </c>
      <c r="BT69" s="47" t="str">
        <f t="shared" si="11"/>
        <v/>
      </c>
      <c r="CA69" s="47" t="str">
        <f t="shared" si="12"/>
        <v/>
      </c>
      <c r="CB69" s="47" t="str">
        <f t="shared" si="13"/>
        <v/>
      </c>
      <c r="CC69" s="47" t="str">
        <f t="shared" si="14"/>
        <v/>
      </c>
      <c r="CD69" s="47" t="str">
        <f t="shared" si="15"/>
        <v/>
      </c>
      <c r="CE69" s="47" t="str">
        <f>IF(AH69="","",IF(OR(AI69&lt;&gt;'Seasonal Tercile Tally'!$B$3,AM69&lt;&gt;'Seasonal Tercile Tally'!$B$4),"Other site/ season",IF(DT69=0,"Excluded: duplicate (later row)",IF(N69&lt;&gt;1,"Excluded: not sighted",IF(AC69&lt;&gt;1,"Excluded: not confirmed",IF(AD69&lt;&gt;1,"Excluded: not approved",IF(AP69="Contested","Excluded: contested",IF(OR(U69="",U69=0),"Excluded: no tercile",IF(CB69="","Counted (simple tally only — no weight)","Counted")))))))))</f>
        <v/>
      </c>
      <c r="CF69" s="49" t="str">
        <f>IF(AH69="","",IFERROR(INDEX('Prior Multipliers'!$C$6:$C$70,MATCH(LEFT(AH69,10),'Prior Multipliers'!$A$6:$A$70,0)),IFERROR(INDEX('Prior Multipliers'!$C$6:$C$70,MATCH(LEFT(AH69,6),'Prior Multipliers'!$A$6:$A$70,0)),IFERROR(INDEX('Prior Multipliers'!$C$6:$C$70,MATCH(LEFT(AH69,2),'Prior Multipliers'!$A$6:$A$70,0)),1))))</f>
        <v/>
      </c>
      <c r="CG69" s="49" t="str">
        <f>IF(CB69="","",IF(AND('Seasonal Tercile Tally'!$B$5=1,BT69="Rating-based"),CB69*CF69,CB69))</f>
        <v/>
      </c>
      <c r="CH69" s="47">
        <f t="shared" si="16"/>
        <v>0</v>
      </c>
      <c r="CI69" s="45"/>
      <c r="CJ69" s="42" t="str">
        <f t="shared" si="17"/>
        <v/>
      </c>
      <c r="CM69" s="42" t="str">
        <f t="shared" si="18"/>
        <v/>
      </c>
      <c r="CP69" s="46" t="str">
        <f t="shared" si="19"/>
        <v/>
      </c>
      <c r="CS69" s="46" t="str">
        <f t="shared" si="20"/>
        <v/>
      </c>
      <c r="CT69" s="42" t="str">
        <f t="shared" si="21"/>
        <v/>
      </c>
      <c r="CU69" s="42" t="str">
        <f t="shared" si="22"/>
        <v/>
      </c>
      <c r="CV69" s="42" t="str">
        <f t="shared" si="23"/>
        <v/>
      </c>
      <c r="DB69" s="45"/>
      <c r="DH69" s="42" t="str">
        <f t="shared" si="24"/>
        <v/>
      </c>
      <c r="DI69" s="43" t="str">
        <f t="shared" si="25"/>
        <v/>
      </c>
      <c r="DK69" s="46" t="str">
        <f t="shared" si="26"/>
        <v/>
      </c>
      <c r="DQ69" s="42" t="str">
        <f>IF(AH69="","",IFERROR(ROUND(100*('Weighting Options'!$D$7*IF(ISNUMBER(CA69),CA69/3,0)+'Weighting Options'!$D$8*MIN(N(BL69),3)/3+'Weighting Options'!$D$9*IF(AP69="Community/Plenary-endorsed",1,IF(AP69="FGD-validated only",0.75,IF(AP69="Sub-community-specific",0.5,IF(AP69="Provisional/emerging",0.25,0))))+'Weighting Options'!$D$10*IF(ISNUMBER(K69),K69/3,0)+'Weighting Options'!$D$11*IF(CC69="",0.5,IF(CC69="OK",1,0.25))+'Weighting Options'!$D$12*IF(DK69="",0.5,IF(DK69="Agrees",1,IF(DK69="Opposite",0,0.5)))+'Weighting Options'!$D$13*MIN(N(BG69),3)/3+'Weighting Options'!$D$14*IF(AE69=1,1,0))/SUM('Weighting Options'!$D$7:$D$14),0),""))</f>
        <v/>
      </c>
      <c r="DR69" s="44" t="str">
        <f>IF(AH69="","",IFERROR(INDEX('Weighting Options'!$D$20:$D$27,VALUE(LEFT(TRIM(BU69),1))),1))</f>
        <v/>
      </c>
      <c r="DS69" s="44" t="str">
        <f t="shared" si="27"/>
        <v/>
      </c>
      <c r="DT69" s="42" t="str">
        <f>IF(AH69="","",IF(COUNTIFS($AH$12:AH69,AH69,$AI$12:AI69,AI69,$AM$12:AM69,AM69)=1,1,0))</f>
        <v/>
      </c>
    </row>
    <row r="70" spans="16:124" ht="12.75" customHeight="1" x14ac:dyDescent="0.35">
      <c r="P70" s="41"/>
      <c r="Q70" s="41"/>
      <c r="R70" s="41"/>
      <c r="S70" s="41"/>
      <c r="AH70" s="40"/>
      <c r="AP70" s="40"/>
      <c r="AS70" s="41"/>
      <c r="AT70" s="41"/>
      <c r="AW70" t="str">
        <f t="shared" si="0"/>
        <v/>
      </c>
      <c r="AX70" t="str">
        <f t="shared" si="1"/>
        <v/>
      </c>
      <c r="AY70" t="str">
        <f t="shared" si="2"/>
        <v/>
      </c>
      <c r="AZ70" s="40"/>
      <c r="BL70" s="47" t="str">
        <f t="shared" si="3"/>
        <v/>
      </c>
      <c r="BM70" s="47" t="str">
        <f t="shared" si="4"/>
        <v/>
      </c>
      <c r="BN70" s="47" t="str">
        <f t="shared" si="5"/>
        <v/>
      </c>
      <c r="BO70" s="47" t="str">
        <f t="shared" si="6"/>
        <v/>
      </c>
      <c r="BP70" s="47" t="str">
        <f t="shared" si="7"/>
        <v/>
      </c>
      <c r="BQ70" s="48" t="str">
        <f t="shared" si="8"/>
        <v/>
      </c>
      <c r="BR70" s="48" t="str">
        <f t="shared" si="9"/>
        <v/>
      </c>
      <c r="BS70" s="48" t="str">
        <f t="shared" si="10"/>
        <v/>
      </c>
      <c r="BT70" s="47" t="str">
        <f t="shared" si="11"/>
        <v/>
      </c>
      <c r="CA70" s="47" t="str">
        <f t="shared" si="12"/>
        <v/>
      </c>
      <c r="CB70" s="47" t="str">
        <f t="shared" si="13"/>
        <v/>
      </c>
      <c r="CC70" s="47" t="str">
        <f t="shared" si="14"/>
        <v/>
      </c>
      <c r="CD70" s="47" t="str">
        <f t="shared" si="15"/>
        <v/>
      </c>
      <c r="CE70" s="47" t="str">
        <f>IF(AH70="","",IF(OR(AI70&lt;&gt;'Seasonal Tercile Tally'!$B$3,AM70&lt;&gt;'Seasonal Tercile Tally'!$B$4),"Other site/ season",IF(DT70=0,"Excluded: duplicate (later row)",IF(N70&lt;&gt;1,"Excluded: not sighted",IF(AC70&lt;&gt;1,"Excluded: not confirmed",IF(AD70&lt;&gt;1,"Excluded: not approved",IF(AP70="Contested","Excluded: contested",IF(OR(U70="",U70=0),"Excluded: no tercile",IF(CB70="","Counted (simple tally only — no weight)","Counted")))))))))</f>
        <v/>
      </c>
      <c r="CF70" s="49" t="str">
        <f>IF(AH70="","",IFERROR(INDEX('Prior Multipliers'!$C$6:$C$70,MATCH(LEFT(AH70,10),'Prior Multipliers'!$A$6:$A$70,0)),IFERROR(INDEX('Prior Multipliers'!$C$6:$C$70,MATCH(LEFT(AH70,6),'Prior Multipliers'!$A$6:$A$70,0)),IFERROR(INDEX('Prior Multipliers'!$C$6:$C$70,MATCH(LEFT(AH70,2),'Prior Multipliers'!$A$6:$A$70,0)),1))))</f>
        <v/>
      </c>
      <c r="CG70" s="49" t="str">
        <f>IF(CB70="","",IF(AND('Seasonal Tercile Tally'!$B$5=1,BT70="Rating-based"),CB70*CF70,CB70))</f>
        <v/>
      </c>
      <c r="CH70" s="47">
        <f t="shared" si="16"/>
        <v>0</v>
      </c>
      <c r="CI70" s="45"/>
      <c r="CJ70" s="42" t="str">
        <f t="shared" si="17"/>
        <v/>
      </c>
      <c r="CM70" s="42" t="str">
        <f t="shared" si="18"/>
        <v/>
      </c>
      <c r="CP70" s="46" t="str">
        <f t="shared" si="19"/>
        <v/>
      </c>
      <c r="CS70" s="46" t="str">
        <f t="shared" si="20"/>
        <v/>
      </c>
      <c r="CT70" s="42" t="str">
        <f t="shared" si="21"/>
        <v/>
      </c>
      <c r="CU70" s="42" t="str">
        <f t="shared" si="22"/>
        <v/>
      </c>
      <c r="CV70" s="42" t="str">
        <f t="shared" si="23"/>
        <v/>
      </c>
      <c r="DB70" s="45"/>
      <c r="DH70" s="42" t="str">
        <f t="shared" si="24"/>
        <v/>
      </c>
      <c r="DI70" s="43" t="str">
        <f t="shared" si="25"/>
        <v/>
      </c>
      <c r="DK70" s="46" t="str">
        <f t="shared" si="26"/>
        <v/>
      </c>
      <c r="DQ70" s="42" t="str">
        <f>IF(AH70="","",IFERROR(ROUND(100*('Weighting Options'!$D$7*IF(ISNUMBER(CA70),CA70/3,0)+'Weighting Options'!$D$8*MIN(N(BL70),3)/3+'Weighting Options'!$D$9*IF(AP70="Community/Plenary-endorsed",1,IF(AP70="FGD-validated only",0.75,IF(AP70="Sub-community-specific",0.5,IF(AP70="Provisional/emerging",0.25,0))))+'Weighting Options'!$D$10*IF(ISNUMBER(K70),K70/3,0)+'Weighting Options'!$D$11*IF(CC70="",0.5,IF(CC70="OK",1,0.25))+'Weighting Options'!$D$12*IF(DK70="",0.5,IF(DK70="Agrees",1,IF(DK70="Opposite",0,0.5)))+'Weighting Options'!$D$13*MIN(N(BG70),3)/3+'Weighting Options'!$D$14*IF(AE70=1,1,0))/SUM('Weighting Options'!$D$7:$D$14),0),""))</f>
        <v/>
      </c>
      <c r="DR70" s="44" t="str">
        <f>IF(AH70="","",IFERROR(INDEX('Weighting Options'!$D$20:$D$27,VALUE(LEFT(TRIM(BU70),1))),1))</f>
        <v/>
      </c>
      <c r="DS70" s="44" t="str">
        <f t="shared" si="27"/>
        <v/>
      </c>
      <c r="DT70" s="42" t="str">
        <f>IF(AH70="","",IF(COUNTIFS($AH$12:AH70,AH70,$AI$12:AI70,AI70,$AM$12:AM70,AM70)=1,1,0))</f>
        <v/>
      </c>
    </row>
    <row r="71" spans="16:124" ht="12.75" customHeight="1" x14ac:dyDescent="0.35">
      <c r="P71" s="41"/>
      <c r="Q71" s="41"/>
      <c r="R71" s="41"/>
      <c r="S71" s="41"/>
      <c r="AH71" s="40"/>
      <c r="AP71" s="40"/>
      <c r="AS71" s="41"/>
      <c r="AT71" s="41"/>
      <c r="AW71" t="str">
        <f t="shared" si="0"/>
        <v/>
      </c>
      <c r="AX71" t="str">
        <f t="shared" si="1"/>
        <v/>
      </c>
      <c r="AY71" t="str">
        <f t="shared" si="2"/>
        <v/>
      </c>
      <c r="AZ71" s="40"/>
      <c r="BL71" s="47" t="str">
        <f t="shared" si="3"/>
        <v/>
      </c>
      <c r="BM71" s="47" t="str">
        <f t="shared" si="4"/>
        <v/>
      </c>
      <c r="BN71" s="47" t="str">
        <f t="shared" si="5"/>
        <v/>
      </c>
      <c r="BO71" s="47" t="str">
        <f t="shared" si="6"/>
        <v/>
      </c>
      <c r="BP71" s="47" t="str">
        <f t="shared" si="7"/>
        <v/>
      </c>
      <c r="BQ71" s="48" t="str">
        <f t="shared" si="8"/>
        <v/>
      </c>
      <c r="BR71" s="48" t="str">
        <f t="shared" si="9"/>
        <v/>
      </c>
      <c r="BS71" s="48" t="str">
        <f t="shared" si="10"/>
        <v/>
      </c>
      <c r="BT71" s="47" t="str">
        <f t="shared" si="11"/>
        <v/>
      </c>
      <c r="CA71" s="47" t="str">
        <f t="shared" si="12"/>
        <v/>
      </c>
      <c r="CB71" s="47" t="str">
        <f t="shared" si="13"/>
        <v/>
      </c>
      <c r="CC71" s="47" t="str">
        <f t="shared" si="14"/>
        <v/>
      </c>
      <c r="CD71" s="47" t="str">
        <f t="shared" si="15"/>
        <v/>
      </c>
      <c r="CE71" s="47" t="str">
        <f>IF(AH71="","",IF(OR(AI71&lt;&gt;'Seasonal Tercile Tally'!$B$3,AM71&lt;&gt;'Seasonal Tercile Tally'!$B$4),"Other site/ season",IF(DT71=0,"Excluded: duplicate (later row)",IF(N71&lt;&gt;1,"Excluded: not sighted",IF(AC71&lt;&gt;1,"Excluded: not confirmed",IF(AD71&lt;&gt;1,"Excluded: not approved",IF(AP71="Contested","Excluded: contested",IF(OR(U71="",U71=0),"Excluded: no tercile",IF(CB71="","Counted (simple tally only — no weight)","Counted")))))))))</f>
        <v/>
      </c>
      <c r="CF71" s="49" t="str">
        <f>IF(AH71="","",IFERROR(INDEX('Prior Multipliers'!$C$6:$C$70,MATCH(LEFT(AH71,10),'Prior Multipliers'!$A$6:$A$70,0)),IFERROR(INDEX('Prior Multipliers'!$C$6:$C$70,MATCH(LEFT(AH71,6),'Prior Multipliers'!$A$6:$A$70,0)),IFERROR(INDEX('Prior Multipliers'!$C$6:$C$70,MATCH(LEFT(AH71,2),'Prior Multipliers'!$A$6:$A$70,0)),1))))</f>
        <v/>
      </c>
      <c r="CG71" s="49" t="str">
        <f>IF(CB71="","",IF(AND('Seasonal Tercile Tally'!$B$5=1,BT71="Rating-based"),CB71*CF71,CB71))</f>
        <v/>
      </c>
      <c r="CH71" s="47">
        <f t="shared" si="16"/>
        <v>0</v>
      </c>
      <c r="CI71" s="45"/>
      <c r="CJ71" s="42" t="str">
        <f t="shared" si="17"/>
        <v/>
      </c>
      <c r="CM71" s="42" t="str">
        <f t="shared" si="18"/>
        <v/>
      </c>
      <c r="CP71" s="46" t="str">
        <f t="shared" si="19"/>
        <v/>
      </c>
      <c r="CS71" s="46" t="str">
        <f t="shared" si="20"/>
        <v/>
      </c>
      <c r="CT71" s="42" t="str">
        <f t="shared" si="21"/>
        <v/>
      </c>
      <c r="CU71" s="42" t="str">
        <f t="shared" si="22"/>
        <v/>
      </c>
      <c r="CV71" s="42" t="str">
        <f t="shared" si="23"/>
        <v/>
      </c>
      <c r="DB71" s="45"/>
      <c r="DH71" s="42" t="str">
        <f t="shared" si="24"/>
        <v/>
      </c>
      <c r="DI71" s="43" t="str">
        <f t="shared" si="25"/>
        <v/>
      </c>
      <c r="DK71" s="46" t="str">
        <f t="shared" si="26"/>
        <v/>
      </c>
      <c r="DQ71" s="42" t="str">
        <f>IF(AH71="","",IFERROR(ROUND(100*('Weighting Options'!$D$7*IF(ISNUMBER(CA71),CA71/3,0)+'Weighting Options'!$D$8*MIN(N(BL71),3)/3+'Weighting Options'!$D$9*IF(AP71="Community/Plenary-endorsed",1,IF(AP71="FGD-validated only",0.75,IF(AP71="Sub-community-specific",0.5,IF(AP71="Provisional/emerging",0.25,0))))+'Weighting Options'!$D$10*IF(ISNUMBER(K71),K71/3,0)+'Weighting Options'!$D$11*IF(CC71="",0.5,IF(CC71="OK",1,0.25))+'Weighting Options'!$D$12*IF(DK71="",0.5,IF(DK71="Agrees",1,IF(DK71="Opposite",0,0.5)))+'Weighting Options'!$D$13*MIN(N(BG71),3)/3+'Weighting Options'!$D$14*IF(AE71=1,1,0))/SUM('Weighting Options'!$D$7:$D$14),0),""))</f>
        <v/>
      </c>
      <c r="DR71" s="44" t="str">
        <f>IF(AH71="","",IFERROR(INDEX('Weighting Options'!$D$20:$D$27,VALUE(LEFT(TRIM(BU71),1))),1))</f>
        <v/>
      </c>
      <c r="DS71" s="44" t="str">
        <f t="shared" si="27"/>
        <v/>
      </c>
      <c r="DT71" s="42" t="str">
        <f>IF(AH71="","",IF(COUNTIFS($AH$12:AH71,AH71,$AI$12:AI71,AI71,$AM$12:AM71,AM71)=1,1,0))</f>
        <v/>
      </c>
    </row>
    <row r="72" spans="16:124" ht="12.75" customHeight="1" x14ac:dyDescent="0.35">
      <c r="P72" s="41"/>
      <c r="Q72" s="41"/>
      <c r="R72" s="41"/>
      <c r="S72" s="41"/>
      <c r="AH72" s="40"/>
      <c r="AP72" s="40"/>
      <c r="AS72" s="41"/>
      <c r="AT72" s="41"/>
      <c r="AW72" t="str">
        <f t="shared" si="0"/>
        <v/>
      </c>
      <c r="AX72" t="str">
        <f t="shared" si="1"/>
        <v/>
      </c>
      <c r="AY72" t="str">
        <f t="shared" si="2"/>
        <v/>
      </c>
      <c r="AZ72" s="40"/>
      <c r="BL72" s="47" t="str">
        <f t="shared" si="3"/>
        <v/>
      </c>
      <c r="BM72" s="47" t="str">
        <f t="shared" si="4"/>
        <v/>
      </c>
      <c r="BN72" s="47" t="str">
        <f t="shared" si="5"/>
        <v/>
      </c>
      <c r="BO72" s="47" t="str">
        <f t="shared" si="6"/>
        <v/>
      </c>
      <c r="BP72" s="47" t="str">
        <f t="shared" si="7"/>
        <v/>
      </c>
      <c r="BQ72" s="48" t="str">
        <f t="shared" si="8"/>
        <v/>
      </c>
      <c r="BR72" s="48" t="str">
        <f t="shared" si="9"/>
        <v/>
      </c>
      <c r="BS72" s="48" t="str">
        <f t="shared" si="10"/>
        <v/>
      </c>
      <c r="BT72" s="47" t="str">
        <f t="shared" si="11"/>
        <v/>
      </c>
      <c r="CA72" s="47" t="str">
        <f t="shared" si="12"/>
        <v/>
      </c>
      <c r="CB72" s="47" t="str">
        <f t="shared" si="13"/>
        <v/>
      </c>
      <c r="CC72" s="47" t="str">
        <f t="shared" si="14"/>
        <v/>
      </c>
      <c r="CD72" s="47" t="str">
        <f t="shared" si="15"/>
        <v/>
      </c>
      <c r="CE72" s="47" t="str">
        <f>IF(AH72="","",IF(OR(AI72&lt;&gt;'Seasonal Tercile Tally'!$B$3,AM72&lt;&gt;'Seasonal Tercile Tally'!$B$4),"Other site/ season",IF(DT72=0,"Excluded: duplicate (later row)",IF(N72&lt;&gt;1,"Excluded: not sighted",IF(AC72&lt;&gt;1,"Excluded: not confirmed",IF(AD72&lt;&gt;1,"Excluded: not approved",IF(AP72="Contested","Excluded: contested",IF(OR(U72="",U72=0),"Excluded: no tercile",IF(CB72="","Counted (simple tally only — no weight)","Counted")))))))))</f>
        <v/>
      </c>
      <c r="CF72" s="49" t="str">
        <f>IF(AH72="","",IFERROR(INDEX('Prior Multipliers'!$C$6:$C$70,MATCH(LEFT(AH72,10),'Prior Multipliers'!$A$6:$A$70,0)),IFERROR(INDEX('Prior Multipliers'!$C$6:$C$70,MATCH(LEFT(AH72,6),'Prior Multipliers'!$A$6:$A$70,0)),IFERROR(INDEX('Prior Multipliers'!$C$6:$C$70,MATCH(LEFT(AH72,2),'Prior Multipliers'!$A$6:$A$70,0)),1))))</f>
        <v/>
      </c>
      <c r="CG72" s="49" t="str">
        <f>IF(CB72="","",IF(AND('Seasonal Tercile Tally'!$B$5=1,BT72="Rating-based"),CB72*CF72,CB72))</f>
        <v/>
      </c>
      <c r="CH72" s="47">
        <f t="shared" si="16"/>
        <v>0</v>
      </c>
      <c r="CI72" s="45"/>
      <c r="CJ72" s="42" t="str">
        <f t="shared" si="17"/>
        <v/>
      </c>
      <c r="CM72" s="42" t="str">
        <f t="shared" si="18"/>
        <v/>
      </c>
      <c r="CP72" s="46" t="str">
        <f t="shared" si="19"/>
        <v/>
      </c>
      <c r="CS72" s="46" t="str">
        <f t="shared" si="20"/>
        <v/>
      </c>
      <c r="CT72" s="42" t="str">
        <f t="shared" si="21"/>
        <v/>
      </c>
      <c r="CU72" s="42" t="str">
        <f t="shared" si="22"/>
        <v/>
      </c>
      <c r="CV72" s="42" t="str">
        <f t="shared" si="23"/>
        <v/>
      </c>
      <c r="DB72" s="45"/>
      <c r="DH72" s="42" t="str">
        <f t="shared" si="24"/>
        <v/>
      </c>
      <c r="DI72" s="43" t="str">
        <f t="shared" si="25"/>
        <v/>
      </c>
      <c r="DK72" s="46" t="str">
        <f t="shared" si="26"/>
        <v/>
      </c>
      <c r="DQ72" s="42" t="str">
        <f>IF(AH72="","",IFERROR(ROUND(100*('Weighting Options'!$D$7*IF(ISNUMBER(CA72),CA72/3,0)+'Weighting Options'!$D$8*MIN(N(BL72),3)/3+'Weighting Options'!$D$9*IF(AP72="Community/Plenary-endorsed",1,IF(AP72="FGD-validated only",0.75,IF(AP72="Sub-community-specific",0.5,IF(AP72="Provisional/emerging",0.25,0))))+'Weighting Options'!$D$10*IF(ISNUMBER(K72),K72/3,0)+'Weighting Options'!$D$11*IF(CC72="",0.5,IF(CC72="OK",1,0.25))+'Weighting Options'!$D$12*IF(DK72="",0.5,IF(DK72="Agrees",1,IF(DK72="Opposite",0,0.5)))+'Weighting Options'!$D$13*MIN(N(BG72),3)/3+'Weighting Options'!$D$14*IF(AE72=1,1,0))/SUM('Weighting Options'!$D$7:$D$14),0),""))</f>
        <v/>
      </c>
      <c r="DR72" s="44" t="str">
        <f>IF(AH72="","",IFERROR(INDEX('Weighting Options'!$D$20:$D$27,VALUE(LEFT(TRIM(BU72),1))),1))</f>
        <v/>
      </c>
      <c r="DS72" s="44" t="str">
        <f t="shared" si="27"/>
        <v/>
      </c>
      <c r="DT72" s="42" t="str">
        <f>IF(AH72="","",IF(COUNTIFS($AH$12:AH72,AH72,$AI$12:AI72,AI72,$AM$12:AM72,AM72)=1,1,0))</f>
        <v/>
      </c>
    </row>
    <row r="73" spans="16:124" ht="12.75" customHeight="1" x14ac:dyDescent="0.35">
      <c r="P73" s="41"/>
      <c r="Q73" s="41"/>
      <c r="R73" s="41"/>
      <c r="S73" s="41"/>
      <c r="AH73" s="40"/>
      <c r="AP73" s="40"/>
      <c r="AS73" s="41"/>
      <c r="AT73" s="41"/>
      <c r="AW73" t="str">
        <f t="shared" si="0"/>
        <v/>
      </c>
      <c r="AX73" t="str">
        <f t="shared" si="1"/>
        <v/>
      </c>
      <c r="AY73" t="str">
        <f t="shared" si="2"/>
        <v/>
      </c>
      <c r="AZ73" s="40"/>
      <c r="BL73" s="47" t="str">
        <f t="shared" si="3"/>
        <v/>
      </c>
      <c r="BM73" s="47" t="str">
        <f t="shared" si="4"/>
        <v/>
      </c>
      <c r="BN73" s="47" t="str">
        <f t="shared" si="5"/>
        <v/>
      </c>
      <c r="BO73" s="47" t="str">
        <f t="shared" si="6"/>
        <v/>
      </c>
      <c r="BP73" s="47" t="str">
        <f t="shared" si="7"/>
        <v/>
      </c>
      <c r="BQ73" s="48" t="str">
        <f t="shared" si="8"/>
        <v/>
      </c>
      <c r="BR73" s="48" t="str">
        <f t="shared" si="9"/>
        <v/>
      </c>
      <c r="BS73" s="48" t="str">
        <f t="shared" si="10"/>
        <v/>
      </c>
      <c r="BT73" s="47" t="str">
        <f t="shared" si="11"/>
        <v/>
      </c>
      <c r="CA73" s="47" t="str">
        <f t="shared" si="12"/>
        <v/>
      </c>
      <c r="CB73" s="47" t="str">
        <f t="shared" si="13"/>
        <v/>
      </c>
      <c r="CC73" s="47" t="str">
        <f t="shared" si="14"/>
        <v/>
      </c>
      <c r="CD73" s="47" t="str">
        <f t="shared" si="15"/>
        <v/>
      </c>
      <c r="CE73" s="47" t="str">
        <f>IF(AH73="","",IF(OR(AI73&lt;&gt;'Seasonal Tercile Tally'!$B$3,AM73&lt;&gt;'Seasonal Tercile Tally'!$B$4),"Other site/ season",IF(DT73=0,"Excluded: duplicate (later row)",IF(N73&lt;&gt;1,"Excluded: not sighted",IF(AC73&lt;&gt;1,"Excluded: not confirmed",IF(AD73&lt;&gt;1,"Excluded: not approved",IF(AP73="Contested","Excluded: contested",IF(OR(U73="",U73=0),"Excluded: no tercile",IF(CB73="","Counted (simple tally only — no weight)","Counted")))))))))</f>
        <v/>
      </c>
      <c r="CF73" s="49" t="str">
        <f>IF(AH73="","",IFERROR(INDEX('Prior Multipliers'!$C$6:$C$70,MATCH(LEFT(AH73,10),'Prior Multipliers'!$A$6:$A$70,0)),IFERROR(INDEX('Prior Multipliers'!$C$6:$C$70,MATCH(LEFT(AH73,6),'Prior Multipliers'!$A$6:$A$70,0)),IFERROR(INDEX('Prior Multipliers'!$C$6:$C$70,MATCH(LEFT(AH73,2),'Prior Multipliers'!$A$6:$A$70,0)),1))))</f>
        <v/>
      </c>
      <c r="CG73" s="49" t="str">
        <f>IF(CB73="","",IF(AND('Seasonal Tercile Tally'!$B$5=1,BT73="Rating-based"),CB73*CF73,CB73))</f>
        <v/>
      </c>
      <c r="CH73" s="47">
        <f t="shared" si="16"/>
        <v>0</v>
      </c>
      <c r="CI73" s="45"/>
      <c r="CJ73" s="42" t="str">
        <f t="shared" si="17"/>
        <v/>
      </c>
      <c r="CM73" s="42" t="str">
        <f t="shared" si="18"/>
        <v/>
      </c>
      <c r="CP73" s="46" t="str">
        <f t="shared" si="19"/>
        <v/>
      </c>
      <c r="CS73" s="46" t="str">
        <f t="shared" si="20"/>
        <v/>
      </c>
      <c r="CT73" s="42" t="str">
        <f t="shared" si="21"/>
        <v/>
      </c>
      <c r="CU73" s="42" t="str">
        <f t="shared" si="22"/>
        <v/>
      </c>
      <c r="CV73" s="42" t="str">
        <f t="shared" si="23"/>
        <v/>
      </c>
      <c r="DB73" s="45"/>
      <c r="DH73" s="42" t="str">
        <f t="shared" si="24"/>
        <v/>
      </c>
      <c r="DI73" s="43" t="str">
        <f t="shared" si="25"/>
        <v/>
      </c>
      <c r="DK73" s="46" t="str">
        <f t="shared" si="26"/>
        <v/>
      </c>
      <c r="DQ73" s="42" t="str">
        <f>IF(AH73="","",IFERROR(ROUND(100*('Weighting Options'!$D$7*IF(ISNUMBER(CA73),CA73/3,0)+'Weighting Options'!$D$8*MIN(N(BL73),3)/3+'Weighting Options'!$D$9*IF(AP73="Community/Plenary-endorsed",1,IF(AP73="FGD-validated only",0.75,IF(AP73="Sub-community-specific",0.5,IF(AP73="Provisional/emerging",0.25,0))))+'Weighting Options'!$D$10*IF(ISNUMBER(K73),K73/3,0)+'Weighting Options'!$D$11*IF(CC73="",0.5,IF(CC73="OK",1,0.25))+'Weighting Options'!$D$12*IF(DK73="",0.5,IF(DK73="Agrees",1,IF(DK73="Opposite",0,0.5)))+'Weighting Options'!$D$13*MIN(N(BG73),3)/3+'Weighting Options'!$D$14*IF(AE73=1,1,0))/SUM('Weighting Options'!$D$7:$D$14),0),""))</f>
        <v/>
      </c>
      <c r="DR73" s="44" t="str">
        <f>IF(AH73="","",IFERROR(INDEX('Weighting Options'!$D$20:$D$27,VALUE(LEFT(TRIM(BU73),1))),1))</f>
        <v/>
      </c>
      <c r="DS73" s="44" t="str">
        <f t="shared" si="27"/>
        <v/>
      </c>
      <c r="DT73" s="42" t="str">
        <f>IF(AH73="","",IF(COUNTIFS($AH$12:AH73,AH73,$AI$12:AI73,AI73,$AM$12:AM73,AM73)=1,1,0))</f>
        <v/>
      </c>
    </row>
    <row r="74" spans="16:124" ht="12.75" customHeight="1" x14ac:dyDescent="0.35">
      <c r="P74" s="41"/>
      <c r="Q74" s="41"/>
      <c r="R74" s="41"/>
      <c r="S74" s="41"/>
      <c r="AH74" s="40"/>
      <c r="AP74" s="40"/>
      <c r="AS74" s="41"/>
      <c r="AT74" s="41"/>
      <c r="AW74" t="str">
        <f t="shared" si="0"/>
        <v/>
      </c>
      <c r="AX74" t="str">
        <f t="shared" si="1"/>
        <v/>
      </c>
      <c r="AY74" t="str">
        <f t="shared" si="2"/>
        <v/>
      </c>
      <c r="AZ74" s="40"/>
      <c r="BL74" s="47" t="str">
        <f t="shared" si="3"/>
        <v/>
      </c>
      <c r="BM74" s="47" t="str">
        <f t="shared" si="4"/>
        <v/>
      </c>
      <c r="BN74" s="47" t="str">
        <f t="shared" si="5"/>
        <v/>
      </c>
      <c r="BO74" s="47" t="str">
        <f t="shared" si="6"/>
        <v/>
      </c>
      <c r="BP74" s="47" t="str">
        <f t="shared" si="7"/>
        <v/>
      </c>
      <c r="BQ74" s="48" t="str">
        <f t="shared" si="8"/>
        <v/>
      </c>
      <c r="BR74" s="48" t="str">
        <f t="shared" si="9"/>
        <v/>
      </c>
      <c r="BS74" s="48" t="str">
        <f t="shared" si="10"/>
        <v/>
      </c>
      <c r="BT74" s="47" t="str">
        <f t="shared" si="11"/>
        <v/>
      </c>
      <c r="CA74" s="47" t="str">
        <f t="shared" si="12"/>
        <v/>
      </c>
      <c r="CB74" s="47" t="str">
        <f t="shared" si="13"/>
        <v/>
      </c>
      <c r="CC74" s="47" t="str">
        <f t="shared" si="14"/>
        <v/>
      </c>
      <c r="CD74" s="47" t="str">
        <f t="shared" si="15"/>
        <v/>
      </c>
      <c r="CE74" s="47" t="str">
        <f>IF(AH74="","",IF(OR(AI74&lt;&gt;'Seasonal Tercile Tally'!$B$3,AM74&lt;&gt;'Seasonal Tercile Tally'!$B$4),"Other site/ season",IF(DT74=0,"Excluded: duplicate (later row)",IF(N74&lt;&gt;1,"Excluded: not sighted",IF(AC74&lt;&gt;1,"Excluded: not confirmed",IF(AD74&lt;&gt;1,"Excluded: not approved",IF(AP74="Contested","Excluded: contested",IF(OR(U74="",U74=0),"Excluded: no tercile",IF(CB74="","Counted (simple tally only — no weight)","Counted")))))))))</f>
        <v/>
      </c>
      <c r="CF74" s="49" t="str">
        <f>IF(AH74="","",IFERROR(INDEX('Prior Multipliers'!$C$6:$C$70,MATCH(LEFT(AH74,10),'Prior Multipliers'!$A$6:$A$70,0)),IFERROR(INDEX('Prior Multipliers'!$C$6:$C$70,MATCH(LEFT(AH74,6),'Prior Multipliers'!$A$6:$A$70,0)),IFERROR(INDEX('Prior Multipliers'!$C$6:$C$70,MATCH(LEFT(AH74,2),'Prior Multipliers'!$A$6:$A$70,0)),1))))</f>
        <v/>
      </c>
      <c r="CG74" s="49" t="str">
        <f>IF(CB74="","",IF(AND('Seasonal Tercile Tally'!$B$5=1,BT74="Rating-based"),CB74*CF74,CB74))</f>
        <v/>
      </c>
      <c r="CH74" s="47">
        <f t="shared" si="16"/>
        <v>0</v>
      </c>
      <c r="CI74" s="45"/>
      <c r="CJ74" s="42" t="str">
        <f t="shared" si="17"/>
        <v/>
      </c>
      <c r="CM74" s="42" t="str">
        <f t="shared" si="18"/>
        <v/>
      </c>
      <c r="CP74" s="46" t="str">
        <f t="shared" si="19"/>
        <v/>
      </c>
      <c r="CS74" s="46" t="str">
        <f t="shared" si="20"/>
        <v/>
      </c>
      <c r="CT74" s="42" t="str">
        <f t="shared" si="21"/>
        <v/>
      </c>
      <c r="CU74" s="42" t="str">
        <f t="shared" si="22"/>
        <v/>
      </c>
      <c r="CV74" s="42" t="str">
        <f t="shared" si="23"/>
        <v/>
      </c>
      <c r="DB74" s="45"/>
      <c r="DH74" s="42" t="str">
        <f t="shared" si="24"/>
        <v/>
      </c>
      <c r="DI74" s="43" t="str">
        <f t="shared" si="25"/>
        <v/>
      </c>
      <c r="DK74" s="46" t="str">
        <f t="shared" si="26"/>
        <v/>
      </c>
      <c r="DQ74" s="42" t="str">
        <f>IF(AH74="","",IFERROR(ROUND(100*('Weighting Options'!$D$7*IF(ISNUMBER(CA74),CA74/3,0)+'Weighting Options'!$D$8*MIN(N(BL74),3)/3+'Weighting Options'!$D$9*IF(AP74="Community/Plenary-endorsed",1,IF(AP74="FGD-validated only",0.75,IF(AP74="Sub-community-specific",0.5,IF(AP74="Provisional/emerging",0.25,0))))+'Weighting Options'!$D$10*IF(ISNUMBER(K74),K74/3,0)+'Weighting Options'!$D$11*IF(CC74="",0.5,IF(CC74="OK",1,0.25))+'Weighting Options'!$D$12*IF(DK74="",0.5,IF(DK74="Agrees",1,IF(DK74="Opposite",0,0.5)))+'Weighting Options'!$D$13*MIN(N(BG74),3)/3+'Weighting Options'!$D$14*IF(AE74=1,1,0))/SUM('Weighting Options'!$D$7:$D$14),0),""))</f>
        <v/>
      </c>
      <c r="DR74" s="44" t="str">
        <f>IF(AH74="","",IFERROR(INDEX('Weighting Options'!$D$20:$D$27,VALUE(LEFT(TRIM(BU74),1))),1))</f>
        <v/>
      </c>
      <c r="DS74" s="44" t="str">
        <f t="shared" si="27"/>
        <v/>
      </c>
      <c r="DT74" s="42" t="str">
        <f>IF(AH74="","",IF(COUNTIFS($AH$12:AH74,AH74,$AI$12:AI74,AI74,$AM$12:AM74,AM74)=1,1,0))</f>
        <v/>
      </c>
    </row>
    <row r="75" spans="16:124" ht="12.75" customHeight="1" x14ac:dyDescent="0.35">
      <c r="P75" s="41"/>
      <c r="Q75" s="41"/>
      <c r="R75" s="41"/>
      <c r="S75" s="41"/>
      <c r="AH75" s="40"/>
      <c r="AP75" s="40"/>
      <c r="AS75" s="41"/>
      <c r="AT75" s="41"/>
      <c r="AW75" t="str">
        <f t="shared" si="0"/>
        <v/>
      </c>
      <c r="AX75" t="str">
        <f t="shared" si="1"/>
        <v/>
      </c>
      <c r="AY75" t="str">
        <f t="shared" si="2"/>
        <v/>
      </c>
      <c r="AZ75" s="40"/>
      <c r="BL75" s="47" t="str">
        <f t="shared" si="3"/>
        <v/>
      </c>
      <c r="BM75" s="47" t="str">
        <f t="shared" si="4"/>
        <v/>
      </c>
      <c r="BN75" s="47" t="str">
        <f t="shared" si="5"/>
        <v/>
      </c>
      <c r="BO75" s="47" t="str">
        <f t="shared" si="6"/>
        <v/>
      </c>
      <c r="BP75" s="47" t="str">
        <f t="shared" si="7"/>
        <v/>
      </c>
      <c r="BQ75" s="48" t="str">
        <f t="shared" si="8"/>
        <v/>
      </c>
      <c r="BR75" s="48" t="str">
        <f t="shared" si="9"/>
        <v/>
      </c>
      <c r="BS75" s="48" t="str">
        <f t="shared" si="10"/>
        <v/>
      </c>
      <c r="BT75" s="47" t="str">
        <f t="shared" si="11"/>
        <v/>
      </c>
      <c r="CA75" s="47" t="str">
        <f t="shared" si="12"/>
        <v/>
      </c>
      <c r="CB75" s="47" t="str">
        <f t="shared" si="13"/>
        <v/>
      </c>
      <c r="CC75" s="47" t="str">
        <f t="shared" si="14"/>
        <v/>
      </c>
      <c r="CD75" s="47" t="str">
        <f t="shared" si="15"/>
        <v/>
      </c>
      <c r="CE75" s="47" t="str">
        <f>IF(AH75="","",IF(OR(AI75&lt;&gt;'Seasonal Tercile Tally'!$B$3,AM75&lt;&gt;'Seasonal Tercile Tally'!$B$4),"Other site/ season",IF(DT75=0,"Excluded: duplicate (later row)",IF(N75&lt;&gt;1,"Excluded: not sighted",IF(AC75&lt;&gt;1,"Excluded: not confirmed",IF(AD75&lt;&gt;1,"Excluded: not approved",IF(AP75="Contested","Excluded: contested",IF(OR(U75="",U75=0),"Excluded: no tercile",IF(CB75="","Counted (simple tally only — no weight)","Counted")))))))))</f>
        <v/>
      </c>
      <c r="CF75" s="49" t="str">
        <f>IF(AH75="","",IFERROR(INDEX('Prior Multipliers'!$C$6:$C$70,MATCH(LEFT(AH75,10),'Prior Multipliers'!$A$6:$A$70,0)),IFERROR(INDEX('Prior Multipliers'!$C$6:$C$70,MATCH(LEFT(AH75,6),'Prior Multipliers'!$A$6:$A$70,0)),IFERROR(INDEX('Prior Multipliers'!$C$6:$C$70,MATCH(LEFT(AH75,2),'Prior Multipliers'!$A$6:$A$70,0)),1))))</f>
        <v/>
      </c>
      <c r="CG75" s="49" t="str">
        <f>IF(CB75="","",IF(AND('Seasonal Tercile Tally'!$B$5=1,BT75="Rating-based"),CB75*CF75,CB75))</f>
        <v/>
      </c>
      <c r="CH75" s="47">
        <f t="shared" si="16"/>
        <v>0</v>
      </c>
      <c r="CI75" s="45"/>
      <c r="CJ75" s="42" t="str">
        <f t="shared" si="17"/>
        <v/>
      </c>
      <c r="CM75" s="42" t="str">
        <f t="shared" si="18"/>
        <v/>
      </c>
      <c r="CP75" s="46" t="str">
        <f t="shared" si="19"/>
        <v/>
      </c>
      <c r="CS75" s="46" t="str">
        <f t="shared" si="20"/>
        <v/>
      </c>
      <c r="CT75" s="42" t="str">
        <f t="shared" si="21"/>
        <v/>
      </c>
      <c r="CU75" s="42" t="str">
        <f t="shared" si="22"/>
        <v/>
      </c>
      <c r="CV75" s="42" t="str">
        <f t="shared" si="23"/>
        <v/>
      </c>
      <c r="DB75" s="45"/>
      <c r="DH75" s="42" t="str">
        <f t="shared" si="24"/>
        <v/>
      </c>
      <c r="DI75" s="43" t="str">
        <f t="shared" si="25"/>
        <v/>
      </c>
      <c r="DK75" s="46" t="str">
        <f t="shared" si="26"/>
        <v/>
      </c>
      <c r="DQ75" s="42" t="str">
        <f>IF(AH75="","",IFERROR(ROUND(100*('Weighting Options'!$D$7*IF(ISNUMBER(CA75),CA75/3,0)+'Weighting Options'!$D$8*MIN(N(BL75),3)/3+'Weighting Options'!$D$9*IF(AP75="Community/Plenary-endorsed",1,IF(AP75="FGD-validated only",0.75,IF(AP75="Sub-community-specific",0.5,IF(AP75="Provisional/emerging",0.25,0))))+'Weighting Options'!$D$10*IF(ISNUMBER(K75),K75/3,0)+'Weighting Options'!$D$11*IF(CC75="",0.5,IF(CC75="OK",1,0.25))+'Weighting Options'!$D$12*IF(DK75="",0.5,IF(DK75="Agrees",1,IF(DK75="Opposite",0,0.5)))+'Weighting Options'!$D$13*MIN(N(BG75),3)/3+'Weighting Options'!$D$14*IF(AE75=1,1,0))/SUM('Weighting Options'!$D$7:$D$14),0),""))</f>
        <v/>
      </c>
      <c r="DR75" s="44" t="str">
        <f>IF(AH75="","",IFERROR(INDEX('Weighting Options'!$D$20:$D$27,VALUE(LEFT(TRIM(BU75),1))),1))</f>
        <v/>
      </c>
      <c r="DS75" s="44" t="str">
        <f t="shared" si="27"/>
        <v/>
      </c>
      <c r="DT75" s="42" t="str">
        <f>IF(AH75="","",IF(COUNTIFS($AH$12:AH75,AH75,$AI$12:AI75,AI75,$AM$12:AM75,AM75)=1,1,0))</f>
        <v/>
      </c>
    </row>
    <row r="76" spans="16:124" ht="12.75" customHeight="1" x14ac:dyDescent="0.35">
      <c r="P76" s="41"/>
      <c r="Q76" s="41"/>
      <c r="R76" s="41"/>
      <c r="S76" s="41"/>
      <c r="AH76" s="40"/>
      <c r="AP76" s="40"/>
      <c r="AS76" s="41"/>
      <c r="AT76" s="41"/>
      <c r="AW76" t="str">
        <f t="shared" ref="AW76:AW139" si="28">IF(OR(AS76="",P76=""),"",IF(AS76&lt;P76,"Early",IF(AS76&gt;IF(Q76="",P76,Q76),"Late","Within window")))</f>
        <v/>
      </c>
      <c r="AX76" t="str">
        <f t="shared" ref="AX76:AX139" si="29">IF(OR(AT76="",R76=""),"",IF(AT76&lt;R76,"Early",IF(AT76&gt;IF(S76="",R76,S76),"Late","Within window")))</f>
        <v/>
      </c>
      <c r="AY76" t="str">
        <f t="shared" ref="AY76:AY139" si="30">IF(OR(AU76="",T76="",T76=0),"",IF(AU76=T76,"Matched",IF(ABS(AU76-T76)=1,"Off by one class","Missed")))</f>
        <v/>
      </c>
      <c r="AZ76" s="40"/>
      <c r="BL76" s="47" t="str">
        <f t="shared" ref="BL76:BL139" si="31">IF(AH76="","",COUNTIFS($AH$12:$AH$500,AH76,$AC$12:$AC$500,1,$AD$12:$AD$500,1,$DT$12:$DT$500,1))</f>
        <v/>
      </c>
      <c r="BM76" s="47" t="str">
        <f t="shared" ref="BM76:BM139" si="32">IF(AH76="","",BN76+BO76+BP76)</f>
        <v/>
      </c>
      <c r="BN76" s="47" t="str">
        <f t="shared" ref="BN76:BN139" si="33">IF(AH76="","",COUNTIFS($AH$12:$AH$500,AH76,$AZ$12:$AZ$500,"Hit",$DT$12:$DT$500,1))</f>
        <v/>
      </c>
      <c r="BO76" s="47" t="str">
        <f t="shared" ref="BO76:BO139" si="34">IF(AH76="","",COUNTIFS($AH$12:$AH$500,AH76,$AZ$12:$AZ$500,"Miss",$DT$12:$DT$500,1))</f>
        <v/>
      </c>
      <c r="BP76" s="47" t="str">
        <f t="shared" ref="BP76:BP139" si="35">IF(AH76="","",COUNTIFS($AH$12:$AH$500,AH76,$AZ$12:$AZ$500,"False Start",$DT$12:$DT$500,1))</f>
        <v/>
      </c>
      <c r="BQ76" s="48" t="str">
        <f t="shared" ref="BQ76:BQ139" si="36">IF(OR(AH76="",BM76="",BM76=0),"",BN76/BM76)</f>
        <v/>
      </c>
      <c r="BR76" s="48" t="str">
        <f t="shared" ref="BR76:BR139" si="37">IF(OR(AH76="",BM76="",BM76=0),"",BO76/BM76)</f>
        <v/>
      </c>
      <c r="BS76" s="48" t="str">
        <f t="shared" ref="BS76:BS139" si="38">IF(OR(AH76="",BM76="",BM76=0),"",BP76/BM76)</f>
        <v/>
      </c>
      <c r="BT76" s="47" t="str">
        <f t="shared" ref="BT76:BT139" si="39">IF(AH76="","",IF(BM76&gt;=3,"Hit-rate-based","Rating-based"))</f>
        <v/>
      </c>
      <c r="CA76" s="47" t="str">
        <f t="shared" ref="CA76:CA139" si="40">IF(AH76="","",IF(BT76="Hit-rate-based",MIN(IF(BL76&lt;2,2,3),IF(BQ76&gt;=0.7,3,IF(BQ76&gt;=0.4,2,1))),IF(OR(M76="",M76=0),"",MIN(IF(BL76&lt;2,2,3),M76))))</f>
        <v/>
      </c>
      <c r="CB76" s="47" t="str">
        <f t="shared" ref="CB76:CB139" si="41">IF(OR(AH76="",CA76=""),"",CA76*IF(OR(V76="",V76=0),1,V76))</f>
        <v/>
      </c>
      <c r="CC76" s="47" t="str">
        <f t="shared" ref="CC76:CC139" si="42">IF(OR(AH76="",L76="",M76="",L76=0,M76=0),"",IF(ABS(L76-M76)&gt;=2,"FLAG: Review — large swing","OK"))</f>
        <v/>
      </c>
      <c r="CD76" s="47" t="str">
        <f t="shared" ref="CD76:CD139" si="43">IF(AH76="","",IF(COUNTIFS($AH$12:$AH$500,AH76,$AI$12:$AI$500,AI76,$AM$12:$AM$500,AM76)&gt;1,"DUPLICATE: same ID, site and season",IF(AND(N76=1,U76&lt;&gt;"",U76&lt;&gt;0,OR(V76="",V76=0)),"Check: decision relevance missing","OK")))</f>
        <v/>
      </c>
      <c r="CE76" s="47" t="str">
        <f>IF(AH76="","",IF(OR(AI76&lt;&gt;'Seasonal Tercile Tally'!$B$3,AM76&lt;&gt;'Seasonal Tercile Tally'!$B$4),"Other site/ season",IF(DT76=0,"Excluded: duplicate (later row)",IF(N76&lt;&gt;1,"Excluded: not sighted",IF(AC76&lt;&gt;1,"Excluded: not confirmed",IF(AD76&lt;&gt;1,"Excluded: not approved",IF(AP76="Contested","Excluded: contested",IF(OR(U76="",U76=0),"Excluded: no tercile",IF(CB76="","Counted (simple tally only — no weight)","Counted")))))))))</f>
        <v/>
      </c>
      <c r="CF76" s="49" t="str">
        <f>IF(AH76="","",IFERROR(INDEX('Prior Multipliers'!$C$6:$C$70,MATCH(LEFT(AH76,10),'Prior Multipliers'!$A$6:$A$70,0)),IFERROR(INDEX('Prior Multipliers'!$C$6:$C$70,MATCH(LEFT(AH76,6),'Prior Multipliers'!$A$6:$A$70,0)),IFERROR(INDEX('Prior Multipliers'!$C$6:$C$70,MATCH(LEFT(AH76,2),'Prior Multipliers'!$A$6:$A$70,0)),1))))</f>
        <v/>
      </c>
      <c r="CG76" s="49" t="str">
        <f>IF(CB76="","",IF(AND('Seasonal Tercile Tally'!$B$5=1,BT76="Rating-based"),CB76*CF76,CB76))</f>
        <v/>
      </c>
      <c r="CH76" s="47">
        <f t="shared" ref="CH76:CH139" si="44">IF(ISNUMBER(CG76),CG76,0)</f>
        <v>0</v>
      </c>
      <c r="CI76" s="45"/>
      <c r="CJ76" s="42" t="str">
        <f t="shared" ref="CJ76:CJ139" si="45">IF(CI76="","",MONTH(CI76))</f>
        <v/>
      </c>
      <c r="CM76" s="42" t="str">
        <f t="shared" ref="CM76:CM139" si="46">IF(OR(CJ76="",CL76=""),"",MOD(CJ76-CL76+6,12)-6)</f>
        <v/>
      </c>
      <c r="CP76" s="46" t="str">
        <f t="shared" ref="CP76:CP139" si="47">IF(AH76="","",CHOOSE(MIN(IF(CM76="",0,IF(ABS(CM76)&gt;=1,1,0))+IF(LEFT(CC76,4)="FLAG",1,0)+IF(OR(CN76="",CN76="No change",CN76="Not sure"),0,1)+IF(AND(ISNUMBER(L76),ISNUMBER(M76)),IF(AND(M76&gt;0,L76-M76&gt;=1),1,0),0)+IF(N(BM76)&gt;=3,IF(N(BQ76)&lt;0.4,1,0),0),2)+1,"No change signal","Watch: one change signal","STRONG: possible climate-change impact — review"))</f>
        <v/>
      </c>
      <c r="CS76" s="46" t="str">
        <f t="shared" ref="CS76:CS139" si="48">IF(CR76="","",IF(CR76&gt;=35,3,IF(CR76&gt;=20,2,1)))</f>
        <v/>
      </c>
      <c r="CT76" s="42" t="str">
        <f t="shared" ref="CT76:CT139" si="49">IF(OR(CS76="",CQ76="",CQ76=0),"",IF(CQ76=CS76,"Matched",IF(ABS(CQ76-CS76)=1,"Off by one class","Missed")))</f>
        <v/>
      </c>
      <c r="CU76" s="42" t="str">
        <f t="shared" ref="CU76:CU139" si="50">IF(OR(CI76="",P76=""),"",IF(P76-CI76&lt;0,"",P76-CI76))</f>
        <v/>
      </c>
      <c r="CV76" s="42" t="str">
        <f t="shared" ref="CV76:CV139" si="51">IF(CU76="","",IF(CU76&gt;=60,"Strategic (season)",IF(CU76&gt;=7,"Tactical (1 week–2 months)",IF(CU76&gt;=3,"Operational (3–6 days)","Emergency (0–2 days)"))))</f>
        <v/>
      </c>
      <c r="DB76" s="45"/>
      <c r="DH76" s="42" t="str">
        <f t="shared" ref="DH76:DH139" si="52">IF(OR(DB76="",P76=""),"",P76-DB76)</f>
        <v/>
      </c>
      <c r="DI76" s="43" t="str">
        <f t="shared" ref="DI76:DI139" si="53">IF(OR(DD76="",DE76=""),"",IF(DD76=0,"",DE76/DD76))</f>
        <v/>
      </c>
      <c r="DK76" s="46" t="str">
        <f t="shared" ref="DK76:DK139" si="54">IF(OR(DJ76="",U76="",U76=0),"",IF(U76=DJ76,"Agrees",IF(ABS(U76-DJ76)=1,"Differs by one class","Opposite")))</f>
        <v/>
      </c>
      <c r="DQ76" s="42" t="str">
        <f>IF(AH76="","",IFERROR(ROUND(100*('Weighting Options'!$D$7*IF(ISNUMBER(CA76),CA76/3,0)+'Weighting Options'!$D$8*MIN(N(BL76),3)/3+'Weighting Options'!$D$9*IF(AP76="Community/Plenary-endorsed",1,IF(AP76="FGD-validated only",0.75,IF(AP76="Sub-community-specific",0.5,IF(AP76="Provisional/emerging",0.25,0))))+'Weighting Options'!$D$10*IF(ISNUMBER(K76),K76/3,0)+'Weighting Options'!$D$11*IF(CC76="",0.5,IF(CC76="OK",1,0.25))+'Weighting Options'!$D$12*IF(DK76="",0.5,IF(DK76="Agrees",1,IF(DK76="Opposite",0,0.5)))+'Weighting Options'!$D$13*MIN(N(BG76),3)/3+'Weighting Options'!$D$14*IF(AE76=1,1,0))/SUM('Weighting Options'!$D$7:$D$14),0),""))</f>
        <v/>
      </c>
      <c r="DR76" s="44" t="str">
        <f>IF(AH76="","",IFERROR(INDEX('Weighting Options'!$D$20:$D$27,VALUE(LEFT(TRIM(BU76),1))),1))</f>
        <v/>
      </c>
      <c r="DS76" s="44" t="str">
        <f t="shared" ref="DS76:DS139" si="55">IF(OR(CG76="",DR76=""),"",CG76*DR76)</f>
        <v/>
      </c>
      <c r="DT76" s="42" t="str">
        <f>IF(AH76="","",IF(COUNTIFS($AH$12:AH76,AH76,$AI$12:AI76,AI76,$AM$12:AM76,AM76)=1,1,0))</f>
        <v/>
      </c>
    </row>
    <row r="77" spans="16:124" ht="12.75" customHeight="1" x14ac:dyDescent="0.35">
      <c r="P77" s="41"/>
      <c r="Q77" s="41"/>
      <c r="R77" s="41"/>
      <c r="S77" s="41"/>
      <c r="AH77" s="40"/>
      <c r="AP77" s="40"/>
      <c r="AS77" s="41"/>
      <c r="AT77" s="41"/>
      <c r="AW77" t="str">
        <f t="shared" si="28"/>
        <v/>
      </c>
      <c r="AX77" t="str">
        <f t="shared" si="29"/>
        <v/>
      </c>
      <c r="AY77" t="str">
        <f t="shared" si="30"/>
        <v/>
      </c>
      <c r="AZ77" s="40"/>
      <c r="BL77" s="47" t="str">
        <f t="shared" si="31"/>
        <v/>
      </c>
      <c r="BM77" s="47" t="str">
        <f t="shared" si="32"/>
        <v/>
      </c>
      <c r="BN77" s="47" t="str">
        <f t="shared" si="33"/>
        <v/>
      </c>
      <c r="BO77" s="47" t="str">
        <f t="shared" si="34"/>
        <v/>
      </c>
      <c r="BP77" s="47" t="str">
        <f t="shared" si="35"/>
        <v/>
      </c>
      <c r="BQ77" s="48" t="str">
        <f t="shared" si="36"/>
        <v/>
      </c>
      <c r="BR77" s="48" t="str">
        <f t="shared" si="37"/>
        <v/>
      </c>
      <c r="BS77" s="48" t="str">
        <f t="shared" si="38"/>
        <v/>
      </c>
      <c r="BT77" s="47" t="str">
        <f t="shared" si="39"/>
        <v/>
      </c>
      <c r="CA77" s="47" t="str">
        <f t="shared" si="40"/>
        <v/>
      </c>
      <c r="CB77" s="47" t="str">
        <f t="shared" si="41"/>
        <v/>
      </c>
      <c r="CC77" s="47" t="str">
        <f t="shared" si="42"/>
        <v/>
      </c>
      <c r="CD77" s="47" t="str">
        <f t="shared" si="43"/>
        <v/>
      </c>
      <c r="CE77" s="47" t="str">
        <f>IF(AH77="","",IF(OR(AI77&lt;&gt;'Seasonal Tercile Tally'!$B$3,AM77&lt;&gt;'Seasonal Tercile Tally'!$B$4),"Other site/ season",IF(DT77=0,"Excluded: duplicate (later row)",IF(N77&lt;&gt;1,"Excluded: not sighted",IF(AC77&lt;&gt;1,"Excluded: not confirmed",IF(AD77&lt;&gt;1,"Excluded: not approved",IF(AP77="Contested","Excluded: contested",IF(OR(U77="",U77=0),"Excluded: no tercile",IF(CB77="","Counted (simple tally only — no weight)","Counted")))))))))</f>
        <v/>
      </c>
      <c r="CF77" s="49" t="str">
        <f>IF(AH77="","",IFERROR(INDEX('Prior Multipliers'!$C$6:$C$70,MATCH(LEFT(AH77,10),'Prior Multipliers'!$A$6:$A$70,0)),IFERROR(INDEX('Prior Multipliers'!$C$6:$C$70,MATCH(LEFT(AH77,6),'Prior Multipliers'!$A$6:$A$70,0)),IFERROR(INDEX('Prior Multipliers'!$C$6:$C$70,MATCH(LEFT(AH77,2),'Prior Multipliers'!$A$6:$A$70,0)),1))))</f>
        <v/>
      </c>
      <c r="CG77" s="49" t="str">
        <f>IF(CB77="","",IF(AND('Seasonal Tercile Tally'!$B$5=1,BT77="Rating-based"),CB77*CF77,CB77))</f>
        <v/>
      </c>
      <c r="CH77" s="47">
        <f t="shared" si="44"/>
        <v>0</v>
      </c>
      <c r="CI77" s="45"/>
      <c r="CJ77" s="42" t="str">
        <f t="shared" si="45"/>
        <v/>
      </c>
      <c r="CM77" s="42" t="str">
        <f t="shared" si="46"/>
        <v/>
      </c>
      <c r="CP77" s="46" t="str">
        <f t="shared" si="47"/>
        <v/>
      </c>
      <c r="CS77" s="46" t="str">
        <f t="shared" si="48"/>
        <v/>
      </c>
      <c r="CT77" s="42" t="str">
        <f t="shared" si="49"/>
        <v/>
      </c>
      <c r="CU77" s="42" t="str">
        <f t="shared" si="50"/>
        <v/>
      </c>
      <c r="CV77" s="42" t="str">
        <f t="shared" si="51"/>
        <v/>
      </c>
      <c r="DB77" s="45"/>
      <c r="DH77" s="42" t="str">
        <f t="shared" si="52"/>
        <v/>
      </c>
      <c r="DI77" s="43" t="str">
        <f t="shared" si="53"/>
        <v/>
      </c>
      <c r="DK77" s="46" t="str">
        <f t="shared" si="54"/>
        <v/>
      </c>
      <c r="DQ77" s="42" t="str">
        <f>IF(AH77="","",IFERROR(ROUND(100*('Weighting Options'!$D$7*IF(ISNUMBER(CA77),CA77/3,0)+'Weighting Options'!$D$8*MIN(N(BL77),3)/3+'Weighting Options'!$D$9*IF(AP77="Community/Plenary-endorsed",1,IF(AP77="FGD-validated only",0.75,IF(AP77="Sub-community-specific",0.5,IF(AP77="Provisional/emerging",0.25,0))))+'Weighting Options'!$D$10*IF(ISNUMBER(K77),K77/3,0)+'Weighting Options'!$D$11*IF(CC77="",0.5,IF(CC77="OK",1,0.25))+'Weighting Options'!$D$12*IF(DK77="",0.5,IF(DK77="Agrees",1,IF(DK77="Opposite",0,0.5)))+'Weighting Options'!$D$13*MIN(N(BG77),3)/3+'Weighting Options'!$D$14*IF(AE77=1,1,0))/SUM('Weighting Options'!$D$7:$D$14),0),""))</f>
        <v/>
      </c>
      <c r="DR77" s="44" t="str">
        <f>IF(AH77="","",IFERROR(INDEX('Weighting Options'!$D$20:$D$27,VALUE(LEFT(TRIM(BU77),1))),1))</f>
        <v/>
      </c>
      <c r="DS77" s="44" t="str">
        <f t="shared" si="55"/>
        <v/>
      </c>
      <c r="DT77" s="42" t="str">
        <f>IF(AH77="","",IF(COUNTIFS($AH$12:AH77,AH77,$AI$12:AI77,AI77,$AM$12:AM77,AM77)=1,1,0))</f>
        <v/>
      </c>
    </row>
    <row r="78" spans="16:124" ht="12.75" customHeight="1" x14ac:dyDescent="0.35">
      <c r="P78" s="41"/>
      <c r="Q78" s="41"/>
      <c r="R78" s="41"/>
      <c r="S78" s="41"/>
      <c r="AH78" s="40"/>
      <c r="AP78" s="40"/>
      <c r="AS78" s="41"/>
      <c r="AT78" s="41"/>
      <c r="AW78" t="str">
        <f t="shared" si="28"/>
        <v/>
      </c>
      <c r="AX78" t="str">
        <f t="shared" si="29"/>
        <v/>
      </c>
      <c r="AY78" t="str">
        <f t="shared" si="30"/>
        <v/>
      </c>
      <c r="AZ78" s="40"/>
      <c r="BL78" s="47" t="str">
        <f t="shared" si="31"/>
        <v/>
      </c>
      <c r="BM78" s="47" t="str">
        <f t="shared" si="32"/>
        <v/>
      </c>
      <c r="BN78" s="47" t="str">
        <f t="shared" si="33"/>
        <v/>
      </c>
      <c r="BO78" s="47" t="str">
        <f t="shared" si="34"/>
        <v/>
      </c>
      <c r="BP78" s="47" t="str">
        <f t="shared" si="35"/>
        <v/>
      </c>
      <c r="BQ78" s="48" t="str">
        <f t="shared" si="36"/>
        <v/>
      </c>
      <c r="BR78" s="48" t="str">
        <f t="shared" si="37"/>
        <v/>
      </c>
      <c r="BS78" s="48" t="str">
        <f t="shared" si="38"/>
        <v/>
      </c>
      <c r="BT78" s="47" t="str">
        <f t="shared" si="39"/>
        <v/>
      </c>
      <c r="CA78" s="47" t="str">
        <f t="shared" si="40"/>
        <v/>
      </c>
      <c r="CB78" s="47" t="str">
        <f t="shared" si="41"/>
        <v/>
      </c>
      <c r="CC78" s="47" t="str">
        <f t="shared" si="42"/>
        <v/>
      </c>
      <c r="CD78" s="47" t="str">
        <f t="shared" si="43"/>
        <v/>
      </c>
      <c r="CE78" s="47" t="str">
        <f>IF(AH78="","",IF(OR(AI78&lt;&gt;'Seasonal Tercile Tally'!$B$3,AM78&lt;&gt;'Seasonal Tercile Tally'!$B$4),"Other site/ season",IF(DT78=0,"Excluded: duplicate (later row)",IF(N78&lt;&gt;1,"Excluded: not sighted",IF(AC78&lt;&gt;1,"Excluded: not confirmed",IF(AD78&lt;&gt;1,"Excluded: not approved",IF(AP78="Contested","Excluded: contested",IF(OR(U78="",U78=0),"Excluded: no tercile",IF(CB78="","Counted (simple tally only — no weight)","Counted")))))))))</f>
        <v/>
      </c>
      <c r="CF78" s="49" t="str">
        <f>IF(AH78="","",IFERROR(INDEX('Prior Multipliers'!$C$6:$C$70,MATCH(LEFT(AH78,10),'Prior Multipliers'!$A$6:$A$70,0)),IFERROR(INDEX('Prior Multipliers'!$C$6:$C$70,MATCH(LEFT(AH78,6),'Prior Multipliers'!$A$6:$A$70,0)),IFERROR(INDEX('Prior Multipliers'!$C$6:$C$70,MATCH(LEFT(AH78,2),'Prior Multipliers'!$A$6:$A$70,0)),1))))</f>
        <v/>
      </c>
      <c r="CG78" s="49" t="str">
        <f>IF(CB78="","",IF(AND('Seasonal Tercile Tally'!$B$5=1,BT78="Rating-based"),CB78*CF78,CB78))</f>
        <v/>
      </c>
      <c r="CH78" s="47">
        <f t="shared" si="44"/>
        <v>0</v>
      </c>
      <c r="CI78" s="45"/>
      <c r="CJ78" s="42" t="str">
        <f t="shared" si="45"/>
        <v/>
      </c>
      <c r="CM78" s="42" t="str">
        <f t="shared" si="46"/>
        <v/>
      </c>
      <c r="CP78" s="46" t="str">
        <f t="shared" si="47"/>
        <v/>
      </c>
      <c r="CS78" s="46" t="str">
        <f t="shared" si="48"/>
        <v/>
      </c>
      <c r="CT78" s="42" t="str">
        <f t="shared" si="49"/>
        <v/>
      </c>
      <c r="CU78" s="42" t="str">
        <f t="shared" si="50"/>
        <v/>
      </c>
      <c r="CV78" s="42" t="str">
        <f t="shared" si="51"/>
        <v/>
      </c>
      <c r="DB78" s="45"/>
      <c r="DH78" s="42" t="str">
        <f t="shared" si="52"/>
        <v/>
      </c>
      <c r="DI78" s="43" t="str">
        <f t="shared" si="53"/>
        <v/>
      </c>
      <c r="DK78" s="46" t="str">
        <f t="shared" si="54"/>
        <v/>
      </c>
      <c r="DQ78" s="42" t="str">
        <f>IF(AH78="","",IFERROR(ROUND(100*('Weighting Options'!$D$7*IF(ISNUMBER(CA78),CA78/3,0)+'Weighting Options'!$D$8*MIN(N(BL78),3)/3+'Weighting Options'!$D$9*IF(AP78="Community/Plenary-endorsed",1,IF(AP78="FGD-validated only",0.75,IF(AP78="Sub-community-specific",0.5,IF(AP78="Provisional/emerging",0.25,0))))+'Weighting Options'!$D$10*IF(ISNUMBER(K78),K78/3,0)+'Weighting Options'!$D$11*IF(CC78="",0.5,IF(CC78="OK",1,0.25))+'Weighting Options'!$D$12*IF(DK78="",0.5,IF(DK78="Agrees",1,IF(DK78="Opposite",0,0.5)))+'Weighting Options'!$D$13*MIN(N(BG78),3)/3+'Weighting Options'!$D$14*IF(AE78=1,1,0))/SUM('Weighting Options'!$D$7:$D$14),0),""))</f>
        <v/>
      </c>
      <c r="DR78" s="44" t="str">
        <f>IF(AH78="","",IFERROR(INDEX('Weighting Options'!$D$20:$D$27,VALUE(LEFT(TRIM(BU78),1))),1))</f>
        <v/>
      </c>
      <c r="DS78" s="44" t="str">
        <f t="shared" si="55"/>
        <v/>
      </c>
      <c r="DT78" s="42" t="str">
        <f>IF(AH78="","",IF(COUNTIFS($AH$12:AH78,AH78,$AI$12:AI78,AI78,$AM$12:AM78,AM78)=1,1,0))</f>
        <v/>
      </c>
    </row>
    <row r="79" spans="16:124" ht="12.75" customHeight="1" x14ac:dyDescent="0.35">
      <c r="P79" s="41"/>
      <c r="Q79" s="41"/>
      <c r="R79" s="41"/>
      <c r="S79" s="41"/>
      <c r="AH79" s="40"/>
      <c r="AP79" s="40"/>
      <c r="AS79" s="41"/>
      <c r="AT79" s="41"/>
      <c r="AW79" t="str">
        <f t="shared" si="28"/>
        <v/>
      </c>
      <c r="AX79" t="str">
        <f t="shared" si="29"/>
        <v/>
      </c>
      <c r="AY79" t="str">
        <f t="shared" si="30"/>
        <v/>
      </c>
      <c r="AZ79" s="40"/>
      <c r="BL79" s="47" t="str">
        <f t="shared" si="31"/>
        <v/>
      </c>
      <c r="BM79" s="47" t="str">
        <f t="shared" si="32"/>
        <v/>
      </c>
      <c r="BN79" s="47" t="str">
        <f t="shared" si="33"/>
        <v/>
      </c>
      <c r="BO79" s="47" t="str">
        <f t="shared" si="34"/>
        <v/>
      </c>
      <c r="BP79" s="47" t="str">
        <f t="shared" si="35"/>
        <v/>
      </c>
      <c r="BQ79" s="48" t="str">
        <f t="shared" si="36"/>
        <v/>
      </c>
      <c r="BR79" s="48" t="str">
        <f t="shared" si="37"/>
        <v/>
      </c>
      <c r="BS79" s="48" t="str">
        <f t="shared" si="38"/>
        <v/>
      </c>
      <c r="BT79" s="47" t="str">
        <f t="shared" si="39"/>
        <v/>
      </c>
      <c r="CA79" s="47" t="str">
        <f t="shared" si="40"/>
        <v/>
      </c>
      <c r="CB79" s="47" t="str">
        <f t="shared" si="41"/>
        <v/>
      </c>
      <c r="CC79" s="47" t="str">
        <f t="shared" si="42"/>
        <v/>
      </c>
      <c r="CD79" s="47" t="str">
        <f t="shared" si="43"/>
        <v/>
      </c>
      <c r="CE79" s="47" t="str">
        <f>IF(AH79="","",IF(OR(AI79&lt;&gt;'Seasonal Tercile Tally'!$B$3,AM79&lt;&gt;'Seasonal Tercile Tally'!$B$4),"Other site/ season",IF(DT79=0,"Excluded: duplicate (later row)",IF(N79&lt;&gt;1,"Excluded: not sighted",IF(AC79&lt;&gt;1,"Excluded: not confirmed",IF(AD79&lt;&gt;1,"Excluded: not approved",IF(AP79="Contested","Excluded: contested",IF(OR(U79="",U79=0),"Excluded: no tercile",IF(CB79="","Counted (simple tally only — no weight)","Counted")))))))))</f>
        <v/>
      </c>
      <c r="CF79" s="49" t="str">
        <f>IF(AH79="","",IFERROR(INDEX('Prior Multipliers'!$C$6:$C$70,MATCH(LEFT(AH79,10),'Prior Multipliers'!$A$6:$A$70,0)),IFERROR(INDEX('Prior Multipliers'!$C$6:$C$70,MATCH(LEFT(AH79,6),'Prior Multipliers'!$A$6:$A$70,0)),IFERROR(INDEX('Prior Multipliers'!$C$6:$C$70,MATCH(LEFT(AH79,2),'Prior Multipliers'!$A$6:$A$70,0)),1))))</f>
        <v/>
      </c>
      <c r="CG79" s="49" t="str">
        <f>IF(CB79="","",IF(AND('Seasonal Tercile Tally'!$B$5=1,BT79="Rating-based"),CB79*CF79,CB79))</f>
        <v/>
      </c>
      <c r="CH79" s="47">
        <f t="shared" si="44"/>
        <v>0</v>
      </c>
      <c r="CI79" s="45"/>
      <c r="CJ79" s="42" t="str">
        <f t="shared" si="45"/>
        <v/>
      </c>
      <c r="CM79" s="42" t="str">
        <f t="shared" si="46"/>
        <v/>
      </c>
      <c r="CP79" s="46" t="str">
        <f t="shared" si="47"/>
        <v/>
      </c>
      <c r="CS79" s="46" t="str">
        <f t="shared" si="48"/>
        <v/>
      </c>
      <c r="CT79" s="42" t="str">
        <f t="shared" si="49"/>
        <v/>
      </c>
      <c r="CU79" s="42" t="str">
        <f t="shared" si="50"/>
        <v/>
      </c>
      <c r="CV79" s="42" t="str">
        <f t="shared" si="51"/>
        <v/>
      </c>
      <c r="DB79" s="45"/>
      <c r="DH79" s="42" t="str">
        <f t="shared" si="52"/>
        <v/>
      </c>
      <c r="DI79" s="43" t="str">
        <f t="shared" si="53"/>
        <v/>
      </c>
      <c r="DK79" s="46" t="str">
        <f t="shared" si="54"/>
        <v/>
      </c>
      <c r="DQ79" s="42" t="str">
        <f>IF(AH79="","",IFERROR(ROUND(100*('Weighting Options'!$D$7*IF(ISNUMBER(CA79),CA79/3,0)+'Weighting Options'!$D$8*MIN(N(BL79),3)/3+'Weighting Options'!$D$9*IF(AP79="Community/Plenary-endorsed",1,IF(AP79="FGD-validated only",0.75,IF(AP79="Sub-community-specific",0.5,IF(AP79="Provisional/emerging",0.25,0))))+'Weighting Options'!$D$10*IF(ISNUMBER(K79),K79/3,0)+'Weighting Options'!$D$11*IF(CC79="",0.5,IF(CC79="OK",1,0.25))+'Weighting Options'!$D$12*IF(DK79="",0.5,IF(DK79="Agrees",1,IF(DK79="Opposite",0,0.5)))+'Weighting Options'!$D$13*MIN(N(BG79),3)/3+'Weighting Options'!$D$14*IF(AE79=1,1,0))/SUM('Weighting Options'!$D$7:$D$14),0),""))</f>
        <v/>
      </c>
      <c r="DR79" s="44" t="str">
        <f>IF(AH79="","",IFERROR(INDEX('Weighting Options'!$D$20:$D$27,VALUE(LEFT(TRIM(BU79),1))),1))</f>
        <v/>
      </c>
      <c r="DS79" s="44" t="str">
        <f t="shared" si="55"/>
        <v/>
      </c>
      <c r="DT79" s="42" t="str">
        <f>IF(AH79="","",IF(COUNTIFS($AH$12:AH79,AH79,$AI$12:AI79,AI79,$AM$12:AM79,AM79)=1,1,0))</f>
        <v/>
      </c>
    </row>
    <row r="80" spans="16:124" ht="12.75" customHeight="1" x14ac:dyDescent="0.35">
      <c r="P80" s="41"/>
      <c r="Q80" s="41"/>
      <c r="R80" s="41"/>
      <c r="S80" s="41"/>
      <c r="AH80" s="40"/>
      <c r="AP80" s="40"/>
      <c r="AS80" s="41"/>
      <c r="AT80" s="41"/>
      <c r="AW80" t="str">
        <f t="shared" si="28"/>
        <v/>
      </c>
      <c r="AX80" t="str">
        <f t="shared" si="29"/>
        <v/>
      </c>
      <c r="AY80" t="str">
        <f t="shared" si="30"/>
        <v/>
      </c>
      <c r="AZ80" s="40"/>
      <c r="BL80" s="47" t="str">
        <f t="shared" si="31"/>
        <v/>
      </c>
      <c r="BM80" s="47" t="str">
        <f t="shared" si="32"/>
        <v/>
      </c>
      <c r="BN80" s="47" t="str">
        <f t="shared" si="33"/>
        <v/>
      </c>
      <c r="BO80" s="47" t="str">
        <f t="shared" si="34"/>
        <v/>
      </c>
      <c r="BP80" s="47" t="str">
        <f t="shared" si="35"/>
        <v/>
      </c>
      <c r="BQ80" s="48" t="str">
        <f t="shared" si="36"/>
        <v/>
      </c>
      <c r="BR80" s="48" t="str">
        <f t="shared" si="37"/>
        <v/>
      </c>
      <c r="BS80" s="48" t="str">
        <f t="shared" si="38"/>
        <v/>
      </c>
      <c r="BT80" s="47" t="str">
        <f t="shared" si="39"/>
        <v/>
      </c>
      <c r="CA80" s="47" t="str">
        <f t="shared" si="40"/>
        <v/>
      </c>
      <c r="CB80" s="47" t="str">
        <f t="shared" si="41"/>
        <v/>
      </c>
      <c r="CC80" s="47" t="str">
        <f t="shared" si="42"/>
        <v/>
      </c>
      <c r="CD80" s="47" t="str">
        <f t="shared" si="43"/>
        <v/>
      </c>
      <c r="CE80" s="47" t="str">
        <f>IF(AH80="","",IF(OR(AI80&lt;&gt;'Seasonal Tercile Tally'!$B$3,AM80&lt;&gt;'Seasonal Tercile Tally'!$B$4),"Other site/ season",IF(DT80=0,"Excluded: duplicate (later row)",IF(N80&lt;&gt;1,"Excluded: not sighted",IF(AC80&lt;&gt;1,"Excluded: not confirmed",IF(AD80&lt;&gt;1,"Excluded: not approved",IF(AP80="Contested","Excluded: contested",IF(OR(U80="",U80=0),"Excluded: no tercile",IF(CB80="","Counted (simple tally only — no weight)","Counted")))))))))</f>
        <v/>
      </c>
      <c r="CF80" s="49" t="str">
        <f>IF(AH80="","",IFERROR(INDEX('Prior Multipliers'!$C$6:$C$70,MATCH(LEFT(AH80,10),'Prior Multipliers'!$A$6:$A$70,0)),IFERROR(INDEX('Prior Multipliers'!$C$6:$C$70,MATCH(LEFT(AH80,6),'Prior Multipliers'!$A$6:$A$70,0)),IFERROR(INDEX('Prior Multipliers'!$C$6:$C$70,MATCH(LEFT(AH80,2),'Prior Multipliers'!$A$6:$A$70,0)),1))))</f>
        <v/>
      </c>
      <c r="CG80" s="49" t="str">
        <f>IF(CB80="","",IF(AND('Seasonal Tercile Tally'!$B$5=1,BT80="Rating-based"),CB80*CF80,CB80))</f>
        <v/>
      </c>
      <c r="CH80" s="47">
        <f t="shared" si="44"/>
        <v>0</v>
      </c>
      <c r="CI80" s="45"/>
      <c r="CJ80" s="42" t="str">
        <f t="shared" si="45"/>
        <v/>
      </c>
      <c r="CM80" s="42" t="str">
        <f t="shared" si="46"/>
        <v/>
      </c>
      <c r="CP80" s="46" t="str">
        <f t="shared" si="47"/>
        <v/>
      </c>
      <c r="CS80" s="46" t="str">
        <f t="shared" si="48"/>
        <v/>
      </c>
      <c r="CT80" s="42" t="str">
        <f t="shared" si="49"/>
        <v/>
      </c>
      <c r="CU80" s="42" t="str">
        <f t="shared" si="50"/>
        <v/>
      </c>
      <c r="CV80" s="42" t="str">
        <f t="shared" si="51"/>
        <v/>
      </c>
      <c r="DB80" s="45"/>
      <c r="DH80" s="42" t="str">
        <f t="shared" si="52"/>
        <v/>
      </c>
      <c r="DI80" s="43" t="str">
        <f t="shared" si="53"/>
        <v/>
      </c>
      <c r="DK80" s="46" t="str">
        <f t="shared" si="54"/>
        <v/>
      </c>
      <c r="DQ80" s="42" t="str">
        <f>IF(AH80="","",IFERROR(ROUND(100*('Weighting Options'!$D$7*IF(ISNUMBER(CA80),CA80/3,0)+'Weighting Options'!$D$8*MIN(N(BL80),3)/3+'Weighting Options'!$D$9*IF(AP80="Community/Plenary-endorsed",1,IF(AP80="FGD-validated only",0.75,IF(AP80="Sub-community-specific",0.5,IF(AP80="Provisional/emerging",0.25,0))))+'Weighting Options'!$D$10*IF(ISNUMBER(K80),K80/3,0)+'Weighting Options'!$D$11*IF(CC80="",0.5,IF(CC80="OK",1,0.25))+'Weighting Options'!$D$12*IF(DK80="",0.5,IF(DK80="Agrees",1,IF(DK80="Opposite",0,0.5)))+'Weighting Options'!$D$13*MIN(N(BG80),3)/3+'Weighting Options'!$D$14*IF(AE80=1,1,0))/SUM('Weighting Options'!$D$7:$D$14),0),""))</f>
        <v/>
      </c>
      <c r="DR80" s="44" t="str">
        <f>IF(AH80="","",IFERROR(INDEX('Weighting Options'!$D$20:$D$27,VALUE(LEFT(TRIM(BU80),1))),1))</f>
        <v/>
      </c>
      <c r="DS80" s="44" t="str">
        <f t="shared" si="55"/>
        <v/>
      </c>
      <c r="DT80" s="42" t="str">
        <f>IF(AH80="","",IF(COUNTIFS($AH$12:AH80,AH80,$AI$12:AI80,AI80,$AM$12:AM80,AM80)=1,1,0))</f>
        <v/>
      </c>
    </row>
    <row r="81" spans="16:124" ht="12.75" customHeight="1" x14ac:dyDescent="0.35">
      <c r="P81" s="41"/>
      <c r="Q81" s="41"/>
      <c r="R81" s="41"/>
      <c r="S81" s="41"/>
      <c r="AH81" s="40"/>
      <c r="AP81" s="40"/>
      <c r="AS81" s="41"/>
      <c r="AT81" s="41"/>
      <c r="AW81" t="str">
        <f t="shared" si="28"/>
        <v/>
      </c>
      <c r="AX81" t="str">
        <f t="shared" si="29"/>
        <v/>
      </c>
      <c r="AY81" t="str">
        <f t="shared" si="30"/>
        <v/>
      </c>
      <c r="AZ81" s="40"/>
      <c r="BL81" s="47" t="str">
        <f t="shared" si="31"/>
        <v/>
      </c>
      <c r="BM81" s="47" t="str">
        <f t="shared" si="32"/>
        <v/>
      </c>
      <c r="BN81" s="47" t="str">
        <f t="shared" si="33"/>
        <v/>
      </c>
      <c r="BO81" s="47" t="str">
        <f t="shared" si="34"/>
        <v/>
      </c>
      <c r="BP81" s="47" t="str">
        <f t="shared" si="35"/>
        <v/>
      </c>
      <c r="BQ81" s="48" t="str">
        <f t="shared" si="36"/>
        <v/>
      </c>
      <c r="BR81" s="48" t="str">
        <f t="shared" si="37"/>
        <v/>
      </c>
      <c r="BS81" s="48" t="str">
        <f t="shared" si="38"/>
        <v/>
      </c>
      <c r="BT81" s="47" t="str">
        <f t="shared" si="39"/>
        <v/>
      </c>
      <c r="CA81" s="47" t="str">
        <f t="shared" si="40"/>
        <v/>
      </c>
      <c r="CB81" s="47" t="str">
        <f t="shared" si="41"/>
        <v/>
      </c>
      <c r="CC81" s="47" t="str">
        <f t="shared" si="42"/>
        <v/>
      </c>
      <c r="CD81" s="47" t="str">
        <f t="shared" si="43"/>
        <v/>
      </c>
      <c r="CE81" s="47" t="str">
        <f>IF(AH81="","",IF(OR(AI81&lt;&gt;'Seasonal Tercile Tally'!$B$3,AM81&lt;&gt;'Seasonal Tercile Tally'!$B$4),"Other site/ season",IF(DT81=0,"Excluded: duplicate (later row)",IF(N81&lt;&gt;1,"Excluded: not sighted",IF(AC81&lt;&gt;1,"Excluded: not confirmed",IF(AD81&lt;&gt;1,"Excluded: not approved",IF(AP81="Contested","Excluded: contested",IF(OR(U81="",U81=0),"Excluded: no tercile",IF(CB81="","Counted (simple tally only — no weight)","Counted")))))))))</f>
        <v/>
      </c>
      <c r="CF81" s="49" t="str">
        <f>IF(AH81="","",IFERROR(INDEX('Prior Multipliers'!$C$6:$C$70,MATCH(LEFT(AH81,10),'Prior Multipliers'!$A$6:$A$70,0)),IFERROR(INDEX('Prior Multipliers'!$C$6:$C$70,MATCH(LEFT(AH81,6),'Prior Multipliers'!$A$6:$A$70,0)),IFERROR(INDEX('Prior Multipliers'!$C$6:$C$70,MATCH(LEFT(AH81,2),'Prior Multipliers'!$A$6:$A$70,0)),1))))</f>
        <v/>
      </c>
      <c r="CG81" s="49" t="str">
        <f>IF(CB81="","",IF(AND('Seasonal Tercile Tally'!$B$5=1,BT81="Rating-based"),CB81*CF81,CB81))</f>
        <v/>
      </c>
      <c r="CH81" s="47">
        <f t="shared" si="44"/>
        <v>0</v>
      </c>
      <c r="CI81" s="45"/>
      <c r="CJ81" s="42" t="str">
        <f t="shared" si="45"/>
        <v/>
      </c>
      <c r="CM81" s="42" t="str">
        <f t="shared" si="46"/>
        <v/>
      </c>
      <c r="CP81" s="46" t="str">
        <f t="shared" si="47"/>
        <v/>
      </c>
      <c r="CS81" s="46" t="str">
        <f t="shared" si="48"/>
        <v/>
      </c>
      <c r="CT81" s="42" t="str">
        <f t="shared" si="49"/>
        <v/>
      </c>
      <c r="CU81" s="42" t="str">
        <f t="shared" si="50"/>
        <v/>
      </c>
      <c r="CV81" s="42" t="str">
        <f t="shared" si="51"/>
        <v/>
      </c>
      <c r="DB81" s="45"/>
      <c r="DH81" s="42" t="str">
        <f t="shared" si="52"/>
        <v/>
      </c>
      <c r="DI81" s="43" t="str">
        <f t="shared" si="53"/>
        <v/>
      </c>
      <c r="DK81" s="46" t="str">
        <f t="shared" si="54"/>
        <v/>
      </c>
      <c r="DQ81" s="42" t="str">
        <f>IF(AH81="","",IFERROR(ROUND(100*('Weighting Options'!$D$7*IF(ISNUMBER(CA81),CA81/3,0)+'Weighting Options'!$D$8*MIN(N(BL81),3)/3+'Weighting Options'!$D$9*IF(AP81="Community/Plenary-endorsed",1,IF(AP81="FGD-validated only",0.75,IF(AP81="Sub-community-specific",0.5,IF(AP81="Provisional/emerging",0.25,0))))+'Weighting Options'!$D$10*IF(ISNUMBER(K81),K81/3,0)+'Weighting Options'!$D$11*IF(CC81="",0.5,IF(CC81="OK",1,0.25))+'Weighting Options'!$D$12*IF(DK81="",0.5,IF(DK81="Agrees",1,IF(DK81="Opposite",0,0.5)))+'Weighting Options'!$D$13*MIN(N(BG81),3)/3+'Weighting Options'!$D$14*IF(AE81=1,1,0))/SUM('Weighting Options'!$D$7:$D$14),0),""))</f>
        <v/>
      </c>
      <c r="DR81" s="44" t="str">
        <f>IF(AH81="","",IFERROR(INDEX('Weighting Options'!$D$20:$D$27,VALUE(LEFT(TRIM(BU81),1))),1))</f>
        <v/>
      </c>
      <c r="DS81" s="44" t="str">
        <f t="shared" si="55"/>
        <v/>
      </c>
      <c r="DT81" s="42" t="str">
        <f>IF(AH81="","",IF(COUNTIFS($AH$12:AH81,AH81,$AI$12:AI81,AI81,$AM$12:AM81,AM81)=1,1,0))</f>
        <v/>
      </c>
    </row>
    <row r="82" spans="16:124" ht="12.75" customHeight="1" x14ac:dyDescent="0.35">
      <c r="P82" s="41"/>
      <c r="Q82" s="41"/>
      <c r="R82" s="41"/>
      <c r="S82" s="41"/>
      <c r="AH82" s="40"/>
      <c r="AP82" s="40"/>
      <c r="AS82" s="41"/>
      <c r="AT82" s="41"/>
      <c r="AW82" t="str">
        <f t="shared" si="28"/>
        <v/>
      </c>
      <c r="AX82" t="str">
        <f t="shared" si="29"/>
        <v/>
      </c>
      <c r="AY82" t="str">
        <f t="shared" si="30"/>
        <v/>
      </c>
      <c r="AZ82" s="40"/>
      <c r="BL82" s="47" t="str">
        <f t="shared" si="31"/>
        <v/>
      </c>
      <c r="BM82" s="47" t="str">
        <f t="shared" si="32"/>
        <v/>
      </c>
      <c r="BN82" s="47" t="str">
        <f t="shared" si="33"/>
        <v/>
      </c>
      <c r="BO82" s="47" t="str">
        <f t="shared" si="34"/>
        <v/>
      </c>
      <c r="BP82" s="47" t="str">
        <f t="shared" si="35"/>
        <v/>
      </c>
      <c r="BQ82" s="48" t="str">
        <f t="shared" si="36"/>
        <v/>
      </c>
      <c r="BR82" s="48" t="str">
        <f t="shared" si="37"/>
        <v/>
      </c>
      <c r="BS82" s="48" t="str">
        <f t="shared" si="38"/>
        <v/>
      </c>
      <c r="BT82" s="47" t="str">
        <f t="shared" si="39"/>
        <v/>
      </c>
      <c r="CA82" s="47" t="str">
        <f t="shared" si="40"/>
        <v/>
      </c>
      <c r="CB82" s="47" t="str">
        <f t="shared" si="41"/>
        <v/>
      </c>
      <c r="CC82" s="47" t="str">
        <f t="shared" si="42"/>
        <v/>
      </c>
      <c r="CD82" s="47" t="str">
        <f t="shared" si="43"/>
        <v/>
      </c>
      <c r="CE82" s="47" t="str">
        <f>IF(AH82="","",IF(OR(AI82&lt;&gt;'Seasonal Tercile Tally'!$B$3,AM82&lt;&gt;'Seasonal Tercile Tally'!$B$4),"Other site/ season",IF(DT82=0,"Excluded: duplicate (later row)",IF(N82&lt;&gt;1,"Excluded: not sighted",IF(AC82&lt;&gt;1,"Excluded: not confirmed",IF(AD82&lt;&gt;1,"Excluded: not approved",IF(AP82="Contested","Excluded: contested",IF(OR(U82="",U82=0),"Excluded: no tercile",IF(CB82="","Counted (simple tally only — no weight)","Counted")))))))))</f>
        <v/>
      </c>
      <c r="CF82" s="49" t="str">
        <f>IF(AH82="","",IFERROR(INDEX('Prior Multipliers'!$C$6:$C$70,MATCH(LEFT(AH82,10),'Prior Multipliers'!$A$6:$A$70,0)),IFERROR(INDEX('Prior Multipliers'!$C$6:$C$70,MATCH(LEFT(AH82,6),'Prior Multipliers'!$A$6:$A$70,0)),IFERROR(INDEX('Prior Multipliers'!$C$6:$C$70,MATCH(LEFT(AH82,2),'Prior Multipliers'!$A$6:$A$70,0)),1))))</f>
        <v/>
      </c>
      <c r="CG82" s="49" t="str">
        <f>IF(CB82="","",IF(AND('Seasonal Tercile Tally'!$B$5=1,BT82="Rating-based"),CB82*CF82,CB82))</f>
        <v/>
      </c>
      <c r="CH82" s="47">
        <f t="shared" si="44"/>
        <v>0</v>
      </c>
      <c r="CI82" s="45"/>
      <c r="CJ82" s="42" t="str">
        <f t="shared" si="45"/>
        <v/>
      </c>
      <c r="CM82" s="42" t="str">
        <f t="shared" si="46"/>
        <v/>
      </c>
      <c r="CP82" s="46" t="str">
        <f t="shared" si="47"/>
        <v/>
      </c>
      <c r="CS82" s="46" t="str">
        <f t="shared" si="48"/>
        <v/>
      </c>
      <c r="CT82" s="42" t="str">
        <f t="shared" si="49"/>
        <v/>
      </c>
      <c r="CU82" s="42" t="str">
        <f t="shared" si="50"/>
        <v/>
      </c>
      <c r="CV82" s="42" t="str">
        <f t="shared" si="51"/>
        <v/>
      </c>
      <c r="DB82" s="45"/>
      <c r="DH82" s="42" t="str">
        <f t="shared" si="52"/>
        <v/>
      </c>
      <c r="DI82" s="43" t="str">
        <f t="shared" si="53"/>
        <v/>
      </c>
      <c r="DK82" s="46" t="str">
        <f t="shared" si="54"/>
        <v/>
      </c>
      <c r="DQ82" s="42" t="str">
        <f>IF(AH82="","",IFERROR(ROUND(100*('Weighting Options'!$D$7*IF(ISNUMBER(CA82),CA82/3,0)+'Weighting Options'!$D$8*MIN(N(BL82),3)/3+'Weighting Options'!$D$9*IF(AP82="Community/Plenary-endorsed",1,IF(AP82="FGD-validated only",0.75,IF(AP82="Sub-community-specific",0.5,IF(AP82="Provisional/emerging",0.25,0))))+'Weighting Options'!$D$10*IF(ISNUMBER(K82),K82/3,0)+'Weighting Options'!$D$11*IF(CC82="",0.5,IF(CC82="OK",1,0.25))+'Weighting Options'!$D$12*IF(DK82="",0.5,IF(DK82="Agrees",1,IF(DK82="Opposite",0,0.5)))+'Weighting Options'!$D$13*MIN(N(BG82),3)/3+'Weighting Options'!$D$14*IF(AE82=1,1,0))/SUM('Weighting Options'!$D$7:$D$14),0),""))</f>
        <v/>
      </c>
      <c r="DR82" s="44" t="str">
        <f>IF(AH82="","",IFERROR(INDEX('Weighting Options'!$D$20:$D$27,VALUE(LEFT(TRIM(BU82),1))),1))</f>
        <v/>
      </c>
      <c r="DS82" s="44" t="str">
        <f t="shared" si="55"/>
        <v/>
      </c>
      <c r="DT82" s="42" t="str">
        <f>IF(AH82="","",IF(COUNTIFS($AH$12:AH82,AH82,$AI$12:AI82,AI82,$AM$12:AM82,AM82)=1,1,0))</f>
        <v/>
      </c>
    </row>
    <row r="83" spans="16:124" ht="12.75" customHeight="1" x14ac:dyDescent="0.35">
      <c r="P83" s="41"/>
      <c r="Q83" s="41"/>
      <c r="R83" s="41"/>
      <c r="S83" s="41"/>
      <c r="AH83" s="40"/>
      <c r="AP83" s="40"/>
      <c r="AS83" s="41"/>
      <c r="AT83" s="41"/>
      <c r="AW83" t="str">
        <f t="shared" si="28"/>
        <v/>
      </c>
      <c r="AX83" t="str">
        <f t="shared" si="29"/>
        <v/>
      </c>
      <c r="AY83" t="str">
        <f t="shared" si="30"/>
        <v/>
      </c>
      <c r="AZ83" s="40"/>
      <c r="BL83" s="47" t="str">
        <f t="shared" si="31"/>
        <v/>
      </c>
      <c r="BM83" s="47" t="str">
        <f t="shared" si="32"/>
        <v/>
      </c>
      <c r="BN83" s="47" t="str">
        <f t="shared" si="33"/>
        <v/>
      </c>
      <c r="BO83" s="47" t="str">
        <f t="shared" si="34"/>
        <v/>
      </c>
      <c r="BP83" s="47" t="str">
        <f t="shared" si="35"/>
        <v/>
      </c>
      <c r="BQ83" s="48" t="str">
        <f t="shared" si="36"/>
        <v/>
      </c>
      <c r="BR83" s="48" t="str">
        <f t="shared" si="37"/>
        <v/>
      </c>
      <c r="BS83" s="48" t="str">
        <f t="shared" si="38"/>
        <v/>
      </c>
      <c r="BT83" s="47" t="str">
        <f t="shared" si="39"/>
        <v/>
      </c>
      <c r="CA83" s="47" t="str">
        <f t="shared" si="40"/>
        <v/>
      </c>
      <c r="CB83" s="47" t="str">
        <f t="shared" si="41"/>
        <v/>
      </c>
      <c r="CC83" s="47" t="str">
        <f t="shared" si="42"/>
        <v/>
      </c>
      <c r="CD83" s="47" t="str">
        <f t="shared" si="43"/>
        <v/>
      </c>
      <c r="CE83" s="47" t="str">
        <f>IF(AH83="","",IF(OR(AI83&lt;&gt;'Seasonal Tercile Tally'!$B$3,AM83&lt;&gt;'Seasonal Tercile Tally'!$B$4),"Other site/ season",IF(DT83=0,"Excluded: duplicate (later row)",IF(N83&lt;&gt;1,"Excluded: not sighted",IF(AC83&lt;&gt;1,"Excluded: not confirmed",IF(AD83&lt;&gt;1,"Excluded: not approved",IF(AP83="Contested","Excluded: contested",IF(OR(U83="",U83=0),"Excluded: no tercile",IF(CB83="","Counted (simple tally only — no weight)","Counted")))))))))</f>
        <v/>
      </c>
      <c r="CF83" s="49" t="str">
        <f>IF(AH83="","",IFERROR(INDEX('Prior Multipliers'!$C$6:$C$70,MATCH(LEFT(AH83,10),'Prior Multipliers'!$A$6:$A$70,0)),IFERROR(INDEX('Prior Multipliers'!$C$6:$C$70,MATCH(LEFT(AH83,6),'Prior Multipliers'!$A$6:$A$70,0)),IFERROR(INDEX('Prior Multipliers'!$C$6:$C$70,MATCH(LEFT(AH83,2),'Prior Multipliers'!$A$6:$A$70,0)),1))))</f>
        <v/>
      </c>
      <c r="CG83" s="49" t="str">
        <f>IF(CB83="","",IF(AND('Seasonal Tercile Tally'!$B$5=1,BT83="Rating-based"),CB83*CF83,CB83))</f>
        <v/>
      </c>
      <c r="CH83" s="47">
        <f t="shared" si="44"/>
        <v>0</v>
      </c>
      <c r="CI83" s="45"/>
      <c r="CJ83" s="42" t="str">
        <f t="shared" si="45"/>
        <v/>
      </c>
      <c r="CM83" s="42" t="str">
        <f t="shared" si="46"/>
        <v/>
      </c>
      <c r="CP83" s="46" t="str">
        <f t="shared" si="47"/>
        <v/>
      </c>
      <c r="CS83" s="46" t="str">
        <f t="shared" si="48"/>
        <v/>
      </c>
      <c r="CT83" s="42" t="str">
        <f t="shared" si="49"/>
        <v/>
      </c>
      <c r="CU83" s="42" t="str">
        <f t="shared" si="50"/>
        <v/>
      </c>
      <c r="CV83" s="42" t="str">
        <f t="shared" si="51"/>
        <v/>
      </c>
      <c r="DB83" s="45"/>
      <c r="DH83" s="42" t="str">
        <f t="shared" si="52"/>
        <v/>
      </c>
      <c r="DI83" s="43" t="str">
        <f t="shared" si="53"/>
        <v/>
      </c>
      <c r="DK83" s="46" t="str">
        <f t="shared" si="54"/>
        <v/>
      </c>
      <c r="DQ83" s="42" t="str">
        <f>IF(AH83="","",IFERROR(ROUND(100*('Weighting Options'!$D$7*IF(ISNUMBER(CA83),CA83/3,0)+'Weighting Options'!$D$8*MIN(N(BL83),3)/3+'Weighting Options'!$D$9*IF(AP83="Community/Plenary-endorsed",1,IF(AP83="FGD-validated only",0.75,IF(AP83="Sub-community-specific",0.5,IF(AP83="Provisional/emerging",0.25,0))))+'Weighting Options'!$D$10*IF(ISNUMBER(K83),K83/3,0)+'Weighting Options'!$D$11*IF(CC83="",0.5,IF(CC83="OK",1,0.25))+'Weighting Options'!$D$12*IF(DK83="",0.5,IF(DK83="Agrees",1,IF(DK83="Opposite",0,0.5)))+'Weighting Options'!$D$13*MIN(N(BG83),3)/3+'Weighting Options'!$D$14*IF(AE83=1,1,0))/SUM('Weighting Options'!$D$7:$D$14),0),""))</f>
        <v/>
      </c>
      <c r="DR83" s="44" t="str">
        <f>IF(AH83="","",IFERROR(INDEX('Weighting Options'!$D$20:$D$27,VALUE(LEFT(TRIM(BU83),1))),1))</f>
        <v/>
      </c>
      <c r="DS83" s="44" t="str">
        <f t="shared" si="55"/>
        <v/>
      </c>
      <c r="DT83" s="42" t="str">
        <f>IF(AH83="","",IF(COUNTIFS($AH$12:AH83,AH83,$AI$12:AI83,AI83,$AM$12:AM83,AM83)=1,1,0))</f>
        <v/>
      </c>
    </row>
    <row r="84" spans="16:124" ht="12.75" customHeight="1" x14ac:dyDescent="0.35">
      <c r="P84" s="41"/>
      <c r="Q84" s="41"/>
      <c r="R84" s="41"/>
      <c r="S84" s="41"/>
      <c r="AH84" s="40"/>
      <c r="AP84" s="40"/>
      <c r="AS84" s="41"/>
      <c r="AT84" s="41"/>
      <c r="AW84" t="str">
        <f t="shared" si="28"/>
        <v/>
      </c>
      <c r="AX84" t="str">
        <f t="shared" si="29"/>
        <v/>
      </c>
      <c r="AY84" t="str">
        <f t="shared" si="30"/>
        <v/>
      </c>
      <c r="AZ84" s="40"/>
      <c r="BL84" s="47" t="str">
        <f t="shared" si="31"/>
        <v/>
      </c>
      <c r="BM84" s="47" t="str">
        <f t="shared" si="32"/>
        <v/>
      </c>
      <c r="BN84" s="47" t="str">
        <f t="shared" si="33"/>
        <v/>
      </c>
      <c r="BO84" s="47" t="str">
        <f t="shared" si="34"/>
        <v/>
      </c>
      <c r="BP84" s="47" t="str">
        <f t="shared" si="35"/>
        <v/>
      </c>
      <c r="BQ84" s="48" t="str">
        <f t="shared" si="36"/>
        <v/>
      </c>
      <c r="BR84" s="48" t="str">
        <f t="shared" si="37"/>
        <v/>
      </c>
      <c r="BS84" s="48" t="str">
        <f t="shared" si="38"/>
        <v/>
      </c>
      <c r="BT84" s="47" t="str">
        <f t="shared" si="39"/>
        <v/>
      </c>
      <c r="CA84" s="47" t="str">
        <f t="shared" si="40"/>
        <v/>
      </c>
      <c r="CB84" s="47" t="str">
        <f t="shared" si="41"/>
        <v/>
      </c>
      <c r="CC84" s="47" t="str">
        <f t="shared" si="42"/>
        <v/>
      </c>
      <c r="CD84" s="47" t="str">
        <f t="shared" si="43"/>
        <v/>
      </c>
      <c r="CE84" s="47" t="str">
        <f>IF(AH84="","",IF(OR(AI84&lt;&gt;'Seasonal Tercile Tally'!$B$3,AM84&lt;&gt;'Seasonal Tercile Tally'!$B$4),"Other site/ season",IF(DT84=0,"Excluded: duplicate (later row)",IF(N84&lt;&gt;1,"Excluded: not sighted",IF(AC84&lt;&gt;1,"Excluded: not confirmed",IF(AD84&lt;&gt;1,"Excluded: not approved",IF(AP84="Contested","Excluded: contested",IF(OR(U84="",U84=0),"Excluded: no tercile",IF(CB84="","Counted (simple tally only — no weight)","Counted")))))))))</f>
        <v/>
      </c>
      <c r="CF84" s="49" t="str">
        <f>IF(AH84="","",IFERROR(INDEX('Prior Multipliers'!$C$6:$C$70,MATCH(LEFT(AH84,10),'Prior Multipliers'!$A$6:$A$70,0)),IFERROR(INDEX('Prior Multipliers'!$C$6:$C$70,MATCH(LEFT(AH84,6),'Prior Multipliers'!$A$6:$A$70,0)),IFERROR(INDEX('Prior Multipliers'!$C$6:$C$70,MATCH(LEFT(AH84,2),'Prior Multipliers'!$A$6:$A$70,0)),1))))</f>
        <v/>
      </c>
      <c r="CG84" s="49" t="str">
        <f>IF(CB84="","",IF(AND('Seasonal Tercile Tally'!$B$5=1,BT84="Rating-based"),CB84*CF84,CB84))</f>
        <v/>
      </c>
      <c r="CH84" s="47">
        <f t="shared" si="44"/>
        <v>0</v>
      </c>
      <c r="CI84" s="45"/>
      <c r="CJ84" s="42" t="str">
        <f t="shared" si="45"/>
        <v/>
      </c>
      <c r="CM84" s="42" t="str">
        <f t="shared" si="46"/>
        <v/>
      </c>
      <c r="CP84" s="46" t="str">
        <f t="shared" si="47"/>
        <v/>
      </c>
      <c r="CS84" s="46" t="str">
        <f t="shared" si="48"/>
        <v/>
      </c>
      <c r="CT84" s="42" t="str">
        <f t="shared" si="49"/>
        <v/>
      </c>
      <c r="CU84" s="42" t="str">
        <f t="shared" si="50"/>
        <v/>
      </c>
      <c r="CV84" s="42" t="str">
        <f t="shared" si="51"/>
        <v/>
      </c>
      <c r="DB84" s="45"/>
      <c r="DH84" s="42" t="str">
        <f t="shared" si="52"/>
        <v/>
      </c>
      <c r="DI84" s="43" t="str">
        <f t="shared" si="53"/>
        <v/>
      </c>
      <c r="DK84" s="46" t="str">
        <f t="shared" si="54"/>
        <v/>
      </c>
      <c r="DQ84" s="42" t="str">
        <f>IF(AH84="","",IFERROR(ROUND(100*('Weighting Options'!$D$7*IF(ISNUMBER(CA84),CA84/3,0)+'Weighting Options'!$D$8*MIN(N(BL84),3)/3+'Weighting Options'!$D$9*IF(AP84="Community/Plenary-endorsed",1,IF(AP84="FGD-validated only",0.75,IF(AP84="Sub-community-specific",0.5,IF(AP84="Provisional/emerging",0.25,0))))+'Weighting Options'!$D$10*IF(ISNUMBER(K84),K84/3,0)+'Weighting Options'!$D$11*IF(CC84="",0.5,IF(CC84="OK",1,0.25))+'Weighting Options'!$D$12*IF(DK84="",0.5,IF(DK84="Agrees",1,IF(DK84="Opposite",0,0.5)))+'Weighting Options'!$D$13*MIN(N(BG84),3)/3+'Weighting Options'!$D$14*IF(AE84=1,1,0))/SUM('Weighting Options'!$D$7:$D$14),0),""))</f>
        <v/>
      </c>
      <c r="DR84" s="44" t="str">
        <f>IF(AH84="","",IFERROR(INDEX('Weighting Options'!$D$20:$D$27,VALUE(LEFT(TRIM(BU84),1))),1))</f>
        <v/>
      </c>
      <c r="DS84" s="44" t="str">
        <f t="shared" si="55"/>
        <v/>
      </c>
      <c r="DT84" s="42" t="str">
        <f>IF(AH84="","",IF(COUNTIFS($AH$12:AH84,AH84,$AI$12:AI84,AI84,$AM$12:AM84,AM84)=1,1,0))</f>
        <v/>
      </c>
    </row>
    <row r="85" spans="16:124" ht="12.75" customHeight="1" x14ac:dyDescent="0.35">
      <c r="P85" s="41"/>
      <c r="Q85" s="41"/>
      <c r="R85" s="41"/>
      <c r="S85" s="41"/>
      <c r="AH85" s="40"/>
      <c r="AP85" s="40"/>
      <c r="AS85" s="41"/>
      <c r="AT85" s="41"/>
      <c r="AW85" t="str">
        <f t="shared" si="28"/>
        <v/>
      </c>
      <c r="AX85" t="str">
        <f t="shared" si="29"/>
        <v/>
      </c>
      <c r="AY85" t="str">
        <f t="shared" si="30"/>
        <v/>
      </c>
      <c r="AZ85" s="40"/>
      <c r="BL85" s="47" t="str">
        <f t="shared" si="31"/>
        <v/>
      </c>
      <c r="BM85" s="47" t="str">
        <f t="shared" si="32"/>
        <v/>
      </c>
      <c r="BN85" s="47" t="str">
        <f t="shared" si="33"/>
        <v/>
      </c>
      <c r="BO85" s="47" t="str">
        <f t="shared" si="34"/>
        <v/>
      </c>
      <c r="BP85" s="47" t="str">
        <f t="shared" si="35"/>
        <v/>
      </c>
      <c r="BQ85" s="48" t="str">
        <f t="shared" si="36"/>
        <v/>
      </c>
      <c r="BR85" s="48" t="str">
        <f t="shared" si="37"/>
        <v/>
      </c>
      <c r="BS85" s="48" t="str">
        <f t="shared" si="38"/>
        <v/>
      </c>
      <c r="BT85" s="47" t="str">
        <f t="shared" si="39"/>
        <v/>
      </c>
      <c r="CA85" s="47" t="str">
        <f t="shared" si="40"/>
        <v/>
      </c>
      <c r="CB85" s="47" t="str">
        <f t="shared" si="41"/>
        <v/>
      </c>
      <c r="CC85" s="47" t="str">
        <f t="shared" si="42"/>
        <v/>
      </c>
      <c r="CD85" s="47" t="str">
        <f t="shared" si="43"/>
        <v/>
      </c>
      <c r="CE85" s="47" t="str">
        <f>IF(AH85="","",IF(OR(AI85&lt;&gt;'Seasonal Tercile Tally'!$B$3,AM85&lt;&gt;'Seasonal Tercile Tally'!$B$4),"Other site/ season",IF(DT85=0,"Excluded: duplicate (later row)",IF(N85&lt;&gt;1,"Excluded: not sighted",IF(AC85&lt;&gt;1,"Excluded: not confirmed",IF(AD85&lt;&gt;1,"Excluded: not approved",IF(AP85="Contested","Excluded: contested",IF(OR(U85="",U85=0),"Excluded: no tercile",IF(CB85="","Counted (simple tally only — no weight)","Counted")))))))))</f>
        <v/>
      </c>
      <c r="CF85" s="49" t="str">
        <f>IF(AH85="","",IFERROR(INDEX('Prior Multipliers'!$C$6:$C$70,MATCH(LEFT(AH85,10),'Prior Multipliers'!$A$6:$A$70,0)),IFERROR(INDEX('Prior Multipliers'!$C$6:$C$70,MATCH(LEFT(AH85,6),'Prior Multipliers'!$A$6:$A$70,0)),IFERROR(INDEX('Prior Multipliers'!$C$6:$C$70,MATCH(LEFT(AH85,2),'Prior Multipliers'!$A$6:$A$70,0)),1))))</f>
        <v/>
      </c>
      <c r="CG85" s="49" t="str">
        <f>IF(CB85="","",IF(AND('Seasonal Tercile Tally'!$B$5=1,BT85="Rating-based"),CB85*CF85,CB85))</f>
        <v/>
      </c>
      <c r="CH85" s="47">
        <f t="shared" si="44"/>
        <v>0</v>
      </c>
      <c r="CI85" s="45"/>
      <c r="CJ85" s="42" t="str">
        <f t="shared" si="45"/>
        <v/>
      </c>
      <c r="CM85" s="42" t="str">
        <f t="shared" si="46"/>
        <v/>
      </c>
      <c r="CP85" s="46" t="str">
        <f t="shared" si="47"/>
        <v/>
      </c>
      <c r="CS85" s="46" t="str">
        <f t="shared" si="48"/>
        <v/>
      </c>
      <c r="CT85" s="42" t="str">
        <f t="shared" si="49"/>
        <v/>
      </c>
      <c r="CU85" s="42" t="str">
        <f t="shared" si="50"/>
        <v/>
      </c>
      <c r="CV85" s="42" t="str">
        <f t="shared" si="51"/>
        <v/>
      </c>
      <c r="DB85" s="45"/>
      <c r="DH85" s="42" t="str">
        <f t="shared" si="52"/>
        <v/>
      </c>
      <c r="DI85" s="43" t="str">
        <f t="shared" si="53"/>
        <v/>
      </c>
      <c r="DK85" s="46" t="str">
        <f t="shared" si="54"/>
        <v/>
      </c>
      <c r="DQ85" s="42" t="str">
        <f>IF(AH85="","",IFERROR(ROUND(100*('Weighting Options'!$D$7*IF(ISNUMBER(CA85),CA85/3,0)+'Weighting Options'!$D$8*MIN(N(BL85),3)/3+'Weighting Options'!$D$9*IF(AP85="Community/Plenary-endorsed",1,IF(AP85="FGD-validated only",0.75,IF(AP85="Sub-community-specific",0.5,IF(AP85="Provisional/emerging",0.25,0))))+'Weighting Options'!$D$10*IF(ISNUMBER(K85),K85/3,0)+'Weighting Options'!$D$11*IF(CC85="",0.5,IF(CC85="OK",1,0.25))+'Weighting Options'!$D$12*IF(DK85="",0.5,IF(DK85="Agrees",1,IF(DK85="Opposite",0,0.5)))+'Weighting Options'!$D$13*MIN(N(BG85),3)/3+'Weighting Options'!$D$14*IF(AE85=1,1,0))/SUM('Weighting Options'!$D$7:$D$14),0),""))</f>
        <v/>
      </c>
      <c r="DR85" s="44" t="str">
        <f>IF(AH85="","",IFERROR(INDEX('Weighting Options'!$D$20:$D$27,VALUE(LEFT(TRIM(BU85),1))),1))</f>
        <v/>
      </c>
      <c r="DS85" s="44" t="str">
        <f t="shared" si="55"/>
        <v/>
      </c>
      <c r="DT85" s="42" t="str">
        <f>IF(AH85="","",IF(COUNTIFS($AH$12:AH85,AH85,$AI$12:AI85,AI85,$AM$12:AM85,AM85)=1,1,0))</f>
        <v/>
      </c>
    </row>
    <row r="86" spans="16:124" ht="12.75" customHeight="1" x14ac:dyDescent="0.35">
      <c r="P86" s="41"/>
      <c r="Q86" s="41"/>
      <c r="R86" s="41"/>
      <c r="S86" s="41"/>
      <c r="AH86" s="40"/>
      <c r="AP86" s="40"/>
      <c r="AS86" s="41"/>
      <c r="AT86" s="41"/>
      <c r="AW86" t="str">
        <f t="shared" si="28"/>
        <v/>
      </c>
      <c r="AX86" t="str">
        <f t="shared" si="29"/>
        <v/>
      </c>
      <c r="AY86" t="str">
        <f t="shared" si="30"/>
        <v/>
      </c>
      <c r="AZ86" s="40"/>
      <c r="BL86" s="47" t="str">
        <f t="shared" si="31"/>
        <v/>
      </c>
      <c r="BM86" s="47" t="str">
        <f t="shared" si="32"/>
        <v/>
      </c>
      <c r="BN86" s="47" t="str">
        <f t="shared" si="33"/>
        <v/>
      </c>
      <c r="BO86" s="47" t="str">
        <f t="shared" si="34"/>
        <v/>
      </c>
      <c r="BP86" s="47" t="str">
        <f t="shared" si="35"/>
        <v/>
      </c>
      <c r="BQ86" s="48" t="str">
        <f t="shared" si="36"/>
        <v/>
      </c>
      <c r="BR86" s="48" t="str">
        <f t="shared" si="37"/>
        <v/>
      </c>
      <c r="BS86" s="48" t="str">
        <f t="shared" si="38"/>
        <v/>
      </c>
      <c r="BT86" s="47" t="str">
        <f t="shared" si="39"/>
        <v/>
      </c>
      <c r="CA86" s="47" t="str">
        <f t="shared" si="40"/>
        <v/>
      </c>
      <c r="CB86" s="47" t="str">
        <f t="shared" si="41"/>
        <v/>
      </c>
      <c r="CC86" s="47" t="str">
        <f t="shared" si="42"/>
        <v/>
      </c>
      <c r="CD86" s="47" t="str">
        <f t="shared" si="43"/>
        <v/>
      </c>
      <c r="CE86" s="47" t="str">
        <f>IF(AH86="","",IF(OR(AI86&lt;&gt;'Seasonal Tercile Tally'!$B$3,AM86&lt;&gt;'Seasonal Tercile Tally'!$B$4),"Other site/ season",IF(DT86=0,"Excluded: duplicate (later row)",IF(N86&lt;&gt;1,"Excluded: not sighted",IF(AC86&lt;&gt;1,"Excluded: not confirmed",IF(AD86&lt;&gt;1,"Excluded: not approved",IF(AP86="Contested","Excluded: contested",IF(OR(U86="",U86=0),"Excluded: no tercile",IF(CB86="","Counted (simple tally only — no weight)","Counted")))))))))</f>
        <v/>
      </c>
      <c r="CF86" s="49" t="str">
        <f>IF(AH86="","",IFERROR(INDEX('Prior Multipliers'!$C$6:$C$70,MATCH(LEFT(AH86,10),'Prior Multipliers'!$A$6:$A$70,0)),IFERROR(INDEX('Prior Multipliers'!$C$6:$C$70,MATCH(LEFT(AH86,6),'Prior Multipliers'!$A$6:$A$70,0)),IFERROR(INDEX('Prior Multipliers'!$C$6:$C$70,MATCH(LEFT(AH86,2),'Prior Multipliers'!$A$6:$A$70,0)),1))))</f>
        <v/>
      </c>
      <c r="CG86" s="49" t="str">
        <f>IF(CB86="","",IF(AND('Seasonal Tercile Tally'!$B$5=1,BT86="Rating-based"),CB86*CF86,CB86))</f>
        <v/>
      </c>
      <c r="CH86" s="47">
        <f t="shared" si="44"/>
        <v>0</v>
      </c>
      <c r="CI86" s="45"/>
      <c r="CJ86" s="42" t="str">
        <f t="shared" si="45"/>
        <v/>
      </c>
      <c r="CM86" s="42" t="str">
        <f t="shared" si="46"/>
        <v/>
      </c>
      <c r="CP86" s="46" t="str">
        <f t="shared" si="47"/>
        <v/>
      </c>
      <c r="CS86" s="46" t="str">
        <f t="shared" si="48"/>
        <v/>
      </c>
      <c r="CT86" s="42" t="str">
        <f t="shared" si="49"/>
        <v/>
      </c>
      <c r="CU86" s="42" t="str">
        <f t="shared" si="50"/>
        <v/>
      </c>
      <c r="CV86" s="42" t="str">
        <f t="shared" si="51"/>
        <v/>
      </c>
      <c r="DB86" s="45"/>
      <c r="DH86" s="42" t="str">
        <f t="shared" si="52"/>
        <v/>
      </c>
      <c r="DI86" s="43" t="str">
        <f t="shared" si="53"/>
        <v/>
      </c>
      <c r="DK86" s="46" t="str">
        <f t="shared" si="54"/>
        <v/>
      </c>
      <c r="DQ86" s="42" t="str">
        <f>IF(AH86="","",IFERROR(ROUND(100*('Weighting Options'!$D$7*IF(ISNUMBER(CA86),CA86/3,0)+'Weighting Options'!$D$8*MIN(N(BL86),3)/3+'Weighting Options'!$D$9*IF(AP86="Community/Plenary-endorsed",1,IF(AP86="FGD-validated only",0.75,IF(AP86="Sub-community-specific",0.5,IF(AP86="Provisional/emerging",0.25,0))))+'Weighting Options'!$D$10*IF(ISNUMBER(K86),K86/3,0)+'Weighting Options'!$D$11*IF(CC86="",0.5,IF(CC86="OK",1,0.25))+'Weighting Options'!$D$12*IF(DK86="",0.5,IF(DK86="Agrees",1,IF(DK86="Opposite",0,0.5)))+'Weighting Options'!$D$13*MIN(N(BG86),3)/3+'Weighting Options'!$D$14*IF(AE86=1,1,0))/SUM('Weighting Options'!$D$7:$D$14),0),""))</f>
        <v/>
      </c>
      <c r="DR86" s="44" t="str">
        <f>IF(AH86="","",IFERROR(INDEX('Weighting Options'!$D$20:$D$27,VALUE(LEFT(TRIM(BU86),1))),1))</f>
        <v/>
      </c>
      <c r="DS86" s="44" t="str">
        <f t="shared" si="55"/>
        <v/>
      </c>
      <c r="DT86" s="42" t="str">
        <f>IF(AH86="","",IF(COUNTIFS($AH$12:AH86,AH86,$AI$12:AI86,AI86,$AM$12:AM86,AM86)=1,1,0))</f>
        <v/>
      </c>
    </row>
    <row r="87" spans="16:124" ht="12.75" customHeight="1" x14ac:dyDescent="0.35">
      <c r="P87" s="41"/>
      <c r="Q87" s="41"/>
      <c r="R87" s="41"/>
      <c r="S87" s="41"/>
      <c r="AH87" s="40"/>
      <c r="AP87" s="40"/>
      <c r="AS87" s="41"/>
      <c r="AT87" s="41"/>
      <c r="AW87" t="str">
        <f t="shared" si="28"/>
        <v/>
      </c>
      <c r="AX87" t="str">
        <f t="shared" si="29"/>
        <v/>
      </c>
      <c r="AY87" t="str">
        <f t="shared" si="30"/>
        <v/>
      </c>
      <c r="AZ87" s="40"/>
      <c r="BL87" s="47" t="str">
        <f t="shared" si="31"/>
        <v/>
      </c>
      <c r="BM87" s="47" t="str">
        <f t="shared" si="32"/>
        <v/>
      </c>
      <c r="BN87" s="47" t="str">
        <f t="shared" si="33"/>
        <v/>
      </c>
      <c r="BO87" s="47" t="str">
        <f t="shared" si="34"/>
        <v/>
      </c>
      <c r="BP87" s="47" t="str">
        <f t="shared" si="35"/>
        <v/>
      </c>
      <c r="BQ87" s="48" t="str">
        <f t="shared" si="36"/>
        <v/>
      </c>
      <c r="BR87" s="48" t="str">
        <f t="shared" si="37"/>
        <v/>
      </c>
      <c r="BS87" s="48" t="str">
        <f t="shared" si="38"/>
        <v/>
      </c>
      <c r="BT87" s="47" t="str">
        <f t="shared" si="39"/>
        <v/>
      </c>
      <c r="CA87" s="47" t="str">
        <f t="shared" si="40"/>
        <v/>
      </c>
      <c r="CB87" s="47" t="str">
        <f t="shared" si="41"/>
        <v/>
      </c>
      <c r="CC87" s="47" t="str">
        <f t="shared" si="42"/>
        <v/>
      </c>
      <c r="CD87" s="47" t="str">
        <f t="shared" si="43"/>
        <v/>
      </c>
      <c r="CE87" s="47" t="str">
        <f>IF(AH87="","",IF(OR(AI87&lt;&gt;'Seasonal Tercile Tally'!$B$3,AM87&lt;&gt;'Seasonal Tercile Tally'!$B$4),"Other site/ season",IF(DT87=0,"Excluded: duplicate (later row)",IF(N87&lt;&gt;1,"Excluded: not sighted",IF(AC87&lt;&gt;1,"Excluded: not confirmed",IF(AD87&lt;&gt;1,"Excluded: not approved",IF(AP87="Contested","Excluded: contested",IF(OR(U87="",U87=0),"Excluded: no tercile",IF(CB87="","Counted (simple tally only — no weight)","Counted")))))))))</f>
        <v/>
      </c>
      <c r="CF87" s="49" t="str">
        <f>IF(AH87="","",IFERROR(INDEX('Prior Multipliers'!$C$6:$C$70,MATCH(LEFT(AH87,10),'Prior Multipliers'!$A$6:$A$70,0)),IFERROR(INDEX('Prior Multipliers'!$C$6:$C$70,MATCH(LEFT(AH87,6),'Prior Multipliers'!$A$6:$A$70,0)),IFERROR(INDEX('Prior Multipliers'!$C$6:$C$70,MATCH(LEFT(AH87,2),'Prior Multipliers'!$A$6:$A$70,0)),1))))</f>
        <v/>
      </c>
      <c r="CG87" s="49" t="str">
        <f>IF(CB87="","",IF(AND('Seasonal Tercile Tally'!$B$5=1,BT87="Rating-based"),CB87*CF87,CB87))</f>
        <v/>
      </c>
      <c r="CH87" s="47">
        <f t="shared" si="44"/>
        <v>0</v>
      </c>
      <c r="CI87" s="45"/>
      <c r="CJ87" s="42" t="str">
        <f t="shared" si="45"/>
        <v/>
      </c>
      <c r="CM87" s="42" t="str">
        <f t="shared" si="46"/>
        <v/>
      </c>
      <c r="CP87" s="46" t="str">
        <f t="shared" si="47"/>
        <v/>
      </c>
      <c r="CS87" s="46" t="str">
        <f t="shared" si="48"/>
        <v/>
      </c>
      <c r="CT87" s="42" t="str">
        <f t="shared" si="49"/>
        <v/>
      </c>
      <c r="CU87" s="42" t="str">
        <f t="shared" si="50"/>
        <v/>
      </c>
      <c r="CV87" s="42" t="str">
        <f t="shared" si="51"/>
        <v/>
      </c>
      <c r="DB87" s="45"/>
      <c r="DH87" s="42" t="str">
        <f t="shared" si="52"/>
        <v/>
      </c>
      <c r="DI87" s="43" t="str">
        <f t="shared" si="53"/>
        <v/>
      </c>
      <c r="DK87" s="46" t="str">
        <f t="shared" si="54"/>
        <v/>
      </c>
      <c r="DQ87" s="42" t="str">
        <f>IF(AH87="","",IFERROR(ROUND(100*('Weighting Options'!$D$7*IF(ISNUMBER(CA87),CA87/3,0)+'Weighting Options'!$D$8*MIN(N(BL87),3)/3+'Weighting Options'!$D$9*IF(AP87="Community/Plenary-endorsed",1,IF(AP87="FGD-validated only",0.75,IF(AP87="Sub-community-specific",0.5,IF(AP87="Provisional/emerging",0.25,0))))+'Weighting Options'!$D$10*IF(ISNUMBER(K87),K87/3,0)+'Weighting Options'!$D$11*IF(CC87="",0.5,IF(CC87="OK",1,0.25))+'Weighting Options'!$D$12*IF(DK87="",0.5,IF(DK87="Agrees",1,IF(DK87="Opposite",0,0.5)))+'Weighting Options'!$D$13*MIN(N(BG87),3)/3+'Weighting Options'!$D$14*IF(AE87=1,1,0))/SUM('Weighting Options'!$D$7:$D$14),0),""))</f>
        <v/>
      </c>
      <c r="DR87" s="44" t="str">
        <f>IF(AH87="","",IFERROR(INDEX('Weighting Options'!$D$20:$D$27,VALUE(LEFT(TRIM(BU87),1))),1))</f>
        <v/>
      </c>
      <c r="DS87" s="44" t="str">
        <f t="shared" si="55"/>
        <v/>
      </c>
      <c r="DT87" s="42" t="str">
        <f>IF(AH87="","",IF(COUNTIFS($AH$12:AH87,AH87,$AI$12:AI87,AI87,$AM$12:AM87,AM87)=1,1,0))</f>
        <v/>
      </c>
    </row>
    <row r="88" spans="16:124" ht="12.75" customHeight="1" x14ac:dyDescent="0.35">
      <c r="P88" s="41"/>
      <c r="Q88" s="41"/>
      <c r="R88" s="41"/>
      <c r="S88" s="41"/>
      <c r="AH88" s="40"/>
      <c r="AP88" s="40"/>
      <c r="AS88" s="41"/>
      <c r="AT88" s="41"/>
      <c r="AW88" t="str">
        <f t="shared" si="28"/>
        <v/>
      </c>
      <c r="AX88" t="str">
        <f t="shared" si="29"/>
        <v/>
      </c>
      <c r="AY88" t="str">
        <f t="shared" si="30"/>
        <v/>
      </c>
      <c r="AZ88" s="40"/>
      <c r="BL88" s="47" t="str">
        <f t="shared" si="31"/>
        <v/>
      </c>
      <c r="BM88" s="47" t="str">
        <f t="shared" si="32"/>
        <v/>
      </c>
      <c r="BN88" s="47" t="str">
        <f t="shared" si="33"/>
        <v/>
      </c>
      <c r="BO88" s="47" t="str">
        <f t="shared" si="34"/>
        <v/>
      </c>
      <c r="BP88" s="47" t="str">
        <f t="shared" si="35"/>
        <v/>
      </c>
      <c r="BQ88" s="48" t="str">
        <f t="shared" si="36"/>
        <v/>
      </c>
      <c r="BR88" s="48" t="str">
        <f t="shared" si="37"/>
        <v/>
      </c>
      <c r="BS88" s="48" t="str">
        <f t="shared" si="38"/>
        <v/>
      </c>
      <c r="BT88" s="47" t="str">
        <f t="shared" si="39"/>
        <v/>
      </c>
      <c r="CA88" s="47" t="str">
        <f t="shared" si="40"/>
        <v/>
      </c>
      <c r="CB88" s="47" t="str">
        <f t="shared" si="41"/>
        <v/>
      </c>
      <c r="CC88" s="47" t="str">
        <f t="shared" si="42"/>
        <v/>
      </c>
      <c r="CD88" s="47" t="str">
        <f t="shared" si="43"/>
        <v/>
      </c>
      <c r="CE88" s="47" t="str">
        <f>IF(AH88="","",IF(OR(AI88&lt;&gt;'Seasonal Tercile Tally'!$B$3,AM88&lt;&gt;'Seasonal Tercile Tally'!$B$4),"Other site/ season",IF(DT88=0,"Excluded: duplicate (later row)",IF(N88&lt;&gt;1,"Excluded: not sighted",IF(AC88&lt;&gt;1,"Excluded: not confirmed",IF(AD88&lt;&gt;1,"Excluded: not approved",IF(AP88="Contested","Excluded: contested",IF(OR(U88="",U88=0),"Excluded: no tercile",IF(CB88="","Counted (simple tally only — no weight)","Counted")))))))))</f>
        <v/>
      </c>
      <c r="CF88" s="49" t="str">
        <f>IF(AH88="","",IFERROR(INDEX('Prior Multipliers'!$C$6:$C$70,MATCH(LEFT(AH88,10),'Prior Multipliers'!$A$6:$A$70,0)),IFERROR(INDEX('Prior Multipliers'!$C$6:$C$70,MATCH(LEFT(AH88,6),'Prior Multipliers'!$A$6:$A$70,0)),IFERROR(INDEX('Prior Multipliers'!$C$6:$C$70,MATCH(LEFT(AH88,2),'Prior Multipliers'!$A$6:$A$70,0)),1))))</f>
        <v/>
      </c>
      <c r="CG88" s="49" t="str">
        <f>IF(CB88="","",IF(AND('Seasonal Tercile Tally'!$B$5=1,BT88="Rating-based"),CB88*CF88,CB88))</f>
        <v/>
      </c>
      <c r="CH88" s="47">
        <f t="shared" si="44"/>
        <v>0</v>
      </c>
      <c r="CI88" s="45"/>
      <c r="CJ88" s="42" t="str">
        <f t="shared" si="45"/>
        <v/>
      </c>
      <c r="CM88" s="42" t="str">
        <f t="shared" si="46"/>
        <v/>
      </c>
      <c r="CP88" s="46" t="str">
        <f t="shared" si="47"/>
        <v/>
      </c>
      <c r="CS88" s="46" t="str">
        <f t="shared" si="48"/>
        <v/>
      </c>
      <c r="CT88" s="42" t="str">
        <f t="shared" si="49"/>
        <v/>
      </c>
      <c r="CU88" s="42" t="str">
        <f t="shared" si="50"/>
        <v/>
      </c>
      <c r="CV88" s="42" t="str">
        <f t="shared" si="51"/>
        <v/>
      </c>
      <c r="DB88" s="45"/>
      <c r="DH88" s="42" t="str">
        <f t="shared" si="52"/>
        <v/>
      </c>
      <c r="DI88" s="43" t="str">
        <f t="shared" si="53"/>
        <v/>
      </c>
      <c r="DK88" s="46" t="str">
        <f t="shared" si="54"/>
        <v/>
      </c>
      <c r="DQ88" s="42" t="str">
        <f>IF(AH88="","",IFERROR(ROUND(100*('Weighting Options'!$D$7*IF(ISNUMBER(CA88),CA88/3,0)+'Weighting Options'!$D$8*MIN(N(BL88),3)/3+'Weighting Options'!$D$9*IF(AP88="Community/Plenary-endorsed",1,IF(AP88="FGD-validated only",0.75,IF(AP88="Sub-community-specific",0.5,IF(AP88="Provisional/emerging",0.25,0))))+'Weighting Options'!$D$10*IF(ISNUMBER(K88),K88/3,0)+'Weighting Options'!$D$11*IF(CC88="",0.5,IF(CC88="OK",1,0.25))+'Weighting Options'!$D$12*IF(DK88="",0.5,IF(DK88="Agrees",1,IF(DK88="Opposite",0,0.5)))+'Weighting Options'!$D$13*MIN(N(BG88),3)/3+'Weighting Options'!$D$14*IF(AE88=1,1,0))/SUM('Weighting Options'!$D$7:$D$14),0),""))</f>
        <v/>
      </c>
      <c r="DR88" s="44" t="str">
        <f>IF(AH88="","",IFERROR(INDEX('Weighting Options'!$D$20:$D$27,VALUE(LEFT(TRIM(BU88),1))),1))</f>
        <v/>
      </c>
      <c r="DS88" s="44" t="str">
        <f t="shared" si="55"/>
        <v/>
      </c>
      <c r="DT88" s="42" t="str">
        <f>IF(AH88="","",IF(COUNTIFS($AH$12:AH88,AH88,$AI$12:AI88,AI88,$AM$12:AM88,AM88)=1,1,0))</f>
        <v/>
      </c>
    </row>
    <row r="89" spans="16:124" ht="12.75" customHeight="1" x14ac:dyDescent="0.35">
      <c r="P89" s="41"/>
      <c r="Q89" s="41"/>
      <c r="R89" s="41"/>
      <c r="S89" s="41"/>
      <c r="AH89" s="40"/>
      <c r="AP89" s="40"/>
      <c r="AS89" s="41"/>
      <c r="AT89" s="41"/>
      <c r="AW89" t="str">
        <f t="shared" si="28"/>
        <v/>
      </c>
      <c r="AX89" t="str">
        <f t="shared" si="29"/>
        <v/>
      </c>
      <c r="AY89" t="str">
        <f t="shared" si="30"/>
        <v/>
      </c>
      <c r="AZ89" s="40"/>
      <c r="BL89" s="47" t="str">
        <f t="shared" si="31"/>
        <v/>
      </c>
      <c r="BM89" s="47" t="str">
        <f t="shared" si="32"/>
        <v/>
      </c>
      <c r="BN89" s="47" t="str">
        <f t="shared" si="33"/>
        <v/>
      </c>
      <c r="BO89" s="47" t="str">
        <f t="shared" si="34"/>
        <v/>
      </c>
      <c r="BP89" s="47" t="str">
        <f t="shared" si="35"/>
        <v/>
      </c>
      <c r="BQ89" s="48" t="str">
        <f t="shared" si="36"/>
        <v/>
      </c>
      <c r="BR89" s="48" t="str">
        <f t="shared" si="37"/>
        <v/>
      </c>
      <c r="BS89" s="48" t="str">
        <f t="shared" si="38"/>
        <v/>
      </c>
      <c r="BT89" s="47" t="str">
        <f t="shared" si="39"/>
        <v/>
      </c>
      <c r="CA89" s="47" t="str">
        <f t="shared" si="40"/>
        <v/>
      </c>
      <c r="CB89" s="47" t="str">
        <f t="shared" si="41"/>
        <v/>
      </c>
      <c r="CC89" s="47" t="str">
        <f t="shared" si="42"/>
        <v/>
      </c>
      <c r="CD89" s="47" t="str">
        <f t="shared" si="43"/>
        <v/>
      </c>
      <c r="CE89" s="47" t="str">
        <f>IF(AH89="","",IF(OR(AI89&lt;&gt;'Seasonal Tercile Tally'!$B$3,AM89&lt;&gt;'Seasonal Tercile Tally'!$B$4),"Other site/ season",IF(DT89=0,"Excluded: duplicate (later row)",IF(N89&lt;&gt;1,"Excluded: not sighted",IF(AC89&lt;&gt;1,"Excluded: not confirmed",IF(AD89&lt;&gt;1,"Excluded: not approved",IF(AP89="Contested","Excluded: contested",IF(OR(U89="",U89=0),"Excluded: no tercile",IF(CB89="","Counted (simple tally only — no weight)","Counted")))))))))</f>
        <v/>
      </c>
      <c r="CF89" s="49" t="str">
        <f>IF(AH89="","",IFERROR(INDEX('Prior Multipliers'!$C$6:$C$70,MATCH(LEFT(AH89,10),'Prior Multipliers'!$A$6:$A$70,0)),IFERROR(INDEX('Prior Multipliers'!$C$6:$C$70,MATCH(LEFT(AH89,6),'Prior Multipliers'!$A$6:$A$70,0)),IFERROR(INDEX('Prior Multipliers'!$C$6:$C$70,MATCH(LEFT(AH89,2),'Prior Multipliers'!$A$6:$A$70,0)),1))))</f>
        <v/>
      </c>
      <c r="CG89" s="49" t="str">
        <f>IF(CB89="","",IF(AND('Seasonal Tercile Tally'!$B$5=1,BT89="Rating-based"),CB89*CF89,CB89))</f>
        <v/>
      </c>
      <c r="CH89" s="47">
        <f t="shared" si="44"/>
        <v>0</v>
      </c>
      <c r="CI89" s="45"/>
      <c r="CJ89" s="42" t="str">
        <f t="shared" si="45"/>
        <v/>
      </c>
      <c r="CM89" s="42" t="str">
        <f t="shared" si="46"/>
        <v/>
      </c>
      <c r="CP89" s="46" t="str">
        <f t="shared" si="47"/>
        <v/>
      </c>
      <c r="CS89" s="46" t="str">
        <f t="shared" si="48"/>
        <v/>
      </c>
      <c r="CT89" s="42" t="str">
        <f t="shared" si="49"/>
        <v/>
      </c>
      <c r="CU89" s="42" t="str">
        <f t="shared" si="50"/>
        <v/>
      </c>
      <c r="CV89" s="42" t="str">
        <f t="shared" si="51"/>
        <v/>
      </c>
      <c r="DB89" s="45"/>
      <c r="DH89" s="42" t="str">
        <f t="shared" si="52"/>
        <v/>
      </c>
      <c r="DI89" s="43" t="str">
        <f t="shared" si="53"/>
        <v/>
      </c>
      <c r="DK89" s="46" t="str">
        <f t="shared" si="54"/>
        <v/>
      </c>
      <c r="DQ89" s="42" t="str">
        <f>IF(AH89="","",IFERROR(ROUND(100*('Weighting Options'!$D$7*IF(ISNUMBER(CA89),CA89/3,0)+'Weighting Options'!$D$8*MIN(N(BL89),3)/3+'Weighting Options'!$D$9*IF(AP89="Community/Plenary-endorsed",1,IF(AP89="FGD-validated only",0.75,IF(AP89="Sub-community-specific",0.5,IF(AP89="Provisional/emerging",0.25,0))))+'Weighting Options'!$D$10*IF(ISNUMBER(K89),K89/3,0)+'Weighting Options'!$D$11*IF(CC89="",0.5,IF(CC89="OK",1,0.25))+'Weighting Options'!$D$12*IF(DK89="",0.5,IF(DK89="Agrees",1,IF(DK89="Opposite",0,0.5)))+'Weighting Options'!$D$13*MIN(N(BG89),3)/3+'Weighting Options'!$D$14*IF(AE89=1,1,0))/SUM('Weighting Options'!$D$7:$D$14),0),""))</f>
        <v/>
      </c>
      <c r="DR89" s="44" t="str">
        <f>IF(AH89="","",IFERROR(INDEX('Weighting Options'!$D$20:$D$27,VALUE(LEFT(TRIM(BU89),1))),1))</f>
        <v/>
      </c>
      <c r="DS89" s="44" t="str">
        <f t="shared" si="55"/>
        <v/>
      </c>
      <c r="DT89" s="42" t="str">
        <f>IF(AH89="","",IF(COUNTIFS($AH$12:AH89,AH89,$AI$12:AI89,AI89,$AM$12:AM89,AM89)=1,1,0))</f>
        <v/>
      </c>
    </row>
    <row r="90" spans="16:124" ht="12.75" customHeight="1" x14ac:dyDescent="0.35">
      <c r="P90" s="41"/>
      <c r="Q90" s="41"/>
      <c r="R90" s="41"/>
      <c r="S90" s="41"/>
      <c r="AH90" s="40"/>
      <c r="AP90" s="40"/>
      <c r="AS90" s="41"/>
      <c r="AT90" s="41"/>
      <c r="AW90" t="str">
        <f t="shared" si="28"/>
        <v/>
      </c>
      <c r="AX90" t="str">
        <f t="shared" si="29"/>
        <v/>
      </c>
      <c r="AY90" t="str">
        <f t="shared" si="30"/>
        <v/>
      </c>
      <c r="AZ90" s="40"/>
      <c r="BL90" s="47" t="str">
        <f t="shared" si="31"/>
        <v/>
      </c>
      <c r="BM90" s="47" t="str">
        <f t="shared" si="32"/>
        <v/>
      </c>
      <c r="BN90" s="47" t="str">
        <f t="shared" si="33"/>
        <v/>
      </c>
      <c r="BO90" s="47" t="str">
        <f t="shared" si="34"/>
        <v/>
      </c>
      <c r="BP90" s="47" t="str">
        <f t="shared" si="35"/>
        <v/>
      </c>
      <c r="BQ90" s="48" t="str">
        <f t="shared" si="36"/>
        <v/>
      </c>
      <c r="BR90" s="48" t="str">
        <f t="shared" si="37"/>
        <v/>
      </c>
      <c r="BS90" s="48" t="str">
        <f t="shared" si="38"/>
        <v/>
      </c>
      <c r="BT90" s="47" t="str">
        <f t="shared" si="39"/>
        <v/>
      </c>
      <c r="CA90" s="47" t="str">
        <f t="shared" si="40"/>
        <v/>
      </c>
      <c r="CB90" s="47" t="str">
        <f t="shared" si="41"/>
        <v/>
      </c>
      <c r="CC90" s="47" t="str">
        <f t="shared" si="42"/>
        <v/>
      </c>
      <c r="CD90" s="47" t="str">
        <f t="shared" si="43"/>
        <v/>
      </c>
      <c r="CE90" s="47" t="str">
        <f>IF(AH90="","",IF(OR(AI90&lt;&gt;'Seasonal Tercile Tally'!$B$3,AM90&lt;&gt;'Seasonal Tercile Tally'!$B$4),"Other site/ season",IF(DT90=0,"Excluded: duplicate (later row)",IF(N90&lt;&gt;1,"Excluded: not sighted",IF(AC90&lt;&gt;1,"Excluded: not confirmed",IF(AD90&lt;&gt;1,"Excluded: not approved",IF(AP90="Contested","Excluded: contested",IF(OR(U90="",U90=0),"Excluded: no tercile",IF(CB90="","Counted (simple tally only — no weight)","Counted")))))))))</f>
        <v/>
      </c>
      <c r="CF90" s="49" t="str">
        <f>IF(AH90="","",IFERROR(INDEX('Prior Multipliers'!$C$6:$C$70,MATCH(LEFT(AH90,10),'Prior Multipliers'!$A$6:$A$70,0)),IFERROR(INDEX('Prior Multipliers'!$C$6:$C$70,MATCH(LEFT(AH90,6),'Prior Multipliers'!$A$6:$A$70,0)),IFERROR(INDEX('Prior Multipliers'!$C$6:$C$70,MATCH(LEFT(AH90,2),'Prior Multipliers'!$A$6:$A$70,0)),1))))</f>
        <v/>
      </c>
      <c r="CG90" s="49" t="str">
        <f>IF(CB90="","",IF(AND('Seasonal Tercile Tally'!$B$5=1,BT90="Rating-based"),CB90*CF90,CB90))</f>
        <v/>
      </c>
      <c r="CH90" s="47">
        <f t="shared" si="44"/>
        <v>0</v>
      </c>
      <c r="CI90" s="45"/>
      <c r="CJ90" s="42" t="str">
        <f t="shared" si="45"/>
        <v/>
      </c>
      <c r="CM90" s="42" t="str">
        <f t="shared" si="46"/>
        <v/>
      </c>
      <c r="CP90" s="46" t="str">
        <f t="shared" si="47"/>
        <v/>
      </c>
      <c r="CS90" s="46" t="str">
        <f t="shared" si="48"/>
        <v/>
      </c>
      <c r="CT90" s="42" t="str">
        <f t="shared" si="49"/>
        <v/>
      </c>
      <c r="CU90" s="42" t="str">
        <f t="shared" si="50"/>
        <v/>
      </c>
      <c r="CV90" s="42" t="str">
        <f t="shared" si="51"/>
        <v/>
      </c>
      <c r="DB90" s="45"/>
      <c r="DH90" s="42" t="str">
        <f t="shared" si="52"/>
        <v/>
      </c>
      <c r="DI90" s="43" t="str">
        <f t="shared" si="53"/>
        <v/>
      </c>
      <c r="DK90" s="46" t="str">
        <f t="shared" si="54"/>
        <v/>
      </c>
      <c r="DQ90" s="42" t="str">
        <f>IF(AH90="","",IFERROR(ROUND(100*('Weighting Options'!$D$7*IF(ISNUMBER(CA90),CA90/3,0)+'Weighting Options'!$D$8*MIN(N(BL90),3)/3+'Weighting Options'!$D$9*IF(AP90="Community/Plenary-endorsed",1,IF(AP90="FGD-validated only",0.75,IF(AP90="Sub-community-specific",0.5,IF(AP90="Provisional/emerging",0.25,0))))+'Weighting Options'!$D$10*IF(ISNUMBER(K90),K90/3,0)+'Weighting Options'!$D$11*IF(CC90="",0.5,IF(CC90="OK",1,0.25))+'Weighting Options'!$D$12*IF(DK90="",0.5,IF(DK90="Agrees",1,IF(DK90="Opposite",0,0.5)))+'Weighting Options'!$D$13*MIN(N(BG90),3)/3+'Weighting Options'!$D$14*IF(AE90=1,1,0))/SUM('Weighting Options'!$D$7:$D$14),0),""))</f>
        <v/>
      </c>
      <c r="DR90" s="44" t="str">
        <f>IF(AH90="","",IFERROR(INDEX('Weighting Options'!$D$20:$D$27,VALUE(LEFT(TRIM(BU90),1))),1))</f>
        <v/>
      </c>
      <c r="DS90" s="44" t="str">
        <f t="shared" si="55"/>
        <v/>
      </c>
      <c r="DT90" s="42" t="str">
        <f>IF(AH90="","",IF(COUNTIFS($AH$12:AH90,AH90,$AI$12:AI90,AI90,$AM$12:AM90,AM90)=1,1,0))</f>
        <v/>
      </c>
    </row>
    <row r="91" spans="16:124" ht="12.75" customHeight="1" x14ac:dyDescent="0.35">
      <c r="P91" s="41"/>
      <c r="Q91" s="41"/>
      <c r="R91" s="41"/>
      <c r="S91" s="41"/>
      <c r="AH91" s="40"/>
      <c r="AP91" s="40"/>
      <c r="AS91" s="41"/>
      <c r="AT91" s="41"/>
      <c r="AW91" t="str">
        <f t="shared" si="28"/>
        <v/>
      </c>
      <c r="AX91" t="str">
        <f t="shared" si="29"/>
        <v/>
      </c>
      <c r="AY91" t="str">
        <f t="shared" si="30"/>
        <v/>
      </c>
      <c r="AZ91" s="40"/>
      <c r="BL91" s="47" t="str">
        <f t="shared" si="31"/>
        <v/>
      </c>
      <c r="BM91" s="47" t="str">
        <f t="shared" si="32"/>
        <v/>
      </c>
      <c r="BN91" s="47" t="str">
        <f t="shared" si="33"/>
        <v/>
      </c>
      <c r="BO91" s="47" t="str">
        <f t="shared" si="34"/>
        <v/>
      </c>
      <c r="BP91" s="47" t="str">
        <f t="shared" si="35"/>
        <v/>
      </c>
      <c r="BQ91" s="48" t="str">
        <f t="shared" si="36"/>
        <v/>
      </c>
      <c r="BR91" s="48" t="str">
        <f t="shared" si="37"/>
        <v/>
      </c>
      <c r="BS91" s="48" t="str">
        <f t="shared" si="38"/>
        <v/>
      </c>
      <c r="BT91" s="47" t="str">
        <f t="shared" si="39"/>
        <v/>
      </c>
      <c r="CA91" s="47" t="str">
        <f t="shared" si="40"/>
        <v/>
      </c>
      <c r="CB91" s="47" t="str">
        <f t="shared" si="41"/>
        <v/>
      </c>
      <c r="CC91" s="47" t="str">
        <f t="shared" si="42"/>
        <v/>
      </c>
      <c r="CD91" s="47" t="str">
        <f t="shared" si="43"/>
        <v/>
      </c>
      <c r="CE91" s="47" t="str">
        <f>IF(AH91="","",IF(OR(AI91&lt;&gt;'Seasonal Tercile Tally'!$B$3,AM91&lt;&gt;'Seasonal Tercile Tally'!$B$4),"Other site/ season",IF(DT91=0,"Excluded: duplicate (later row)",IF(N91&lt;&gt;1,"Excluded: not sighted",IF(AC91&lt;&gt;1,"Excluded: not confirmed",IF(AD91&lt;&gt;1,"Excluded: not approved",IF(AP91="Contested","Excluded: contested",IF(OR(U91="",U91=0),"Excluded: no tercile",IF(CB91="","Counted (simple tally only — no weight)","Counted")))))))))</f>
        <v/>
      </c>
      <c r="CF91" s="49" t="str">
        <f>IF(AH91="","",IFERROR(INDEX('Prior Multipliers'!$C$6:$C$70,MATCH(LEFT(AH91,10),'Prior Multipliers'!$A$6:$A$70,0)),IFERROR(INDEX('Prior Multipliers'!$C$6:$C$70,MATCH(LEFT(AH91,6),'Prior Multipliers'!$A$6:$A$70,0)),IFERROR(INDEX('Prior Multipliers'!$C$6:$C$70,MATCH(LEFT(AH91,2),'Prior Multipliers'!$A$6:$A$70,0)),1))))</f>
        <v/>
      </c>
      <c r="CG91" s="49" t="str">
        <f>IF(CB91="","",IF(AND('Seasonal Tercile Tally'!$B$5=1,BT91="Rating-based"),CB91*CF91,CB91))</f>
        <v/>
      </c>
      <c r="CH91" s="47">
        <f t="shared" si="44"/>
        <v>0</v>
      </c>
      <c r="CI91" s="45"/>
      <c r="CJ91" s="42" t="str">
        <f t="shared" si="45"/>
        <v/>
      </c>
      <c r="CM91" s="42" t="str">
        <f t="shared" si="46"/>
        <v/>
      </c>
      <c r="CP91" s="46" t="str">
        <f t="shared" si="47"/>
        <v/>
      </c>
      <c r="CS91" s="46" t="str">
        <f t="shared" si="48"/>
        <v/>
      </c>
      <c r="CT91" s="42" t="str">
        <f t="shared" si="49"/>
        <v/>
      </c>
      <c r="CU91" s="42" t="str">
        <f t="shared" si="50"/>
        <v/>
      </c>
      <c r="CV91" s="42" t="str">
        <f t="shared" si="51"/>
        <v/>
      </c>
      <c r="DB91" s="45"/>
      <c r="DH91" s="42" t="str">
        <f t="shared" si="52"/>
        <v/>
      </c>
      <c r="DI91" s="43" t="str">
        <f t="shared" si="53"/>
        <v/>
      </c>
      <c r="DK91" s="46" t="str">
        <f t="shared" si="54"/>
        <v/>
      </c>
      <c r="DQ91" s="42" t="str">
        <f>IF(AH91="","",IFERROR(ROUND(100*('Weighting Options'!$D$7*IF(ISNUMBER(CA91),CA91/3,0)+'Weighting Options'!$D$8*MIN(N(BL91),3)/3+'Weighting Options'!$D$9*IF(AP91="Community/Plenary-endorsed",1,IF(AP91="FGD-validated only",0.75,IF(AP91="Sub-community-specific",0.5,IF(AP91="Provisional/emerging",0.25,0))))+'Weighting Options'!$D$10*IF(ISNUMBER(K91),K91/3,0)+'Weighting Options'!$D$11*IF(CC91="",0.5,IF(CC91="OK",1,0.25))+'Weighting Options'!$D$12*IF(DK91="",0.5,IF(DK91="Agrees",1,IF(DK91="Opposite",0,0.5)))+'Weighting Options'!$D$13*MIN(N(BG91),3)/3+'Weighting Options'!$D$14*IF(AE91=1,1,0))/SUM('Weighting Options'!$D$7:$D$14),0),""))</f>
        <v/>
      </c>
      <c r="DR91" s="44" t="str">
        <f>IF(AH91="","",IFERROR(INDEX('Weighting Options'!$D$20:$D$27,VALUE(LEFT(TRIM(BU91),1))),1))</f>
        <v/>
      </c>
      <c r="DS91" s="44" t="str">
        <f t="shared" si="55"/>
        <v/>
      </c>
      <c r="DT91" s="42" t="str">
        <f>IF(AH91="","",IF(COUNTIFS($AH$12:AH91,AH91,$AI$12:AI91,AI91,$AM$12:AM91,AM91)=1,1,0))</f>
        <v/>
      </c>
    </row>
    <row r="92" spans="16:124" ht="12.75" customHeight="1" x14ac:dyDescent="0.35">
      <c r="P92" s="41"/>
      <c r="Q92" s="41"/>
      <c r="R92" s="41"/>
      <c r="S92" s="41"/>
      <c r="AH92" s="40"/>
      <c r="AP92" s="40"/>
      <c r="AS92" s="41"/>
      <c r="AT92" s="41"/>
      <c r="AW92" t="str">
        <f t="shared" si="28"/>
        <v/>
      </c>
      <c r="AX92" t="str">
        <f t="shared" si="29"/>
        <v/>
      </c>
      <c r="AY92" t="str">
        <f t="shared" si="30"/>
        <v/>
      </c>
      <c r="AZ92" s="40"/>
      <c r="BL92" s="47" t="str">
        <f t="shared" si="31"/>
        <v/>
      </c>
      <c r="BM92" s="47" t="str">
        <f t="shared" si="32"/>
        <v/>
      </c>
      <c r="BN92" s="47" t="str">
        <f t="shared" si="33"/>
        <v/>
      </c>
      <c r="BO92" s="47" t="str">
        <f t="shared" si="34"/>
        <v/>
      </c>
      <c r="BP92" s="47" t="str">
        <f t="shared" si="35"/>
        <v/>
      </c>
      <c r="BQ92" s="48" t="str">
        <f t="shared" si="36"/>
        <v/>
      </c>
      <c r="BR92" s="48" t="str">
        <f t="shared" si="37"/>
        <v/>
      </c>
      <c r="BS92" s="48" t="str">
        <f t="shared" si="38"/>
        <v/>
      </c>
      <c r="BT92" s="47" t="str">
        <f t="shared" si="39"/>
        <v/>
      </c>
      <c r="CA92" s="47" t="str">
        <f t="shared" si="40"/>
        <v/>
      </c>
      <c r="CB92" s="47" t="str">
        <f t="shared" si="41"/>
        <v/>
      </c>
      <c r="CC92" s="47" t="str">
        <f t="shared" si="42"/>
        <v/>
      </c>
      <c r="CD92" s="47" t="str">
        <f t="shared" si="43"/>
        <v/>
      </c>
      <c r="CE92" s="47" t="str">
        <f>IF(AH92="","",IF(OR(AI92&lt;&gt;'Seasonal Tercile Tally'!$B$3,AM92&lt;&gt;'Seasonal Tercile Tally'!$B$4),"Other site/ season",IF(DT92=0,"Excluded: duplicate (later row)",IF(N92&lt;&gt;1,"Excluded: not sighted",IF(AC92&lt;&gt;1,"Excluded: not confirmed",IF(AD92&lt;&gt;1,"Excluded: not approved",IF(AP92="Contested","Excluded: contested",IF(OR(U92="",U92=0),"Excluded: no tercile",IF(CB92="","Counted (simple tally only — no weight)","Counted")))))))))</f>
        <v/>
      </c>
      <c r="CF92" s="49" t="str">
        <f>IF(AH92="","",IFERROR(INDEX('Prior Multipliers'!$C$6:$C$70,MATCH(LEFT(AH92,10),'Prior Multipliers'!$A$6:$A$70,0)),IFERROR(INDEX('Prior Multipliers'!$C$6:$C$70,MATCH(LEFT(AH92,6),'Prior Multipliers'!$A$6:$A$70,0)),IFERROR(INDEX('Prior Multipliers'!$C$6:$C$70,MATCH(LEFT(AH92,2),'Prior Multipliers'!$A$6:$A$70,0)),1))))</f>
        <v/>
      </c>
      <c r="CG92" s="49" t="str">
        <f>IF(CB92="","",IF(AND('Seasonal Tercile Tally'!$B$5=1,BT92="Rating-based"),CB92*CF92,CB92))</f>
        <v/>
      </c>
      <c r="CH92" s="47">
        <f t="shared" si="44"/>
        <v>0</v>
      </c>
      <c r="CI92" s="45"/>
      <c r="CJ92" s="42" t="str">
        <f t="shared" si="45"/>
        <v/>
      </c>
      <c r="CM92" s="42" t="str">
        <f t="shared" si="46"/>
        <v/>
      </c>
      <c r="CP92" s="46" t="str">
        <f t="shared" si="47"/>
        <v/>
      </c>
      <c r="CS92" s="46" t="str">
        <f t="shared" si="48"/>
        <v/>
      </c>
      <c r="CT92" s="42" t="str">
        <f t="shared" si="49"/>
        <v/>
      </c>
      <c r="CU92" s="42" t="str">
        <f t="shared" si="50"/>
        <v/>
      </c>
      <c r="CV92" s="42" t="str">
        <f t="shared" si="51"/>
        <v/>
      </c>
      <c r="DB92" s="45"/>
      <c r="DH92" s="42" t="str">
        <f t="shared" si="52"/>
        <v/>
      </c>
      <c r="DI92" s="43" t="str">
        <f t="shared" si="53"/>
        <v/>
      </c>
      <c r="DK92" s="46" t="str">
        <f t="shared" si="54"/>
        <v/>
      </c>
      <c r="DQ92" s="42" t="str">
        <f>IF(AH92="","",IFERROR(ROUND(100*('Weighting Options'!$D$7*IF(ISNUMBER(CA92),CA92/3,0)+'Weighting Options'!$D$8*MIN(N(BL92),3)/3+'Weighting Options'!$D$9*IF(AP92="Community/Plenary-endorsed",1,IF(AP92="FGD-validated only",0.75,IF(AP92="Sub-community-specific",0.5,IF(AP92="Provisional/emerging",0.25,0))))+'Weighting Options'!$D$10*IF(ISNUMBER(K92),K92/3,0)+'Weighting Options'!$D$11*IF(CC92="",0.5,IF(CC92="OK",1,0.25))+'Weighting Options'!$D$12*IF(DK92="",0.5,IF(DK92="Agrees",1,IF(DK92="Opposite",0,0.5)))+'Weighting Options'!$D$13*MIN(N(BG92),3)/3+'Weighting Options'!$D$14*IF(AE92=1,1,0))/SUM('Weighting Options'!$D$7:$D$14),0),""))</f>
        <v/>
      </c>
      <c r="DR92" s="44" t="str">
        <f>IF(AH92="","",IFERROR(INDEX('Weighting Options'!$D$20:$D$27,VALUE(LEFT(TRIM(BU92),1))),1))</f>
        <v/>
      </c>
      <c r="DS92" s="44" t="str">
        <f t="shared" si="55"/>
        <v/>
      </c>
      <c r="DT92" s="42" t="str">
        <f>IF(AH92="","",IF(COUNTIFS($AH$12:AH92,AH92,$AI$12:AI92,AI92,$AM$12:AM92,AM92)=1,1,0))</f>
        <v/>
      </c>
    </row>
    <row r="93" spans="16:124" ht="12.75" customHeight="1" x14ac:dyDescent="0.35">
      <c r="P93" s="41"/>
      <c r="Q93" s="41"/>
      <c r="R93" s="41"/>
      <c r="S93" s="41"/>
      <c r="AH93" s="40"/>
      <c r="AP93" s="40"/>
      <c r="AS93" s="41"/>
      <c r="AT93" s="41"/>
      <c r="AW93" t="str">
        <f t="shared" si="28"/>
        <v/>
      </c>
      <c r="AX93" t="str">
        <f t="shared" si="29"/>
        <v/>
      </c>
      <c r="AY93" t="str">
        <f t="shared" si="30"/>
        <v/>
      </c>
      <c r="AZ93" s="40"/>
      <c r="BL93" s="47" t="str">
        <f t="shared" si="31"/>
        <v/>
      </c>
      <c r="BM93" s="47" t="str">
        <f t="shared" si="32"/>
        <v/>
      </c>
      <c r="BN93" s="47" t="str">
        <f t="shared" si="33"/>
        <v/>
      </c>
      <c r="BO93" s="47" t="str">
        <f t="shared" si="34"/>
        <v/>
      </c>
      <c r="BP93" s="47" t="str">
        <f t="shared" si="35"/>
        <v/>
      </c>
      <c r="BQ93" s="48" t="str">
        <f t="shared" si="36"/>
        <v/>
      </c>
      <c r="BR93" s="48" t="str">
        <f t="shared" si="37"/>
        <v/>
      </c>
      <c r="BS93" s="48" t="str">
        <f t="shared" si="38"/>
        <v/>
      </c>
      <c r="BT93" s="47" t="str">
        <f t="shared" si="39"/>
        <v/>
      </c>
      <c r="CA93" s="47" t="str">
        <f t="shared" si="40"/>
        <v/>
      </c>
      <c r="CB93" s="47" t="str">
        <f t="shared" si="41"/>
        <v/>
      </c>
      <c r="CC93" s="47" t="str">
        <f t="shared" si="42"/>
        <v/>
      </c>
      <c r="CD93" s="47" t="str">
        <f t="shared" si="43"/>
        <v/>
      </c>
      <c r="CE93" s="47" t="str">
        <f>IF(AH93="","",IF(OR(AI93&lt;&gt;'Seasonal Tercile Tally'!$B$3,AM93&lt;&gt;'Seasonal Tercile Tally'!$B$4),"Other site/ season",IF(DT93=0,"Excluded: duplicate (later row)",IF(N93&lt;&gt;1,"Excluded: not sighted",IF(AC93&lt;&gt;1,"Excluded: not confirmed",IF(AD93&lt;&gt;1,"Excluded: not approved",IF(AP93="Contested","Excluded: contested",IF(OR(U93="",U93=0),"Excluded: no tercile",IF(CB93="","Counted (simple tally only — no weight)","Counted")))))))))</f>
        <v/>
      </c>
      <c r="CF93" s="49" t="str">
        <f>IF(AH93="","",IFERROR(INDEX('Prior Multipliers'!$C$6:$C$70,MATCH(LEFT(AH93,10),'Prior Multipliers'!$A$6:$A$70,0)),IFERROR(INDEX('Prior Multipliers'!$C$6:$C$70,MATCH(LEFT(AH93,6),'Prior Multipliers'!$A$6:$A$70,0)),IFERROR(INDEX('Prior Multipliers'!$C$6:$C$70,MATCH(LEFT(AH93,2),'Prior Multipliers'!$A$6:$A$70,0)),1))))</f>
        <v/>
      </c>
      <c r="CG93" s="49" t="str">
        <f>IF(CB93="","",IF(AND('Seasonal Tercile Tally'!$B$5=1,BT93="Rating-based"),CB93*CF93,CB93))</f>
        <v/>
      </c>
      <c r="CH93" s="47">
        <f t="shared" si="44"/>
        <v>0</v>
      </c>
      <c r="CI93" s="45"/>
      <c r="CJ93" s="42" t="str">
        <f t="shared" si="45"/>
        <v/>
      </c>
      <c r="CM93" s="42" t="str">
        <f t="shared" si="46"/>
        <v/>
      </c>
      <c r="CP93" s="46" t="str">
        <f t="shared" si="47"/>
        <v/>
      </c>
      <c r="CS93" s="46" t="str">
        <f t="shared" si="48"/>
        <v/>
      </c>
      <c r="CT93" s="42" t="str">
        <f t="shared" si="49"/>
        <v/>
      </c>
      <c r="CU93" s="42" t="str">
        <f t="shared" si="50"/>
        <v/>
      </c>
      <c r="CV93" s="42" t="str">
        <f t="shared" si="51"/>
        <v/>
      </c>
      <c r="DB93" s="45"/>
      <c r="DH93" s="42" t="str">
        <f t="shared" si="52"/>
        <v/>
      </c>
      <c r="DI93" s="43" t="str">
        <f t="shared" si="53"/>
        <v/>
      </c>
      <c r="DK93" s="46" t="str">
        <f t="shared" si="54"/>
        <v/>
      </c>
      <c r="DQ93" s="42" t="str">
        <f>IF(AH93="","",IFERROR(ROUND(100*('Weighting Options'!$D$7*IF(ISNUMBER(CA93),CA93/3,0)+'Weighting Options'!$D$8*MIN(N(BL93),3)/3+'Weighting Options'!$D$9*IF(AP93="Community/Plenary-endorsed",1,IF(AP93="FGD-validated only",0.75,IF(AP93="Sub-community-specific",0.5,IF(AP93="Provisional/emerging",0.25,0))))+'Weighting Options'!$D$10*IF(ISNUMBER(K93),K93/3,0)+'Weighting Options'!$D$11*IF(CC93="",0.5,IF(CC93="OK",1,0.25))+'Weighting Options'!$D$12*IF(DK93="",0.5,IF(DK93="Agrees",1,IF(DK93="Opposite",0,0.5)))+'Weighting Options'!$D$13*MIN(N(BG93),3)/3+'Weighting Options'!$D$14*IF(AE93=1,1,0))/SUM('Weighting Options'!$D$7:$D$14),0),""))</f>
        <v/>
      </c>
      <c r="DR93" s="44" t="str">
        <f>IF(AH93="","",IFERROR(INDEX('Weighting Options'!$D$20:$D$27,VALUE(LEFT(TRIM(BU93),1))),1))</f>
        <v/>
      </c>
      <c r="DS93" s="44" t="str">
        <f t="shared" si="55"/>
        <v/>
      </c>
      <c r="DT93" s="42" t="str">
        <f>IF(AH93="","",IF(COUNTIFS($AH$12:AH93,AH93,$AI$12:AI93,AI93,$AM$12:AM93,AM93)=1,1,0))</f>
        <v/>
      </c>
    </row>
    <row r="94" spans="16:124" ht="12.75" customHeight="1" x14ac:dyDescent="0.35">
      <c r="P94" s="41"/>
      <c r="Q94" s="41"/>
      <c r="R94" s="41"/>
      <c r="S94" s="41"/>
      <c r="AH94" s="40"/>
      <c r="AP94" s="40"/>
      <c r="AS94" s="41"/>
      <c r="AT94" s="41"/>
      <c r="AW94" t="str">
        <f t="shared" si="28"/>
        <v/>
      </c>
      <c r="AX94" t="str">
        <f t="shared" si="29"/>
        <v/>
      </c>
      <c r="AY94" t="str">
        <f t="shared" si="30"/>
        <v/>
      </c>
      <c r="AZ94" s="40"/>
      <c r="BL94" s="47" t="str">
        <f t="shared" si="31"/>
        <v/>
      </c>
      <c r="BM94" s="47" t="str">
        <f t="shared" si="32"/>
        <v/>
      </c>
      <c r="BN94" s="47" t="str">
        <f t="shared" si="33"/>
        <v/>
      </c>
      <c r="BO94" s="47" t="str">
        <f t="shared" si="34"/>
        <v/>
      </c>
      <c r="BP94" s="47" t="str">
        <f t="shared" si="35"/>
        <v/>
      </c>
      <c r="BQ94" s="48" t="str">
        <f t="shared" si="36"/>
        <v/>
      </c>
      <c r="BR94" s="48" t="str">
        <f t="shared" si="37"/>
        <v/>
      </c>
      <c r="BS94" s="48" t="str">
        <f t="shared" si="38"/>
        <v/>
      </c>
      <c r="BT94" s="47" t="str">
        <f t="shared" si="39"/>
        <v/>
      </c>
      <c r="CA94" s="47" t="str">
        <f t="shared" si="40"/>
        <v/>
      </c>
      <c r="CB94" s="47" t="str">
        <f t="shared" si="41"/>
        <v/>
      </c>
      <c r="CC94" s="47" t="str">
        <f t="shared" si="42"/>
        <v/>
      </c>
      <c r="CD94" s="47" t="str">
        <f t="shared" si="43"/>
        <v/>
      </c>
      <c r="CE94" s="47" t="str">
        <f>IF(AH94="","",IF(OR(AI94&lt;&gt;'Seasonal Tercile Tally'!$B$3,AM94&lt;&gt;'Seasonal Tercile Tally'!$B$4),"Other site/ season",IF(DT94=0,"Excluded: duplicate (later row)",IF(N94&lt;&gt;1,"Excluded: not sighted",IF(AC94&lt;&gt;1,"Excluded: not confirmed",IF(AD94&lt;&gt;1,"Excluded: not approved",IF(AP94="Contested","Excluded: contested",IF(OR(U94="",U94=0),"Excluded: no tercile",IF(CB94="","Counted (simple tally only — no weight)","Counted")))))))))</f>
        <v/>
      </c>
      <c r="CF94" s="49" t="str">
        <f>IF(AH94="","",IFERROR(INDEX('Prior Multipliers'!$C$6:$C$70,MATCH(LEFT(AH94,10),'Prior Multipliers'!$A$6:$A$70,0)),IFERROR(INDEX('Prior Multipliers'!$C$6:$C$70,MATCH(LEFT(AH94,6),'Prior Multipliers'!$A$6:$A$70,0)),IFERROR(INDEX('Prior Multipliers'!$C$6:$C$70,MATCH(LEFT(AH94,2),'Prior Multipliers'!$A$6:$A$70,0)),1))))</f>
        <v/>
      </c>
      <c r="CG94" s="49" t="str">
        <f>IF(CB94="","",IF(AND('Seasonal Tercile Tally'!$B$5=1,BT94="Rating-based"),CB94*CF94,CB94))</f>
        <v/>
      </c>
      <c r="CH94" s="47">
        <f t="shared" si="44"/>
        <v>0</v>
      </c>
      <c r="CI94" s="45"/>
      <c r="CJ94" s="42" t="str">
        <f t="shared" si="45"/>
        <v/>
      </c>
      <c r="CM94" s="42" t="str">
        <f t="shared" si="46"/>
        <v/>
      </c>
      <c r="CP94" s="46" t="str">
        <f t="shared" si="47"/>
        <v/>
      </c>
      <c r="CS94" s="46" t="str">
        <f t="shared" si="48"/>
        <v/>
      </c>
      <c r="CT94" s="42" t="str">
        <f t="shared" si="49"/>
        <v/>
      </c>
      <c r="CU94" s="42" t="str">
        <f t="shared" si="50"/>
        <v/>
      </c>
      <c r="CV94" s="42" t="str">
        <f t="shared" si="51"/>
        <v/>
      </c>
      <c r="DB94" s="45"/>
      <c r="DH94" s="42" t="str">
        <f t="shared" si="52"/>
        <v/>
      </c>
      <c r="DI94" s="43" t="str">
        <f t="shared" si="53"/>
        <v/>
      </c>
      <c r="DK94" s="46" t="str">
        <f t="shared" si="54"/>
        <v/>
      </c>
      <c r="DQ94" s="42" t="str">
        <f>IF(AH94="","",IFERROR(ROUND(100*('Weighting Options'!$D$7*IF(ISNUMBER(CA94),CA94/3,0)+'Weighting Options'!$D$8*MIN(N(BL94),3)/3+'Weighting Options'!$D$9*IF(AP94="Community/Plenary-endorsed",1,IF(AP94="FGD-validated only",0.75,IF(AP94="Sub-community-specific",0.5,IF(AP94="Provisional/emerging",0.25,0))))+'Weighting Options'!$D$10*IF(ISNUMBER(K94),K94/3,0)+'Weighting Options'!$D$11*IF(CC94="",0.5,IF(CC94="OK",1,0.25))+'Weighting Options'!$D$12*IF(DK94="",0.5,IF(DK94="Agrees",1,IF(DK94="Opposite",0,0.5)))+'Weighting Options'!$D$13*MIN(N(BG94),3)/3+'Weighting Options'!$D$14*IF(AE94=1,1,0))/SUM('Weighting Options'!$D$7:$D$14),0),""))</f>
        <v/>
      </c>
      <c r="DR94" s="44" t="str">
        <f>IF(AH94="","",IFERROR(INDEX('Weighting Options'!$D$20:$D$27,VALUE(LEFT(TRIM(BU94),1))),1))</f>
        <v/>
      </c>
      <c r="DS94" s="44" t="str">
        <f t="shared" si="55"/>
        <v/>
      </c>
      <c r="DT94" s="42" t="str">
        <f>IF(AH94="","",IF(COUNTIFS($AH$12:AH94,AH94,$AI$12:AI94,AI94,$AM$12:AM94,AM94)=1,1,0))</f>
        <v/>
      </c>
    </row>
    <row r="95" spans="16:124" ht="12.75" customHeight="1" x14ac:dyDescent="0.35">
      <c r="P95" s="41"/>
      <c r="Q95" s="41"/>
      <c r="R95" s="41"/>
      <c r="S95" s="41"/>
      <c r="AH95" s="40"/>
      <c r="AP95" s="40"/>
      <c r="AS95" s="41"/>
      <c r="AT95" s="41"/>
      <c r="AW95" t="str">
        <f t="shared" si="28"/>
        <v/>
      </c>
      <c r="AX95" t="str">
        <f t="shared" si="29"/>
        <v/>
      </c>
      <c r="AY95" t="str">
        <f t="shared" si="30"/>
        <v/>
      </c>
      <c r="AZ95" s="40"/>
      <c r="BL95" s="47" t="str">
        <f t="shared" si="31"/>
        <v/>
      </c>
      <c r="BM95" s="47" t="str">
        <f t="shared" si="32"/>
        <v/>
      </c>
      <c r="BN95" s="47" t="str">
        <f t="shared" si="33"/>
        <v/>
      </c>
      <c r="BO95" s="47" t="str">
        <f t="shared" si="34"/>
        <v/>
      </c>
      <c r="BP95" s="47" t="str">
        <f t="shared" si="35"/>
        <v/>
      </c>
      <c r="BQ95" s="48" t="str">
        <f t="shared" si="36"/>
        <v/>
      </c>
      <c r="BR95" s="48" t="str">
        <f t="shared" si="37"/>
        <v/>
      </c>
      <c r="BS95" s="48" t="str">
        <f t="shared" si="38"/>
        <v/>
      </c>
      <c r="BT95" s="47" t="str">
        <f t="shared" si="39"/>
        <v/>
      </c>
      <c r="CA95" s="47" t="str">
        <f t="shared" si="40"/>
        <v/>
      </c>
      <c r="CB95" s="47" t="str">
        <f t="shared" si="41"/>
        <v/>
      </c>
      <c r="CC95" s="47" t="str">
        <f t="shared" si="42"/>
        <v/>
      </c>
      <c r="CD95" s="47" t="str">
        <f t="shared" si="43"/>
        <v/>
      </c>
      <c r="CE95" s="47" t="str">
        <f>IF(AH95="","",IF(OR(AI95&lt;&gt;'Seasonal Tercile Tally'!$B$3,AM95&lt;&gt;'Seasonal Tercile Tally'!$B$4),"Other site/ season",IF(DT95=0,"Excluded: duplicate (later row)",IF(N95&lt;&gt;1,"Excluded: not sighted",IF(AC95&lt;&gt;1,"Excluded: not confirmed",IF(AD95&lt;&gt;1,"Excluded: not approved",IF(AP95="Contested","Excluded: contested",IF(OR(U95="",U95=0),"Excluded: no tercile",IF(CB95="","Counted (simple tally only — no weight)","Counted")))))))))</f>
        <v/>
      </c>
      <c r="CF95" s="49" t="str">
        <f>IF(AH95="","",IFERROR(INDEX('Prior Multipliers'!$C$6:$C$70,MATCH(LEFT(AH95,10),'Prior Multipliers'!$A$6:$A$70,0)),IFERROR(INDEX('Prior Multipliers'!$C$6:$C$70,MATCH(LEFT(AH95,6),'Prior Multipliers'!$A$6:$A$70,0)),IFERROR(INDEX('Prior Multipliers'!$C$6:$C$70,MATCH(LEFT(AH95,2),'Prior Multipliers'!$A$6:$A$70,0)),1))))</f>
        <v/>
      </c>
      <c r="CG95" s="49" t="str">
        <f>IF(CB95="","",IF(AND('Seasonal Tercile Tally'!$B$5=1,BT95="Rating-based"),CB95*CF95,CB95))</f>
        <v/>
      </c>
      <c r="CH95" s="47">
        <f t="shared" si="44"/>
        <v>0</v>
      </c>
      <c r="CI95" s="45"/>
      <c r="CJ95" s="42" t="str">
        <f t="shared" si="45"/>
        <v/>
      </c>
      <c r="CM95" s="42" t="str">
        <f t="shared" si="46"/>
        <v/>
      </c>
      <c r="CP95" s="46" t="str">
        <f t="shared" si="47"/>
        <v/>
      </c>
      <c r="CS95" s="46" t="str">
        <f t="shared" si="48"/>
        <v/>
      </c>
      <c r="CT95" s="42" t="str">
        <f t="shared" si="49"/>
        <v/>
      </c>
      <c r="CU95" s="42" t="str">
        <f t="shared" si="50"/>
        <v/>
      </c>
      <c r="CV95" s="42" t="str">
        <f t="shared" si="51"/>
        <v/>
      </c>
      <c r="DB95" s="45"/>
      <c r="DH95" s="42" t="str">
        <f t="shared" si="52"/>
        <v/>
      </c>
      <c r="DI95" s="43" t="str">
        <f t="shared" si="53"/>
        <v/>
      </c>
      <c r="DK95" s="46" t="str">
        <f t="shared" si="54"/>
        <v/>
      </c>
      <c r="DQ95" s="42" t="str">
        <f>IF(AH95="","",IFERROR(ROUND(100*('Weighting Options'!$D$7*IF(ISNUMBER(CA95),CA95/3,0)+'Weighting Options'!$D$8*MIN(N(BL95),3)/3+'Weighting Options'!$D$9*IF(AP95="Community/Plenary-endorsed",1,IF(AP95="FGD-validated only",0.75,IF(AP95="Sub-community-specific",0.5,IF(AP95="Provisional/emerging",0.25,0))))+'Weighting Options'!$D$10*IF(ISNUMBER(K95),K95/3,0)+'Weighting Options'!$D$11*IF(CC95="",0.5,IF(CC95="OK",1,0.25))+'Weighting Options'!$D$12*IF(DK95="",0.5,IF(DK95="Agrees",1,IF(DK95="Opposite",0,0.5)))+'Weighting Options'!$D$13*MIN(N(BG95),3)/3+'Weighting Options'!$D$14*IF(AE95=1,1,0))/SUM('Weighting Options'!$D$7:$D$14),0),""))</f>
        <v/>
      </c>
      <c r="DR95" s="44" t="str">
        <f>IF(AH95="","",IFERROR(INDEX('Weighting Options'!$D$20:$D$27,VALUE(LEFT(TRIM(BU95),1))),1))</f>
        <v/>
      </c>
      <c r="DS95" s="44" t="str">
        <f t="shared" si="55"/>
        <v/>
      </c>
      <c r="DT95" s="42" t="str">
        <f>IF(AH95="","",IF(COUNTIFS($AH$12:AH95,AH95,$AI$12:AI95,AI95,$AM$12:AM95,AM95)=1,1,0))</f>
        <v/>
      </c>
    </row>
    <row r="96" spans="16:124" ht="12.75" customHeight="1" x14ac:dyDescent="0.35">
      <c r="P96" s="41"/>
      <c r="Q96" s="41"/>
      <c r="R96" s="41"/>
      <c r="S96" s="41"/>
      <c r="AH96" s="40"/>
      <c r="AP96" s="40"/>
      <c r="AS96" s="41"/>
      <c r="AT96" s="41"/>
      <c r="AW96" t="str">
        <f t="shared" si="28"/>
        <v/>
      </c>
      <c r="AX96" t="str">
        <f t="shared" si="29"/>
        <v/>
      </c>
      <c r="AY96" t="str">
        <f t="shared" si="30"/>
        <v/>
      </c>
      <c r="AZ96" s="40"/>
      <c r="BL96" s="47" t="str">
        <f t="shared" si="31"/>
        <v/>
      </c>
      <c r="BM96" s="47" t="str">
        <f t="shared" si="32"/>
        <v/>
      </c>
      <c r="BN96" s="47" t="str">
        <f t="shared" si="33"/>
        <v/>
      </c>
      <c r="BO96" s="47" t="str">
        <f t="shared" si="34"/>
        <v/>
      </c>
      <c r="BP96" s="47" t="str">
        <f t="shared" si="35"/>
        <v/>
      </c>
      <c r="BQ96" s="48" t="str">
        <f t="shared" si="36"/>
        <v/>
      </c>
      <c r="BR96" s="48" t="str">
        <f t="shared" si="37"/>
        <v/>
      </c>
      <c r="BS96" s="48" t="str">
        <f t="shared" si="38"/>
        <v/>
      </c>
      <c r="BT96" s="47" t="str">
        <f t="shared" si="39"/>
        <v/>
      </c>
      <c r="CA96" s="47" t="str">
        <f t="shared" si="40"/>
        <v/>
      </c>
      <c r="CB96" s="47" t="str">
        <f t="shared" si="41"/>
        <v/>
      </c>
      <c r="CC96" s="47" t="str">
        <f t="shared" si="42"/>
        <v/>
      </c>
      <c r="CD96" s="47" t="str">
        <f t="shared" si="43"/>
        <v/>
      </c>
      <c r="CE96" s="47" t="str">
        <f>IF(AH96="","",IF(OR(AI96&lt;&gt;'Seasonal Tercile Tally'!$B$3,AM96&lt;&gt;'Seasonal Tercile Tally'!$B$4),"Other site/ season",IF(DT96=0,"Excluded: duplicate (later row)",IF(N96&lt;&gt;1,"Excluded: not sighted",IF(AC96&lt;&gt;1,"Excluded: not confirmed",IF(AD96&lt;&gt;1,"Excluded: not approved",IF(AP96="Contested","Excluded: contested",IF(OR(U96="",U96=0),"Excluded: no tercile",IF(CB96="","Counted (simple tally only — no weight)","Counted")))))))))</f>
        <v/>
      </c>
      <c r="CF96" s="49" t="str">
        <f>IF(AH96="","",IFERROR(INDEX('Prior Multipliers'!$C$6:$C$70,MATCH(LEFT(AH96,10),'Prior Multipliers'!$A$6:$A$70,0)),IFERROR(INDEX('Prior Multipliers'!$C$6:$C$70,MATCH(LEFT(AH96,6),'Prior Multipliers'!$A$6:$A$70,0)),IFERROR(INDEX('Prior Multipliers'!$C$6:$C$70,MATCH(LEFT(AH96,2),'Prior Multipliers'!$A$6:$A$70,0)),1))))</f>
        <v/>
      </c>
      <c r="CG96" s="49" t="str">
        <f>IF(CB96="","",IF(AND('Seasonal Tercile Tally'!$B$5=1,BT96="Rating-based"),CB96*CF96,CB96))</f>
        <v/>
      </c>
      <c r="CH96" s="47">
        <f t="shared" si="44"/>
        <v>0</v>
      </c>
      <c r="CI96" s="45"/>
      <c r="CJ96" s="42" t="str">
        <f t="shared" si="45"/>
        <v/>
      </c>
      <c r="CM96" s="42" t="str">
        <f t="shared" si="46"/>
        <v/>
      </c>
      <c r="CP96" s="46" t="str">
        <f t="shared" si="47"/>
        <v/>
      </c>
      <c r="CS96" s="46" t="str">
        <f t="shared" si="48"/>
        <v/>
      </c>
      <c r="CT96" s="42" t="str">
        <f t="shared" si="49"/>
        <v/>
      </c>
      <c r="CU96" s="42" t="str">
        <f t="shared" si="50"/>
        <v/>
      </c>
      <c r="CV96" s="42" t="str">
        <f t="shared" si="51"/>
        <v/>
      </c>
      <c r="DB96" s="45"/>
      <c r="DH96" s="42" t="str">
        <f t="shared" si="52"/>
        <v/>
      </c>
      <c r="DI96" s="43" t="str">
        <f t="shared" si="53"/>
        <v/>
      </c>
      <c r="DK96" s="46" t="str">
        <f t="shared" si="54"/>
        <v/>
      </c>
      <c r="DQ96" s="42" t="str">
        <f>IF(AH96="","",IFERROR(ROUND(100*('Weighting Options'!$D$7*IF(ISNUMBER(CA96),CA96/3,0)+'Weighting Options'!$D$8*MIN(N(BL96),3)/3+'Weighting Options'!$D$9*IF(AP96="Community/Plenary-endorsed",1,IF(AP96="FGD-validated only",0.75,IF(AP96="Sub-community-specific",0.5,IF(AP96="Provisional/emerging",0.25,0))))+'Weighting Options'!$D$10*IF(ISNUMBER(K96),K96/3,0)+'Weighting Options'!$D$11*IF(CC96="",0.5,IF(CC96="OK",1,0.25))+'Weighting Options'!$D$12*IF(DK96="",0.5,IF(DK96="Agrees",1,IF(DK96="Opposite",0,0.5)))+'Weighting Options'!$D$13*MIN(N(BG96),3)/3+'Weighting Options'!$D$14*IF(AE96=1,1,0))/SUM('Weighting Options'!$D$7:$D$14),0),""))</f>
        <v/>
      </c>
      <c r="DR96" s="44" t="str">
        <f>IF(AH96="","",IFERROR(INDEX('Weighting Options'!$D$20:$D$27,VALUE(LEFT(TRIM(BU96),1))),1))</f>
        <v/>
      </c>
      <c r="DS96" s="44" t="str">
        <f t="shared" si="55"/>
        <v/>
      </c>
      <c r="DT96" s="42" t="str">
        <f>IF(AH96="","",IF(COUNTIFS($AH$12:AH96,AH96,$AI$12:AI96,AI96,$AM$12:AM96,AM96)=1,1,0))</f>
        <v/>
      </c>
    </row>
    <row r="97" spans="16:124" ht="12.75" customHeight="1" x14ac:dyDescent="0.35">
      <c r="P97" s="41"/>
      <c r="Q97" s="41"/>
      <c r="R97" s="41"/>
      <c r="S97" s="41"/>
      <c r="AH97" s="40"/>
      <c r="AP97" s="40"/>
      <c r="AS97" s="41"/>
      <c r="AT97" s="41"/>
      <c r="AW97" t="str">
        <f t="shared" si="28"/>
        <v/>
      </c>
      <c r="AX97" t="str">
        <f t="shared" si="29"/>
        <v/>
      </c>
      <c r="AY97" t="str">
        <f t="shared" si="30"/>
        <v/>
      </c>
      <c r="AZ97" s="40"/>
      <c r="BL97" s="47" t="str">
        <f t="shared" si="31"/>
        <v/>
      </c>
      <c r="BM97" s="47" t="str">
        <f t="shared" si="32"/>
        <v/>
      </c>
      <c r="BN97" s="47" t="str">
        <f t="shared" si="33"/>
        <v/>
      </c>
      <c r="BO97" s="47" t="str">
        <f t="shared" si="34"/>
        <v/>
      </c>
      <c r="BP97" s="47" t="str">
        <f t="shared" si="35"/>
        <v/>
      </c>
      <c r="BQ97" s="48" t="str">
        <f t="shared" si="36"/>
        <v/>
      </c>
      <c r="BR97" s="48" t="str">
        <f t="shared" si="37"/>
        <v/>
      </c>
      <c r="BS97" s="48" t="str">
        <f t="shared" si="38"/>
        <v/>
      </c>
      <c r="BT97" s="47" t="str">
        <f t="shared" si="39"/>
        <v/>
      </c>
      <c r="CA97" s="47" t="str">
        <f t="shared" si="40"/>
        <v/>
      </c>
      <c r="CB97" s="47" t="str">
        <f t="shared" si="41"/>
        <v/>
      </c>
      <c r="CC97" s="47" t="str">
        <f t="shared" si="42"/>
        <v/>
      </c>
      <c r="CD97" s="47" t="str">
        <f t="shared" si="43"/>
        <v/>
      </c>
      <c r="CE97" s="47" t="str">
        <f>IF(AH97="","",IF(OR(AI97&lt;&gt;'Seasonal Tercile Tally'!$B$3,AM97&lt;&gt;'Seasonal Tercile Tally'!$B$4),"Other site/ season",IF(DT97=0,"Excluded: duplicate (later row)",IF(N97&lt;&gt;1,"Excluded: not sighted",IF(AC97&lt;&gt;1,"Excluded: not confirmed",IF(AD97&lt;&gt;1,"Excluded: not approved",IF(AP97="Contested","Excluded: contested",IF(OR(U97="",U97=0),"Excluded: no tercile",IF(CB97="","Counted (simple tally only — no weight)","Counted")))))))))</f>
        <v/>
      </c>
      <c r="CF97" s="49" t="str">
        <f>IF(AH97="","",IFERROR(INDEX('Prior Multipliers'!$C$6:$C$70,MATCH(LEFT(AH97,10),'Prior Multipliers'!$A$6:$A$70,0)),IFERROR(INDEX('Prior Multipliers'!$C$6:$C$70,MATCH(LEFT(AH97,6),'Prior Multipliers'!$A$6:$A$70,0)),IFERROR(INDEX('Prior Multipliers'!$C$6:$C$70,MATCH(LEFT(AH97,2),'Prior Multipliers'!$A$6:$A$70,0)),1))))</f>
        <v/>
      </c>
      <c r="CG97" s="49" t="str">
        <f>IF(CB97="","",IF(AND('Seasonal Tercile Tally'!$B$5=1,BT97="Rating-based"),CB97*CF97,CB97))</f>
        <v/>
      </c>
      <c r="CH97" s="47">
        <f t="shared" si="44"/>
        <v>0</v>
      </c>
      <c r="CI97" s="45"/>
      <c r="CJ97" s="42" t="str">
        <f t="shared" si="45"/>
        <v/>
      </c>
      <c r="CM97" s="42" t="str">
        <f t="shared" si="46"/>
        <v/>
      </c>
      <c r="CP97" s="46" t="str">
        <f t="shared" si="47"/>
        <v/>
      </c>
      <c r="CS97" s="46" t="str">
        <f t="shared" si="48"/>
        <v/>
      </c>
      <c r="CT97" s="42" t="str">
        <f t="shared" si="49"/>
        <v/>
      </c>
      <c r="CU97" s="42" t="str">
        <f t="shared" si="50"/>
        <v/>
      </c>
      <c r="CV97" s="42" t="str">
        <f t="shared" si="51"/>
        <v/>
      </c>
      <c r="DB97" s="45"/>
      <c r="DH97" s="42" t="str">
        <f t="shared" si="52"/>
        <v/>
      </c>
      <c r="DI97" s="43" t="str">
        <f t="shared" si="53"/>
        <v/>
      </c>
      <c r="DK97" s="46" t="str">
        <f t="shared" si="54"/>
        <v/>
      </c>
      <c r="DQ97" s="42" t="str">
        <f>IF(AH97="","",IFERROR(ROUND(100*('Weighting Options'!$D$7*IF(ISNUMBER(CA97),CA97/3,0)+'Weighting Options'!$D$8*MIN(N(BL97),3)/3+'Weighting Options'!$D$9*IF(AP97="Community/Plenary-endorsed",1,IF(AP97="FGD-validated only",0.75,IF(AP97="Sub-community-specific",0.5,IF(AP97="Provisional/emerging",0.25,0))))+'Weighting Options'!$D$10*IF(ISNUMBER(K97),K97/3,0)+'Weighting Options'!$D$11*IF(CC97="",0.5,IF(CC97="OK",1,0.25))+'Weighting Options'!$D$12*IF(DK97="",0.5,IF(DK97="Agrees",1,IF(DK97="Opposite",0,0.5)))+'Weighting Options'!$D$13*MIN(N(BG97),3)/3+'Weighting Options'!$D$14*IF(AE97=1,1,0))/SUM('Weighting Options'!$D$7:$D$14),0),""))</f>
        <v/>
      </c>
      <c r="DR97" s="44" t="str">
        <f>IF(AH97="","",IFERROR(INDEX('Weighting Options'!$D$20:$D$27,VALUE(LEFT(TRIM(BU97),1))),1))</f>
        <v/>
      </c>
      <c r="DS97" s="44" t="str">
        <f t="shared" si="55"/>
        <v/>
      </c>
      <c r="DT97" s="42" t="str">
        <f>IF(AH97="","",IF(COUNTIFS($AH$12:AH97,AH97,$AI$12:AI97,AI97,$AM$12:AM97,AM97)=1,1,0))</f>
        <v/>
      </c>
    </row>
    <row r="98" spans="16:124" ht="12.75" customHeight="1" x14ac:dyDescent="0.35">
      <c r="P98" s="41"/>
      <c r="Q98" s="41"/>
      <c r="R98" s="41"/>
      <c r="S98" s="41"/>
      <c r="AH98" s="40"/>
      <c r="AP98" s="40"/>
      <c r="AS98" s="41"/>
      <c r="AT98" s="41"/>
      <c r="AW98" t="str">
        <f t="shared" si="28"/>
        <v/>
      </c>
      <c r="AX98" t="str">
        <f t="shared" si="29"/>
        <v/>
      </c>
      <c r="AY98" t="str">
        <f t="shared" si="30"/>
        <v/>
      </c>
      <c r="AZ98" s="40"/>
      <c r="BL98" s="47" t="str">
        <f t="shared" si="31"/>
        <v/>
      </c>
      <c r="BM98" s="47" t="str">
        <f t="shared" si="32"/>
        <v/>
      </c>
      <c r="BN98" s="47" t="str">
        <f t="shared" si="33"/>
        <v/>
      </c>
      <c r="BO98" s="47" t="str">
        <f t="shared" si="34"/>
        <v/>
      </c>
      <c r="BP98" s="47" t="str">
        <f t="shared" si="35"/>
        <v/>
      </c>
      <c r="BQ98" s="48" t="str">
        <f t="shared" si="36"/>
        <v/>
      </c>
      <c r="BR98" s="48" t="str">
        <f t="shared" si="37"/>
        <v/>
      </c>
      <c r="BS98" s="48" t="str">
        <f t="shared" si="38"/>
        <v/>
      </c>
      <c r="BT98" s="47" t="str">
        <f t="shared" si="39"/>
        <v/>
      </c>
      <c r="CA98" s="47" t="str">
        <f t="shared" si="40"/>
        <v/>
      </c>
      <c r="CB98" s="47" t="str">
        <f t="shared" si="41"/>
        <v/>
      </c>
      <c r="CC98" s="47" t="str">
        <f t="shared" si="42"/>
        <v/>
      </c>
      <c r="CD98" s="47" t="str">
        <f t="shared" si="43"/>
        <v/>
      </c>
      <c r="CE98" s="47" t="str">
        <f>IF(AH98="","",IF(OR(AI98&lt;&gt;'Seasonal Tercile Tally'!$B$3,AM98&lt;&gt;'Seasonal Tercile Tally'!$B$4),"Other site/ season",IF(DT98=0,"Excluded: duplicate (later row)",IF(N98&lt;&gt;1,"Excluded: not sighted",IF(AC98&lt;&gt;1,"Excluded: not confirmed",IF(AD98&lt;&gt;1,"Excluded: not approved",IF(AP98="Contested","Excluded: contested",IF(OR(U98="",U98=0),"Excluded: no tercile",IF(CB98="","Counted (simple tally only — no weight)","Counted")))))))))</f>
        <v/>
      </c>
      <c r="CF98" s="49" t="str">
        <f>IF(AH98="","",IFERROR(INDEX('Prior Multipliers'!$C$6:$C$70,MATCH(LEFT(AH98,10),'Prior Multipliers'!$A$6:$A$70,0)),IFERROR(INDEX('Prior Multipliers'!$C$6:$C$70,MATCH(LEFT(AH98,6),'Prior Multipliers'!$A$6:$A$70,0)),IFERROR(INDEX('Prior Multipliers'!$C$6:$C$70,MATCH(LEFT(AH98,2),'Prior Multipliers'!$A$6:$A$70,0)),1))))</f>
        <v/>
      </c>
      <c r="CG98" s="49" t="str">
        <f>IF(CB98="","",IF(AND('Seasonal Tercile Tally'!$B$5=1,BT98="Rating-based"),CB98*CF98,CB98))</f>
        <v/>
      </c>
      <c r="CH98" s="47">
        <f t="shared" si="44"/>
        <v>0</v>
      </c>
      <c r="CI98" s="45"/>
      <c r="CJ98" s="42" t="str">
        <f t="shared" si="45"/>
        <v/>
      </c>
      <c r="CM98" s="42" t="str">
        <f t="shared" si="46"/>
        <v/>
      </c>
      <c r="CP98" s="46" t="str">
        <f t="shared" si="47"/>
        <v/>
      </c>
      <c r="CS98" s="46" t="str">
        <f t="shared" si="48"/>
        <v/>
      </c>
      <c r="CT98" s="42" t="str">
        <f t="shared" si="49"/>
        <v/>
      </c>
      <c r="CU98" s="42" t="str">
        <f t="shared" si="50"/>
        <v/>
      </c>
      <c r="CV98" s="42" t="str">
        <f t="shared" si="51"/>
        <v/>
      </c>
      <c r="DB98" s="45"/>
      <c r="DH98" s="42" t="str">
        <f t="shared" si="52"/>
        <v/>
      </c>
      <c r="DI98" s="43" t="str">
        <f t="shared" si="53"/>
        <v/>
      </c>
      <c r="DK98" s="46" t="str">
        <f t="shared" si="54"/>
        <v/>
      </c>
      <c r="DQ98" s="42" t="str">
        <f>IF(AH98="","",IFERROR(ROUND(100*('Weighting Options'!$D$7*IF(ISNUMBER(CA98),CA98/3,0)+'Weighting Options'!$D$8*MIN(N(BL98),3)/3+'Weighting Options'!$D$9*IF(AP98="Community/Plenary-endorsed",1,IF(AP98="FGD-validated only",0.75,IF(AP98="Sub-community-specific",0.5,IF(AP98="Provisional/emerging",0.25,0))))+'Weighting Options'!$D$10*IF(ISNUMBER(K98),K98/3,0)+'Weighting Options'!$D$11*IF(CC98="",0.5,IF(CC98="OK",1,0.25))+'Weighting Options'!$D$12*IF(DK98="",0.5,IF(DK98="Agrees",1,IF(DK98="Opposite",0,0.5)))+'Weighting Options'!$D$13*MIN(N(BG98),3)/3+'Weighting Options'!$D$14*IF(AE98=1,1,0))/SUM('Weighting Options'!$D$7:$D$14),0),""))</f>
        <v/>
      </c>
      <c r="DR98" s="44" t="str">
        <f>IF(AH98="","",IFERROR(INDEX('Weighting Options'!$D$20:$D$27,VALUE(LEFT(TRIM(BU98),1))),1))</f>
        <v/>
      </c>
      <c r="DS98" s="44" t="str">
        <f t="shared" si="55"/>
        <v/>
      </c>
      <c r="DT98" s="42" t="str">
        <f>IF(AH98="","",IF(COUNTIFS($AH$12:AH98,AH98,$AI$12:AI98,AI98,$AM$12:AM98,AM98)=1,1,0))</f>
        <v/>
      </c>
    </row>
    <row r="99" spans="16:124" ht="12.75" customHeight="1" x14ac:dyDescent="0.35">
      <c r="P99" s="41"/>
      <c r="Q99" s="41"/>
      <c r="R99" s="41"/>
      <c r="S99" s="41"/>
      <c r="AH99" s="40"/>
      <c r="AP99" s="40"/>
      <c r="AS99" s="41"/>
      <c r="AT99" s="41"/>
      <c r="AW99" t="str">
        <f t="shared" si="28"/>
        <v/>
      </c>
      <c r="AX99" t="str">
        <f t="shared" si="29"/>
        <v/>
      </c>
      <c r="AY99" t="str">
        <f t="shared" si="30"/>
        <v/>
      </c>
      <c r="AZ99" s="40"/>
      <c r="BL99" s="47" t="str">
        <f t="shared" si="31"/>
        <v/>
      </c>
      <c r="BM99" s="47" t="str">
        <f t="shared" si="32"/>
        <v/>
      </c>
      <c r="BN99" s="47" t="str">
        <f t="shared" si="33"/>
        <v/>
      </c>
      <c r="BO99" s="47" t="str">
        <f t="shared" si="34"/>
        <v/>
      </c>
      <c r="BP99" s="47" t="str">
        <f t="shared" si="35"/>
        <v/>
      </c>
      <c r="BQ99" s="48" t="str">
        <f t="shared" si="36"/>
        <v/>
      </c>
      <c r="BR99" s="48" t="str">
        <f t="shared" si="37"/>
        <v/>
      </c>
      <c r="BS99" s="48" t="str">
        <f t="shared" si="38"/>
        <v/>
      </c>
      <c r="BT99" s="47" t="str">
        <f t="shared" si="39"/>
        <v/>
      </c>
      <c r="CA99" s="47" t="str">
        <f t="shared" si="40"/>
        <v/>
      </c>
      <c r="CB99" s="47" t="str">
        <f t="shared" si="41"/>
        <v/>
      </c>
      <c r="CC99" s="47" t="str">
        <f t="shared" si="42"/>
        <v/>
      </c>
      <c r="CD99" s="47" t="str">
        <f t="shared" si="43"/>
        <v/>
      </c>
      <c r="CE99" s="47" t="str">
        <f>IF(AH99="","",IF(OR(AI99&lt;&gt;'Seasonal Tercile Tally'!$B$3,AM99&lt;&gt;'Seasonal Tercile Tally'!$B$4),"Other site/ season",IF(DT99=0,"Excluded: duplicate (later row)",IF(N99&lt;&gt;1,"Excluded: not sighted",IF(AC99&lt;&gt;1,"Excluded: not confirmed",IF(AD99&lt;&gt;1,"Excluded: not approved",IF(AP99="Contested","Excluded: contested",IF(OR(U99="",U99=0),"Excluded: no tercile",IF(CB99="","Counted (simple tally only — no weight)","Counted")))))))))</f>
        <v/>
      </c>
      <c r="CF99" s="49" t="str">
        <f>IF(AH99="","",IFERROR(INDEX('Prior Multipliers'!$C$6:$C$70,MATCH(LEFT(AH99,10),'Prior Multipliers'!$A$6:$A$70,0)),IFERROR(INDEX('Prior Multipliers'!$C$6:$C$70,MATCH(LEFT(AH99,6),'Prior Multipliers'!$A$6:$A$70,0)),IFERROR(INDEX('Prior Multipliers'!$C$6:$C$70,MATCH(LEFT(AH99,2),'Prior Multipliers'!$A$6:$A$70,0)),1))))</f>
        <v/>
      </c>
      <c r="CG99" s="49" t="str">
        <f>IF(CB99="","",IF(AND('Seasonal Tercile Tally'!$B$5=1,BT99="Rating-based"),CB99*CF99,CB99))</f>
        <v/>
      </c>
      <c r="CH99" s="47">
        <f t="shared" si="44"/>
        <v>0</v>
      </c>
      <c r="CI99" s="45"/>
      <c r="CJ99" s="42" t="str">
        <f t="shared" si="45"/>
        <v/>
      </c>
      <c r="CM99" s="42" t="str">
        <f t="shared" si="46"/>
        <v/>
      </c>
      <c r="CP99" s="46" t="str">
        <f t="shared" si="47"/>
        <v/>
      </c>
      <c r="CS99" s="46" t="str">
        <f t="shared" si="48"/>
        <v/>
      </c>
      <c r="CT99" s="42" t="str">
        <f t="shared" si="49"/>
        <v/>
      </c>
      <c r="CU99" s="42" t="str">
        <f t="shared" si="50"/>
        <v/>
      </c>
      <c r="CV99" s="42" t="str">
        <f t="shared" si="51"/>
        <v/>
      </c>
      <c r="DB99" s="45"/>
      <c r="DH99" s="42" t="str">
        <f t="shared" si="52"/>
        <v/>
      </c>
      <c r="DI99" s="43" t="str">
        <f t="shared" si="53"/>
        <v/>
      </c>
      <c r="DK99" s="46" t="str">
        <f t="shared" si="54"/>
        <v/>
      </c>
      <c r="DQ99" s="42" t="str">
        <f>IF(AH99="","",IFERROR(ROUND(100*('Weighting Options'!$D$7*IF(ISNUMBER(CA99),CA99/3,0)+'Weighting Options'!$D$8*MIN(N(BL99),3)/3+'Weighting Options'!$D$9*IF(AP99="Community/Plenary-endorsed",1,IF(AP99="FGD-validated only",0.75,IF(AP99="Sub-community-specific",0.5,IF(AP99="Provisional/emerging",0.25,0))))+'Weighting Options'!$D$10*IF(ISNUMBER(K99),K99/3,0)+'Weighting Options'!$D$11*IF(CC99="",0.5,IF(CC99="OK",1,0.25))+'Weighting Options'!$D$12*IF(DK99="",0.5,IF(DK99="Agrees",1,IF(DK99="Opposite",0,0.5)))+'Weighting Options'!$D$13*MIN(N(BG99),3)/3+'Weighting Options'!$D$14*IF(AE99=1,1,0))/SUM('Weighting Options'!$D$7:$D$14),0),""))</f>
        <v/>
      </c>
      <c r="DR99" s="44" t="str">
        <f>IF(AH99="","",IFERROR(INDEX('Weighting Options'!$D$20:$D$27,VALUE(LEFT(TRIM(BU99),1))),1))</f>
        <v/>
      </c>
      <c r="DS99" s="44" t="str">
        <f t="shared" si="55"/>
        <v/>
      </c>
      <c r="DT99" s="42" t="str">
        <f>IF(AH99="","",IF(COUNTIFS($AH$12:AH99,AH99,$AI$12:AI99,AI99,$AM$12:AM99,AM99)=1,1,0))</f>
        <v/>
      </c>
    </row>
    <row r="100" spans="16:124" ht="12.75" customHeight="1" x14ac:dyDescent="0.35">
      <c r="P100" s="41"/>
      <c r="Q100" s="41"/>
      <c r="R100" s="41"/>
      <c r="S100" s="41"/>
      <c r="AH100" s="40"/>
      <c r="AP100" s="40"/>
      <c r="AS100" s="41"/>
      <c r="AT100" s="41"/>
      <c r="AW100" t="str">
        <f t="shared" si="28"/>
        <v/>
      </c>
      <c r="AX100" t="str">
        <f t="shared" si="29"/>
        <v/>
      </c>
      <c r="AY100" t="str">
        <f t="shared" si="30"/>
        <v/>
      </c>
      <c r="AZ100" s="40"/>
      <c r="BL100" s="47" t="str">
        <f t="shared" si="31"/>
        <v/>
      </c>
      <c r="BM100" s="47" t="str">
        <f t="shared" si="32"/>
        <v/>
      </c>
      <c r="BN100" s="47" t="str">
        <f t="shared" si="33"/>
        <v/>
      </c>
      <c r="BO100" s="47" t="str">
        <f t="shared" si="34"/>
        <v/>
      </c>
      <c r="BP100" s="47" t="str">
        <f t="shared" si="35"/>
        <v/>
      </c>
      <c r="BQ100" s="48" t="str">
        <f t="shared" si="36"/>
        <v/>
      </c>
      <c r="BR100" s="48" t="str">
        <f t="shared" si="37"/>
        <v/>
      </c>
      <c r="BS100" s="48" t="str">
        <f t="shared" si="38"/>
        <v/>
      </c>
      <c r="BT100" s="47" t="str">
        <f t="shared" si="39"/>
        <v/>
      </c>
      <c r="CA100" s="47" t="str">
        <f t="shared" si="40"/>
        <v/>
      </c>
      <c r="CB100" s="47" t="str">
        <f t="shared" si="41"/>
        <v/>
      </c>
      <c r="CC100" s="47" t="str">
        <f t="shared" si="42"/>
        <v/>
      </c>
      <c r="CD100" s="47" t="str">
        <f t="shared" si="43"/>
        <v/>
      </c>
      <c r="CE100" s="47" t="str">
        <f>IF(AH100="","",IF(OR(AI100&lt;&gt;'Seasonal Tercile Tally'!$B$3,AM100&lt;&gt;'Seasonal Tercile Tally'!$B$4),"Other site/ season",IF(DT100=0,"Excluded: duplicate (later row)",IF(N100&lt;&gt;1,"Excluded: not sighted",IF(AC100&lt;&gt;1,"Excluded: not confirmed",IF(AD100&lt;&gt;1,"Excluded: not approved",IF(AP100="Contested","Excluded: contested",IF(OR(U100="",U100=0),"Excluded: no tercile",IF(CB100="","Counted (simple tally only — no weight)","Counted")))))))))</f>
        <v/>
      </c>
      <c r="CF100" s="49" t="str">
        <f>IF(AH100="","",IFERROR(INDEX('Prior Multipliers'!$C$6:$C$70,MATCH(LEFT(AH100,10),'Prior Multipliers'!$A$6:$A$70,0)),IFERROR(INDEX('Prior Multipliers'!$C$6:$C$70,MATCH(LEFT(AH100,6),'Prior Multipliers'!$A$6:$A$70,0)),IFERROR(INDEX('Prior Multipliers'!$C$6:$C$70,MATCH(LEFT(AH100,2),'Prior Multipliers'!$A$6:$A$70,0)),1))))</f>
        <v/>
      </c>
      <c r="CG100" s="49" t="str">
        <f>IF(CB100="","",IF(AND('Seasonal Tercile Tally'!$B$5=1,BT100="Rating-based"),CB100*CF100,CB100))</f>
        <v/>
      </c>
      <c r="CH100" s="47">
        <f t="shared" si="44"/>
        <v>0</v>
      </c>
      <c r="CI100" s="45"/>
      <c r="CJ100" s="42" t="str">
        <f t="shared" si="45"/>
        <v/>
      </c>
      <c r="CM100" s="42" t="str">
        <f t="shared" si="46"/>
        <v/>
      </c>
      <c r="CP100" s="46" t="str">
        <f t="shared" si="47"/>
        <v/>
      </c>
      <c r="CS100" s="46" t="str">
        <f t="shared" si="48"/>
        <v/>
      </c>
      <c r="CT100" s="42" t="str">
        <f t="shared" si="49"/>
        <v/>
      </c>
      <c r="CU100" s="42" t="str">
        <f t="shared" si="50"/>
        <v/>
      </c>
      <c r="CV100" s="42" t="str">
        <f t="shared" si="51"/>
        <v/>
      </c>
      <c r="DB100" s="45"/>
      <c r="DH100" s="42" t="str">
        <f t="shared" si="52"/>
        <v/>
      </c>
      <c r="DI100" s="43" t="str">
        <f t="shared" si="53"/>
        <v/>
      </c>
      <c r="DK100" s="46" t="str">
        <f t="shared" si="54"/>
        <v/>
      </c>
      <c r="DQ100" s="42" t="str">
        <f>IF(AH100="","",IFERROR(ROUND(100*('Weighting Options'!$D$7*IF(ISNUMBER(CA100),CA100/3,0)+'Weighting Options'!$D$8*MIN(N(BL100),3)/3+'Weighting Options'!$D$9*IF(AP100="Community/Plenary-endorsed",1,IF(AP100="FGD-validated only",0.75,IF(AP100="Sub-community-specific",0.5,IF(AP100="Provisional/emerging",0.25,0))))+'Weighting Options'!$D$10*IF(ISNUMBER(K100),K100/3,0)+'Weighting Options'!$D$11*IF(CC100="",0.5,IF(CC100="OK",1,0.25))+'Weighting Options'!$D$12*IF(DK100="",0.5,IF(DK100="Agrees",1,IF(DK100="Opposite",0,0.5)))+'Weighting Options'!$D$13*MIN(N(BG100),3)/3+'Weighting Options'!$D$14*IF(AE100=1,1,0))/SUM('Weighting Options'!$D$7:$D$14),0),""))</f>
        <v/>
      </c>
      <c r="DR100" s="44" t="str">
        <f>IF(AH100="","",IFERROR(INDEX('Weighting Options'!$D$20:$D$27,VALUE(LEFT(TRIM(BU100),1))),1))</f>
        <v/>
      </c>
      <c r="DS100" s="44" t="str">
        <f t="shared" si="55"/>
        <v/>
      </c>
      <c r="DT100" s="42" t="str">
        <f>IF(AH100="","",IF(COUNTIFS($AH$12:AH100,AH100,$AI$12:AI100,AI100,$AM$12:AM100,AM100)=1,1,0))</f>
        <v/>
      </c>
    </row>
    <row r="101" spans="16:124" ht="12.75" customHeight="1" x14ac:dyDescent="0.35">
      <c r="P101" s="41"/>
      <c r="Q101" s="41"/>
      <c r="R101" s="41"/>
      <c r="S101" s="41"/>
      <c r="AH101" s="40"/>
      <c r="AP101" s="40"/>
      <c r="AS101" s="41"/>
      <c r="AT101" s="41"/>
      <c r="AW101" t="str">
        <f t="shared" si="28"/>
        <v/>
      </c>
      <c r="AX101" t="str">
        <f t="shared" si="29"/>
        <v/>
      </c>
      <c r="AY101" t="str">
        <f t="shared" si="30"/>
        <v/>
      </c>
      <c r="AZ101" s="40"/>
      <c r="BL101" s="47" t="str">
        <f t="shared" si="31"/>
        <v/>
      </c>
      <c r="BM101" s="47" t="str">
        <f t="shared" si="32"/>
        <v/>
      </c>
      <c r="BN101" s="47" t="str">
        <f t="shared" si="33"/>
        <v/>
      </c>
      <c r="BO101" s="47" t="str">
        <f t="shared" si="34"/>
        <v/>
      </c>
      <c r="BP101" s="47" t="str">
        <f t="shared" si="35"/>
        <v/>
      </c>
      <c r="BQ101" s="48" t="str">
        <f t="shared" si="36"/>
        <v/>
      </c>
      <c r="BR101" s="48" t="str">
        <f t="shared" si="37"/>
        <v/>
      </c>
      <c r="BS101" s="48" t="str">
        <f t="shared" si="38"/>
        <v/>
      </c>
      <c r="BT101" s="47" t="str">
        <f t="shared" si="39"/>
        <v/>
      </c>
      <c r="CA101" s="47" t="str">
        <f t="shared" si="40"/>
        <v/>
      </c>
      <c r="CB101" s="47" t="str">
        <f t="shared" si="41"/>
        <v/>
      </c>
      <c r="CC101" s="47" t="str">
        <f t="shared" si="42"/>
        <v/>
      </c>
      <c r="CD101" s="47" t="str">
        <f t="shared" si="43"/>
        <v/>
      </c>
      <c r="CE101" s="47" t="str">
        <f>IF(AH101="","",IF(OR(AI101&lt;&gt;'Seasonal Tercile Tally'!$B$3,AM101&lt;&gt;'Seasonal Tercile Tally'!$B$4),"Other site/ season",IF(DT101=0,"Excluded: duplicate (later row)",IF(N101&lt;&gt;1,"Excluded: not sighted",IF(AC101&lt;&gt;1,"Excluded: not confirmed",IF(AD101&lt;&gt;1,"Excluded: not approved",IF(AP101="Contested","Excluded: contested",IF(OR(U101="",U101=0),"Excluded: no tercile",IF(CB101="","Counted (simple tally only — no weight)","Counted")))))))))</f>
        <v/>
      </c>
      <c r="CF101" s="49" t="str">
        <f>IF(AH101="","",IFERROR(INDEX('Prior Multipliers'!$C$6:$C$70,MATCH(LEFT(AH101,10),'Prior Multipliers'!$A$6:$A$70,0)),IFERROR(INDEX('Prior Multipliers'!$C$6:$C$70,MATCH(LEFT(AH101,6),'Prior Multipliers'!$A$6:$A$70,0)),IFERROR(INDEX('Prior Multipliers'!$C$6:$C$70,MATCH(LEFT(AH101,2),'Prior Multipliers'!$A$6:$A$70,0)),1))))</f>
        <v/>
      </c>
      <c r="CG101" s="49" t="str">
        <f>IF(CB101="","",IF(AND('Seasonal Tercile Tally'!$B$5=1,BT101="Rating-based"),CB101*CF101,CB101))</f>
        <v/>
      </c>
      <c r="CH101" s="47">
        <f t="shared" si="44"/>
        <v>0</v>
      </c>
      <c r="CI101" s="45"/>
      <c r="CJ101" s="42" t="str">
        <f t="shared" si="45"/>
        <v/>
      </c>
      <c r="CM101" s="42" t="str">
        <f t="shared" si="46"/>
        <v/>
      </c>
      <c r="CP101" s="46" t="str">
        <f t="shared" si="47"/>
        <v/>
      </c>
      <c r="CS101" s="46" t="str">
        <f t="shared" si="48"/>
        <v/>
      </c>
      <c r="CT101" s="42" t="str">
        <f t="shared" si="49"/>
        <v/>
      </c>
      <c r="CU101" s="42" t="str">
        <f t="shared" si="50"/>
        <v/>
      </c>
      <c r="CV101" s="42" t="str">
        <f t="shared" si="51"/>
        <v/>
      </c>
      <c r="DB101" s="45"/>
      <c r="DH101" s="42" t="str">
        <f t="shared" si="52"/>
        <v/>
      </c>
      <c r="DI101" s="43" t="str">
        <f t="shared" si="53"/>
        <v/>
      </c>
      <c r="DK101" s="46" t="str">
        <f t="shared" si="54"/>
        <v/>
      </c>
      <c r="DQ101" s="42" t="str">
        <f>IF(AH101="","",IFERROR(ROUND(100*('Weighting Options'!$D$7*IF(ISNUMBER(CA101),CA101/3,0)+'Weighting Options'!$D$8*MIN(N(BL101),3)/3+'Weighting Options'!$D$9*IF(AP101="Community/Plenary-endorsed",1,IF(AP101="FGD-validated only",0.75,IF(AP101="Sub-community-specific",0.5,IF(AP101="Provisional/emerging",0.25,0))))+'Weighting Options'!$D$10*IF(ISNUMBER(K101),K101/3,0)+'Weighting Options'!$D$11*IF(CC101="",0.5,IF(CC101="OK",1,0.25))+'Weighting Options'!$D$12*IF(DK101="",0.5,IF(DK101="Agrees",1,IF(DK101="Opposite",0,0.5)))+'Weighting Options'!$D$13*MIN(N(BG101),3)/3+'Weighting Options'!$D$14*IF(AE101=1,1,0))/SUM('Weighting Options'!$D$7:$D$14),0),""))</f>
        <v/>
      </c>
      <c r="DR101" s="44" t="str">
        <f>IF(AH101="","",IFERROR(INDEX('Weighting Options'!$D$20:$D$27,VALUE(LEFT(TRIM(BU101),1))),1))</f>
        <v/>
      </c>
      <c r="DS101" s="44" t="str">
        <f t="shared" si="55"/>
        <v/>
      </c>
      <c r="DT101" s="42" t="str">
        <f>IF(AH101="","",IF(COUNTIFS($AH$12:AH101,AH101,$AI$12:AI101,AI101,$AM$12:AM101,AM101)=1,1,0))</f>
        <v/>
      </c>
    </row>
    <row r="102" spans="16:124" ht="12.75" customHeight="1" x14ac:dyDescent="0.35">
      <c r="P102" s="41"/>
      <c r="Q102" s="41"/>
      <c r="R102" s="41"/>
      <c r="S102" s="41"/>
      <c r="AH102" s="40"/>
      <c r="AP102" s="40"/>
      <c r="AS102" s="41"/>
      <c r="AT102" s="41"/>
      <c r="AW102" t="str">
        <f t="shared" si="28"/>
        <v/>
      </c>
      <c r="AX102" t="str">
        <f t="shared" si="29"/>
        <v/>
      </c>
      <c r="AY102" t="str">
        <f t="shared" si="30"/>
        <v/>
      </c>
      <c r="AZ102" s="40"/>
      <c r="BL102" s="47" t="str">
        <f t="shared" si="31"/>
        <v/>
      </c>
      <c r="BM102" s="47" t="str">
        <f t="shared" si="32"/>
        <v/>
      </c>
      <c r="BN102" s="47" t="str">
        <f t="shared" si="33"/>
        <v/>
      </c>
      <c r="BO102" s="47" t="str">
        <f t="shared" si="34"/>
        <v/>
      </c>
      <c r="BP102" s="47" t="str">
        <f t="shared" si="35"/>
        <v/>
      </c>
      <c r="BQ102" s="48" t="str">
        <f t="shared" si="36"/>
        <v/>
      </c>
      <c r="BR102" s="48" t="str">
        <f t="shared" si="37"/>
        <v/>
      </c>
      <c r="BS102" s="48" t="str">
        <f t="shared" si="38"/>
        <v/>
      </c>
      <c r="BT102" s="47" t="str">
        <f t="shared" si="39"/>
        <v/>
      </c>
      <c r="CA102" s="47" t="str">
        <f t="shared" si="40"/>
        <v/>
      </c>
      <c r="CB102" s="47" t="str">
        <f t="shared" si="41"/>
        <v/>
      </c>
      <c r="CC102" s="47" t="str">
        <f t="shared" si="42"/>
        <v/>
      </c>
      <c r="CD102" s="47" t="str">
        <f t="shared" si="43"/>
        <v/>
      </c>
      <c r="CE102" s="47" t="str">
        <f>IF(AH102="","",IF(OR(AI102&lt;&gt;'Seasonal Tercile Tally'!$B$3,AM102&lt;&gt;'Seasonal Tercile Tally'!$B$4),"Other site/ season",IF(DT102=0,"Excluded: duplicate (later row)",IF(N102&lt;&gt;1,"Excluded: not sighted",IF(AC102&lt;&gt;1,"Excluded: not confirmed",IF(AD102&lt;&gt;1,"Excluded: not approved",IF(AP102="Contested","Excluded: contested",IF(OR(U102="",U102=0),"Excluded: no tercile",IF(CB102="","Counted (simple tally only — no weight)","Counted")))))))))</f>
        <v/>
      </c>
      <c r="CF102" s="49" t="str">
        <f>IF(AH102="","",IFERROR(INDEX('Prior Multipliers'!$C$6:$C$70,MATCH(LEFT(AH102,10),'Prior Multipliers'!$A$6:$A$70,0)),IFERROR(INDEX('Prior Multipliers'!$C$6:$C$70,MATCH(LEFT(AH102,6),'Prior Multipliers'!$A$6:$A$70,0)),IFERROR(INDEX('Prior Multipliers'!$C$6:$C$70,MATCH(LEFT(AH102,2),'Prior Multipliers'!$A$6:$A$70,0)),1))))</f>
        <v/>
      </c>
      <c r="CG102" s="49" t="str">
        <f>IF(CB102="","",IF(AND('Seasonal Tercile Tally'!$B$5=1,BT102="Rating-based"),CB102*CF102,CB102))</f>
        <v/>
      </c>
      <c r="CH102" s="47">
        <f t="shared" si="44"/>
        <v>0</v>
      </c>
      <c r="CI102" s="45"/>
      <c r="CJ102" s="42" t="str">
        <f t="shared" si="45"/>
        <v/>
      </c>
      <c r="CM102" s="42" t="str">
        <f t="shared" si="46"/>
        <v/>
      </c>
      <c r="CP102" s="46" t="str">
        <f t="shared" si="47"/>
        <v/>
      </c>
      <c r="CS102" s="46" t="str">
        <f t="shared" si="48"/>
        <v/>
      </c>
      <c r="CT102" s="42" t="str">
        <f t="shared" si="49"/>
        <v/>
      </c>
      <c r="CU102" s="42" t="str">
        <f t="shared" si="50"/>
        <v/>
      </c>
      <c r="CV102" s="42" t="str">
        <f t="shared" si="51"/>
        <v/>
      </c>
      <c r="DB102" s="45"/>
      <c r="DH102" s="42" t="str">
        <f t="shared" si="52"/>
        <v/>
      </c>
      <c r="DI102" s="43" t="str">
        <f t="shared" si="53"/>
        <v/>
      </c>
      <c r="DK102" s="46" t="str">
        <f t="shared" si="54"/>
        <v/>
      </c>
      <c r="DQ102" s="42" t="str">
        <f>IF(AH102="","",IFERROR(ROUND(100*('Weighting Options'!$D$7*IF(ISNUMBER(CA102),CA102/3,0)+'Weighting Options'!$D$8*MIN(N(BL102),3)/3+'Weighting Options'!$D$9*IF(AP102="Community/Plenary-endorsed",1,IF(AP102="FGD-validated only",0.75,IF(AP102="Sub-community-specific",0.5,IF(AP102="Provisional/emerging",0.25,0))))+'Weighting Options'!$D$10*IF(ISNUMBER(K102),K102/3,0)+'Weighting Options'!$D$11*IF(CC102="",0.5,IF(CC102="OK",1,0.25))+'Weighting Options'!$D$12*IF(DK102="",0.5,IF(DK102="Agrees",1,IF(DK102="Opposite",0,0.5)))+'Weighting Options'!$D$13*MIN(N(BG102),3)/3+'Weighting Options'!$D$14*IF(AE102=1,1,0))/SUM('Weighting Options'!$D$7:$D$14),0),""))</f>
        <v/>
      </c>
      <c r="DR102" s="44" t="str">
        <f>IF(AH102="","",IFERROR(INDEX('Weighting Options'!$D$20:$D$27,VALUE(LEFT(TRIM(BU102),1))),1))</f>
        <v/>
      </c>
      <c r="DS102" s="44" t="str">
        <f t="shared" si="55"/>
        <v/>
      </c>
      <c r="DT102" s="42" t="str">
        <f>IF(AH102="","",IF(COUNTIFS($AH$12:AH102,AH102,$AI$12:AI102,AI102,$AM$12:AM102,AM102)=1,1,0))</f>
        <v/>
      </c>
    </row>
    <row r="103" spans="16:124" ht="12.75" customHeight="1" x14ac:dyDescent="0.35">
      <c r="P103" s="41"/>
      <c r="Q103" s="41"/>
      <c r="R103" s="41"/>
      <c r="S103" s="41"/>
      <c r="AH103" s="40"/>
      <c r="AP103" s="40"/>
      <c r="AS103" s="41"/>
      <c r="AT103" s="41"/>
      <c r="AW103" t="str">
        <f t="shared" si="28"/>
        <v/>
      </c>
      <c r="AX103" t="str">
        <f t="shared" si="29"/>
        <v/>
      </c>
      <c r="AY103" t="str">
        <f t="shared" si="30"/>
        <v/>
      </c>
      <c r="AZ103" s="40"/>
      <c r="BL103" s="47" t="str">
        <f t="shared" si="31"/>
        <v/>
      </c>
      <c r="BM103" s="47" t="str">
        <f t="shared" si="32"/>
        <v/>
      </c>
      <c r="BN103" s="47" t="str">
        <f t="shared" si="33"/>
        <v/>
      </c>
      <c r="BO103" s="47" t="str">
        <f t="shared" si="34"/>
        <v/>
      </c>
      <c r="BP103" s="47" t="str">
        <f t="shared" si="35"/>
        <v/>
      </c>
      <c r="BQ103" s="48" t="str">
        <f t="shared" si="36"/>
        <v/>
      </c>
      <c r="BR103" s="48" t="str">
        <f t="shared" si="37"/>
        <v/>
      </c>
      <c r="BS103" s="48" t="str">
        <f t="shared" si="38"/>
        <v/>
      </c>
      <c r="BT103" s="47" t="str">
        <f t="shared" si="39"/>
        <v/>
      </c>
      <c r="CA103" s="47" t="str">
        <f t="shared" si="40"/>
        <v/>
      </c>
      <c r="CB103" s="47" t="str">
        <f t="shared" si="41"/>
        <v/>
      </c>
      <c r="CC103" s="47" t="str">
        <f t="shared" si="42"/>
        <v/>
      </c>
      <c r="CD103" s="47" t="str">
        <f t="shared" si="43"/>
        <v/>
      </c>
      <c r="CE103" s="47" t="str">
        <f>IF(AH103="","",IF(OR(AI103&lt;&gt;'Seasonal Tercile Tally'!$B$3,AM103&lt;&gt;'Seasonal Tercile Tally'!$B$4),"Other site/ season",IF(DT103=0,"Excluded: duplicate (later row)",IF(N103&lt;&gt;1,"Excluded: not sighted",IF(AC103&lt;&gt;1,"Excluded: not confirmed",IF(AD103&lt;&gt;1,"Excluded: not approved",IF(AP103="Contested","Excluded: contested",IF(OR(U103="",U103=0),"Excluded: no tercile",IF(CB103="","Counted (simple tally only — no weight)","Counted")))))))))</f>
        <v/>
      </c>
      <c r="CF103" s="49" t="str">
        <f>IF(AH103="","",IFERROR(INDEX('Prior Multipliers'!$C$6:$C$70,MATCH(LEFT(AH103,10),'Prior Multipliers'!$A$6:$A$70,0)),IFERROR(INDEX('Prior Multipliers'!$C$6:$C$70,MATCH(LEFT(AH103,6),'Prior Multipliers'!$A$6:$A$70,0)),IFERROR(INDEX('Prior Multipliers'!$C$6:$C$70,MATCH(LEFT(AH103,2),'Prior Multipliers'!$A$6:$A$70,0)),1))))</f>
        <v/>
      </c>
      <c r="CG103" s="49" t="str">
        <f>IF(CB103="","",IF(AND('Seasonal Tercile Tally'!$B$5=1,BT103="Rating-based"),CB103*CF103,CB103))</f>
        <v/>
      </c>
      <c r="CH103" s="47">
        <f t="shared" si="44"/>
        <v>0</v>
      </c>
      <c r="CI103" s="45"/>
      <c r="CJ103" s="42" t="str">
        <f t="shared" si="45"/>
        <v/>
      </c>
      <c r="CM103" s="42" t="str">
        <f t="shared" si="46"/>
        <v/>
      </c>
      <c r="CP103" s="46" t="str">
        <f t="shared" si="47"/>
        <v/>
      </c>
      <c r="CS103" s="46" t="str">
        <f t="shared" si="48"/>
        <v/>
      </c>
      <c r="CT103" s="42" t="str">
        <f t="shared" si="49"/>
        <v/>
      </c>
      <c r="CU103" s="42" t="str">
        <f t="shared" si="50"/>
        <v/>
      </c>
      <c r="CV103" s="42" t="str">
        <f t="shared" si="51"/>
        <v/>
      </c>
      <c r="DB103" s="45"/>
      <c r="DH103" s="42" t="str">
        <f t="shared" si="52"/>
        <v/>
      </c>
      <c r="DI103" s="43" t="str">
        <f t="shared" si="53"/>
        <v/>
      </c>
      <c r="DK103" s="46" t="str">
        <f t="shared" si="54"/>
        <v/>
      </c>
      <c r="DQ103" s="42" t="str">
        <f>IF(AH103="","",IFERROR(ROUND(100*('Weighting Options'!$D$7*IF(ISNUMBER(CA103),CA103/3,0)+'Weighting Options'!$D$8*MIN(N(BL103),3)/3+'Weighting Options'!$D$9*IF(AP103="Community/Plenary-endorsed",1,IF(AP103="FGD-validated only",0.75,IF(AP103="Sub-community-specific",0.5,IF(AP103="Provisional/emerging",0.25,0))))+'Weighting Options'!$D$10*IF(ISNUMBER(K103),K103/3,0)+'Weighting Options'!$D$11*IF(CC103="",0.5,IF(CC103="OK",1,0.25))+'Weighting Options'!$D$12*IF(DK103="",0.5,IF(DK103="Agrees",1,IF(DK103="Opposite",0,0.5)))+'Weighting Options'!$D$13*MIN(N(BG103),3)/3+'Weighting Options'!$D$14*IF(AE103=1,1,0))/SUM('Weighting Options'!$D$7:$D$14),0),""))</f>
        <v/>
      </c>
      <c r="DR103" s="44" t="str">
        <f>IF(AH103="","",IFERROR(INDEX('Weighting Options'!$D$20:$D$27,VALUE(LEFT(TRIM(BU103),1))),1))</f>
        <v/>
      </c>
      <c r="DS103" s="44" t="str">
        <f t="shared" si="55"/>
        <v/>
      </c>
      <c r="DT103" s="42" t="str">
        <f>IF(AH103="","",IF(COUNTIFS($AH$12:AH103,AH103,$AI$12:AI103,AI103,$AM$12:AM103,AM103)=1,1,0))</f>
        <v/>
      </c>
    </row>
    <row r="104" spans="16:124" ht="12.75" customHeight="1" x14ac:dyDescent="0.35">
      <c r="P104" s="41"/>
      <c r="Q104" s="41"/>
      <c r="R104" s="41"/>
      <c r="S104" s="41"/>
      <c r="AH104" s="40"/>
      <c r="AP104" s="40"/>
      <c r="AS104" s="41"/>
      <c r="AT104" s="41"/>
      <c r="AW104" t="str">
        <f t="shared" si="28"/>
        <v/>
      </c>
      <c r="AX104" t="str">
        <f t="shared" si="29"/>
        <v/>
      </c>
      <c r="AY104" t="str">
        <f t="shared" si="30"/>
        <v/>
      </c>
      <c r="AZ104" s="40"/>
      <c r="BL104" s="47" t="str">
        <f t="shared" si="31"/>
        <v/>
      </c>
      <c r="BM104" s="47" t="str">
        <f t="shared" si="32"/>
        <v/>
      </c>
      <c r="BN104" s="47" t="str">
        <f t="shared" si="33"/>
        <v/>
      </c>
      <c r="BO104" s="47" t="str">
        <f t="shared" si="34"/>
        <v/>
      </c>
      <c r="BP104" s="47" t="str">
        <f t="shared" si="35"/>
        <v/>
      </c>
      <c r="BQ104" s="48" t="str">
        <f t="shared" si="36"/>
        <v/>
      </c>
      <c r="BR104" s="48" t="str">
        <f t="shared" si="37"/>
        <v/>
      </c>
      <c r="BS104" s="48" t="str">
        <f t="shared" si="38"/>
        <v/>
      </c>
      <c r="BT104" s="47" t="str">
        <f t="shared" si="39"/>
        <v/>
      </c>
      <c r="CA104" s="47" t="str">
        <f t="shared" si="40"/>
        <v/>
      </c>
      <c r="CB104" s="47" t="str">
        <f t="shared" si="41"/>
        <v/>
      </c>
      <c r="CC104" s="47" t="str">
        <f t="shared" si="42"/>
        <v/>
      </c>
      <c r="CD104" s="47" t="str">
        <f t="shared" si="43"/>
        <v/>
      </c>
      <c r="CE104" s="47" t="str">
        <f>IF(AH104="","",IF(OR(AI104&lt;&gt;'Seasonal Tercile Tally'!$B$3,AM104&lt;&gt;'Seasonal Tercile Tally'!$B$4),"Other site/ season",IF(DT104=0,"Excluded: duplicate (later row)",IF(N104&lt;&gt;1,"Excluded: not sighted",IF(AC104&lt;&gt;1,"Excluded: not confirmed",IF(AD104&lt;&gt;1,"Excluded: not approved",IF(AP104="Contested","Excluded: contested",IF(OR(U104="",U104=0),"Excluded: no tercile",IF(CB104="","Counted (simple tally only — no weight)","Counted")))))))))</f>
        <v/>
      </c>
      <c r="CF104" s="49" t="str">
        <f>IF(AH104="","",IFERROR(INDEX('Prior Multipliers'!$C$6:$C$70,MATCH(LEFT(AH104,10),'Prior Multipliers'!$A$6:$A$70,0)),IFERROR(INDEX('Prior Multipliers'!$C$6:$C$70,MATCH(LEFT(AH104,6),'Prior Multipliers'!$A$6:$A$70,0)),IFERROR(INDEX('Prior Multipliers'!$C$6:$C$70,MATCH(LEFT(AH104,2),'Prior Multipliers'!$A$6:$A$70,0)),1))))</f>
        <v/>
      </c>
      <c r="CG104" s="49" t="str">
        <f>IF(CB104="","",IF(AND('Seasonal Tercile Tally'!$B$5=1,BT104="Rating-based"),CB104*CF104,CB104))</f>
        <v/>
      </c>
      <c r="CH104" s="47">
        <f t="shared" si="44"/>
        <v>0</v>
      </c>
      <c r="CI104" s="45"/>
      <c r="CJ104" s="42" t="str">
        <f t="shared" si="45"/>
        <v/>
      </c>
      <c r="CM104" s="42" t="str">
        <f t="shared" si="46"/>
        <v/>
      </c>
      <c r="CP104" s="46" t="str">
        <f t="shared" si="47"/>
        <v/>
      </c>
      <c r="CS104" s="46" t="str">
        <f t="shared" si="48"/>
        <v/>
      </c>
      <c r="CT104" s="42" t="str">
        <f t="shared" si="49"/>
        <v/>
      </c>
      <c r="CU104" s="42" t="str">
        <f t="shared" si="50"/>
        <v/>
      </c>
      <c r="CV104" s="42" t="str">
        <f t="shared" si="51"/>
        <v/>
      </c>
      <c r="DB104" s="45"/>
      <c r="DH104" s="42" t="str">
        <f t="shared" si="52"/>
        <v/>
      </c>
      <c r="DI104" s="43" t="str">
        <f t="shared" si="53"/>
        <v/>
      </c>
      <c r="DK104" s="46" t="str">
        <f t="shared" si="54"/>
        <v/>
      </c>
      <c r="DQ104" s="42" t="str">
        <f>IF(AH104="","",IFERROR(ROUND(100*('Weighting Options'!$D$7*IF(ISNUMBER(CA104),CA104/3,0)+'Weighting Options'!$D$8*MIN(N(BL104),3)/3+'Weighting Options'!$D$9*IF(AP104="Community/Plenary-endorsed",1,IF(AP104="FGD-validated only",0.75,IF(AP104="Sub-community-specific",0.5,IF(AP104="Provisional/emerging",0.25,0))))+'Weighting Options'!$D$10*IF(ISNUMBER(K104),K104/3,0)+'Weighting Options'!$D$11*IF(CC104="",0.5,IF(CC104="OK",1,0.25))+'Weighting Options'!$D$12*IF(DK104="",0.5,IF(DK104="Agrees",1,IF(DK104="Opposite",0,0.5)))+'Weighting Options'!$D$13*MIN(N(BG104),3)/3+'Weighting Options'!$D$14*IF(AE104=1,1,0))/SUM('Weighting Options'!$D$7:$D$14),0),""))</f>
        <v/>
      </c>
      <c r="DR104" s="44" t="str">
        <f>IF(AH104="","",IFERROR(INDEX('Weighting Options'!$D$20:$D$27,VALUE(LEFT(TRIM(BU104),1))),1))</f>
        <v/>
      </c>
      <c r="DS104" s="44" t="str">
        <f t="shared" si="55"/>
        <v/>
      </c>
      <c r="DT104" s="42" t="str">
        <f>IF(AH104="","",IF(COUNTIFS($AH$12:AH104,AH104,$AI$12:AI104,AI104,$AM$12:AM104,AM104)=1,1,0))</f>
        <v/>
      </c>
    </row>
    <row r="105" spans="16:124" ht="12.75" customHeight="1" x14ac:dyDescent="0.35">
      <c r="P105" s="41"/>
      <c r="Q105" s="41"/>
      <c r="R105" s="41"/>
      <c r="S105" s="41"/>
      <c r="AH105" s="40"/>
      <c r="AP105" s="40"/>
      <c r="AS105" s="41"/>
      <c r="AT105" s="41"/>
      <c r="AW105" t="str">
        <f t="shared" si="28"/>
        <v/>
      </c>
      <c r="AX105" t="str">
        <f t="shared" si="29"/>
        <v/>
      </c>
      <c r="AY105" t="str">
        <f t="shared" si="30"/>
        <v/>
      </c>
      <c r="AZ105" s="40"/>
      <c r="BL105" s="47" t="str">
        <f t="shared" si="31"/>
        <v/>
      </c>
      <c r="BM105" s="47" t="str">
        <f t="shared" si="32"/>
        <v/>
      </c>
      <c r="BN105" s="47" t="str">
        <f t="shared" si="33"/>
        <v/>
      </c>
      <c r="BO105" s="47" t="str">
        <f t="shared" si="34"/>
        <v/>
      </c>
      <c r="BP105" s="47" t="str">
        <f t="shared" si="35"/>
        <v/>
      </c>
      <c r="BQ105" s="48" t="str">
        <f t="shared" si="36"/>
        <v/>
      </c>
      <c r="BR105" s="48" t="str">
        <f t="shared" si="37"/>
        <v/>
      </c>
      <c r="BS105" s="48" t="str">
        <f t="shared" si="38"/>
        <v/>
      </c>
      <c r="BT105" s="47" t="str">
        <f t="shared" si="39"/>
        <v/>
      </c>
      <c r="CA105" s="47" t="str">
        <f t="shared" si="40"/>
        <v/>
      </c>
      <c r="CB105" s="47" t="str">
        <f t="shared" si="41"/>
        <v/>
      </c>
      <c r="CC105" s="47" t="str">
        <f t="shared" si="42"/>
        <v/>
      </c>
      <c r="CD105" s="47" t="str">
        <f t="shared" si="43"/>
        <v/>
      </c>
      <c r="CE105" s="47" t="str">
        <f>IF(AH105="","",IF(OR(AI105&lt;&gt;'Seasonal Tercile Tally'!$B$3,AM105&lt;&gt;'Seasonal Tercile Tally'!$B$4),"Other site/ season",IF(DT105=0,"Excluded: duplicate (later row)",IF(N105&lt;&gt;1,"Excluded: not sighted",IF(AC105&lt;&gt;1,"Excluded: not confirmed",IF(AD105&lt;&gt;1,"Excluded: not approved",IF(AP105="Contested","Excluded: contested",IF(OR(U105="",U105=0),"Excluded: no tercile",IF(CB105="","Counted (simple tally only — no weight)","Counted")))))))))</f>
        <v/>
      </c>
      <c r="CF105" s="49" t="str">
        <f>IF(AH105="","",IFERROR(INDEX('Prior Multipliers'!$C$6:$C$70,MATCH(LEFT(AH105,10),'Prior Multipliers'!$A$6:$A$70,0)),IFERROR(INDEX('Prior Multipliers'!$C$6:$C$70,MATCH(LEFT(AH105,6),'Prior Multipliers'!$A$6:$A$70,0)),IFERROR(INDEX('Prior Multipliers'!$C$6:$C$70,MATCH(LEFT(AH105,2),'Prior Multipliers'!$A$6:$A$70,0)),1))))</f>
        <v/>
      </c>
      <c r="CG105" s="49" t="str">
        <f>IF(CB105="","",IF(AND('Seasonal Tercile Tally'!$B$5=1,BT105="Rating-based"),CB105*CF105,CB105))</f>
        <v/>
      </c>
      <c r="CH105" s="47">
        <f t="shared" si="44"/>
        <v>0</v>
      </c>
      <c r="CI105" s="45"/>
      <c r="CJ105" s="42" t="str">
        <f t="shared" si="45"/>
        <v/>
      </c>
      <c r="CM105" s="42" t="str">
        <f t="shared" si="46"/>
        <v/>
      </c>
      <c r="CP105" s="46" t="str">
        <f t="shared" si="47"/>
        <v/>
      </c>
      <c r="CS105" s="46" t="str">
        <f t="shared" si="48"/>
        <v/>
      </c>
      <c r="CT105" s="42" t="str">
        <f t="shared" si="49"/>
        <v/>
      </c>
      <c r="CU105" s="42" t="str">
        <f t="shared" si="50"/>
        <v/>
      </c>
      <c r="CV105" s="42" t="str">
        <f t="shared" si="51"/>
        <v/>
      </c>
      <c r="DB105" s="45"/>
      <c r="DH105" s="42" t="str">
        <f t="shared" si="52"/>
        <v/>
      </c>
      <c r="DI105" s="43" t="str">
        <f t="shared" si="53"/>
        <v/>
      </c>
      <c r="DK105" s="46" t="str">
        <f t="shared" si="54"/>
        <v/>
      </c>
      <c r="DQ105" s="42" t="str">
        <f>IF(AH105="","",IFERROR(ROUND(100*('Weighting Options'!$D$7*IF(ISNUMBER(CA105),CA105/3,0)+'Weighting Options'!$D$8*MIN(N(BL105),3)/3+'Weighting Options'!$D$9*IF(AP105="Community/Plenary-endorsed",1,IF(AP105="FGD-validated only",0.75,IF(AP105="Sub-community-specific",0.5,IF(AP105="Provisional/emerging",0.25,0))))+'Weighting Options'!$D$10*IF(ISNUMBER(K105),K105/3,0)+'Weighting Options'!$D$11*IF(CC105="",0.5,IF(CC105="OK",1,0.25))+'Weighting Options'!$D$12*IF(DK105="",0.5,IF(DK105="Agrees",1,IF(DK105="Opposite",0,0.5)))+'Weighting Options'!$D$13*MIN(N(BG105),3)/3+'Weighting Options'!$D$14*IF(AE105=1,1,0))/SUM('Weighting Options'!$D$7:$D$14),0),""))</f>
        <v/>
      </c>
      <c r="DR105" s="44" t="str">
        <f>IF(AH105="","",IFERROR(INDEX('Weighting Options'!$D$20:$D$27,VALUE(LEFT(TRIM(BU105),1))),1))</f>
        <v/>
      </c>
      <c r="DS105" s="44" t="str">
        <f t="shared" si="55"/>
        <v/>
      </c>
      <c r="DT105" s="42" t="str">
        <f>IF(AH105="","",IF(COUNTIFS($AH$12:AH105,AH105,$AI$12:AI105,AI105,$AM$12:AM105,AM105)=1,1,0))</f>
        <v/>
      </c>
    </row>
    <row r="106" spans="16:124" ht="12.75" customHeight="1" x14ac:dyDescent="0.35">
      <c r="P106" s="41"/>
      <c r="Q106" s="41"/>
      <c r="R106" s="41"/>
      <c r="S106" s="41"/>
      <c r="AH106" s="40"/>
      <c r="AP106" s="40"/>
      <c r="AS106" s="41"/>
      <c r="AT106" s="41"/>
      <c r="AW106" t="str">
        <f t="shared" si="28"/>
        <v/>
      </c>
      <c r="AX106" t="str">
        <f t="shared" si="29"/>
        <v/>
      </c>
      <c r="AY106" t="str">
        <f t="shared" si="30"/>
        <v/>
      </c>
      <c r="AZ106" s="40"/>
      <c r="BL106" s="47" t="str">
        <f t="shared" si="31"/>
        <v/>
      </c>
      <c r="BM106" s="47" t="str">
        <f t="shared" si="32"/>
        <v/>
      </c>
      <c r="BN106" s="47" t="str">
        <f t="shared" si="33"/>
        <v/>
      </c>
      <c r="BO106" s="47" t="str">
        <f t="shared" si="34"/>
        <v/>
      </c>
      <c r="BP106" s="47" t="str">
        <f t="shared" si="35"/>
        <v/>
      </c>
      <c r="BQ106" s="48" t="str">
        <f t="shared" si="36"/>
        <v/>
      </c>
      <c r="BR106" s="48" t="str">
        <f t="shared" si="37"/>
        <v/>
      </c>
      <c r="BS106" s="48" t="str">
        <f t="shared" si="38"/>
        <v/>
      </c>
      <c r="BT106" s="47" t="str">
        <f t="shared" si="39"/>
        <v/>
      </c>
      <c r="CA106" s="47" t="str">
        <f t="shared" si="40"/>
        <v/>
      </c>
      <c r="CB106" s="47" t="str">
        <f t="shared" si="41"/>
        <v/>
      </c>
      <c r="CC106" s="47" t="str">
        <f t="shared" si="42"/>
        <v/>
      </c>
      <c r="CD106" s="47" t="str">
        <f t="shared" si="43"/>
        <v/>
      </c>
      <c r="CE106" s="47" t="str">
        <f>IF(AH106="","",IF(OR(AI106&lt;&gt;'Seasonal Tercile Tally'!$B$3,AM106&lt;&gt;'Seasonal Tercile Tally'!$B$4),"Other site/ season",IF(DT106=0,"Excluded: duplicate (later row)",IF(N106&lt;&gt;1,"Excluded: not sighted",IF(AC106&lt;&gt;1,"Excluded: not confirmed",IF(AD106&lt;&gt;1,"Excluded: not approved",IF(AP106="Contested","Excluded: contested",IF(OR(U106="",U106=0),"Excluded: no tercile",IF(CB106="","Counted (simple tally only — no weight)","Counted")))))))))</f>
        <v/>
      </c>
      <c r="CF106" s="49" t="str">
        <f>IF(AH106="","",IFERROR(INDEX('Prior Multipliers'!$C$6:$C$70,MATCH(LEFT(AH106,10),'Prior Multipliers'!$A$6:$A$70,0)),IFERROR(INDEX('Prior Multipliers'!$C$6:$C$70,MATCH(LEFT(AH106,6),'Prior Multipliers'!$A$6:$A$70,0)),IFERROR(INDEX('Prior Multipliers'!$C$6:$C$70,MATCH(LEFT(AH106,2),'Prior Multipliers'!$A$6:$A$70,0)),1))))</f>
        <v/>
      </c>
      <c r="CG106" s="49" t="str">
        <f>IF(CB106="","",IF(AND('Seasonal Tercile Tally'!$B$5=1,BT106="Rating-based"),CB106*CF106,CB106))</f>
        <v/>
      </c>
      <c r="CH106" s="47">
        <f t="shared" si="44"/>
        <v>0</v>
      </c>
      <c r="CI106" s="45"/>
      <c r="CJ106" s="42" t="str">
        <f t="shared" si="45"/>
        <v/>
      </c>
      <c r="CM106" s="42" t="str">
        <f t="shared" si="46"/>
        <v/>
      </c>
      <c r="CP106" s="46" t="str">
        <f t="shared" si="47"/>
        <v/>
      </c>
      <c r="CS106" s="46" t="str">
        <f t="shared" si="48"/>
        <v/>
      </c>
      <c r="CT106" s="42" t="str">
        <f t="shared" si="49"/>
        <v/>
      </c>
      <c r="CU106" s="42" t="str">
        <f t="shared" si="50"/>
        <v/>
      </c>
      <c r="CV106" s="42" t="str">
        <f t="shared" si="51"/>
        <v/>
      </c>
      <c r="DB106" s="45"/>
      <c r="DH106" s="42" t="str">
        <f t="shared" si="52"/>
        <v/>
      </c>
      <c r="DI106" s="43" t="str">
        <f t="shared" si="53"/>
        <v/>
      </c>
      <c r="DK106" s="46" t="str">
        <f t="shared" si="54"/>
        <v/>
      </c>
      <c r="DQ106" s="42" t="str">
        <f>IF(AH106="","",IFERROR(ROUND(100*('Weighting Options'!$D$7*IF(ISNUMBER(CA106),CA106/3,0)+'Weighting Options'!$D$8*MIN(N(BL106),3)/3+'Weighting Options'!$D$9*IF(AP106="Community/Plenary-endorsed",1,IF(AP106="FGD-validated only",0.75,IF(AP106="Sub-community-specific",0.5,IF(AP106="Provisional/emerging",0.25,0))))+'Weighting Options'!$D$10*IF(ISNUMBER(K106),K106/3,0)+'Weighting Options'!$D$11*IF(CC106="",0.5,IF(CC106="OK",1,0.25))+'Weighting Options'!$D$12*IF(DK106="",0.5,IF(DK106="Agrees",1,IF(DK106="Opposite",0,0.5)))+'Weighting Options'!$D$13*MIN(N(BG106),3)/3+'Weighting Options'!$D$14*IF(AE106=1,1,0))/SUM('Weighting Options'!$D$7:$D$14),0),""))</f>
        <v/>
      </c>
      <c r="DR106" s="44" t="str">
        <f>IF(AH106="","",IFERROR(INDEX('Weighting Options'!$D$20:$D$27,VALUE(LEFT(TRIM(BU106),1))),1))</f>
        <v/>
      </c>
      <c r="DS106" s="44" t="str">
        <f t="shared" si="55"/>
        <v/>
      </c>
      <c r="DT106" s="42" t="str">
        <f>IF(AH106="","",IF(COUNTIFS($AH$12:AH106,AH106,$AI$12:AI106,AI106,$AM$12:AM106,AM106)=1,1,0))</f>
        <v/>
      </c>
    </row>
    <row r="107" spans="16:124" ht="12.75" customHeight="1" x14ac:dyDescent="0.35">
      <c r="P107" s="41"/>
      <c r="Q107" s="41"/>
      <c r="R107" s="41"/>
      <c r="S107" s="41"/>
      <c r="AH107" s="40"/>
      <c r="AP107" s="40"/>
      <c r="AS107" s="41"/>
      <c r="AT107" s="41"/>
      <c r="AW107" t="str">
        <f t="shared" si="28"/>
        <v/>
      </c>
      <c r="AX107" t="str">
        <f t="shared" si="29"/>
        <v/>
      </c>
      <c r="AY107" t="str">
        <f t="shared" si="30"/>
        <v/>
      </c>
      <c r="AZ107" s="40"/>
      <c r="BL107" s="47" t="str">
        <f t="shared" si="31"/>
        <v/>
      </c>
      <c r="BM107" s="47" t="str">
        <f t="shared" si="32"/>
        <v/>
      </c>
      <c r="BN107" s="47" t="str">
        <f t="shared" si="33"/>
        <v/>
      </c>
      <c r="BO107" s="47" t="str">
        <f t="shared" si="34"/>
        <v/>
      </c>
      <c r="BP107" s="47" t="str">
        <f t="shared" si="35"/>
        <v/>
      </c>
      <c r="BQ107" s="48" t="str">
        <f t="shared" si="36"/>
        <v/>
      </c>
      <c r="BR107" s="48" t="str">
        <f t="shared" si="37"/>
        <v/>
      </c>
      <c r="BS107" s="48" t="str">
        <f t="shared" si="38"/>
        <v/>
      </c>
      <c r="BT107" s="47" t="str">
        <f t="shared" si="39"/>
        <v/>
      </c>
      <c r="CA107" s="47" t="str">
        <f t="shared" si="40"/>
        <v/>
      </c>
      <c r="CB107" s="47" t="str">
        <f t="shared" si="41"/>
        <v/>
      </c>
      <c r="CC107" s="47" t="str">
        <f t="shared" si="42"/>
        <v/>
      </c>
      <c r="CD107" s="47" t="str">
        <f t="shared" si="43"/>
        <v/>
      </c>
      <c r="CE107" s="47" t="str">
        <f>IF(AH107="","",IF(OR(AI107&lt;&gt;'Seasonal Tercile Tally'!$B$3,AM107&lt;&gt;'Seasonal Tercile Tally'!$B$4),"Other site/ season",IF(DT107=0,"Excluded: duplicate (later row)",IF(N107&lt;&gt;1,"Excluded: not sighted",IF(AC107&lt;&gt;1,"Excluded: not confirmed",IF(AD107&lt;&gt;1,"Excluded: not approved",IF(AP107="Contested","Excluded: contested",IF(OR(U107="",U107=0),"Excluded: no tercile",IF(CB107="","Counted (simple tally only — no weight)","Counted")))))))))</f>
        <v/>
      </c>
      <c r="CF107" s="49" t="str">
        <f>IF(AH107="","",IFERROR(INDEX('Prior Multipliers'!$C$6:$C$70,MATCH(LEFT(AH107,10),'Prior Multipliers'!$A$6:$A$70,0)),IFERROR(INDEX('Prior Multipliers'!$C$6:$C$70,MATCH(LEFT(AH107,6),'Prior Multipliers'!$A$6:$A$70,0)),IFERROR(INDEX('Prior Multipliers'!$C$6:$C$70,MATCH(LEFT(AH107,2),'Prior Multipliers'!$A$6:$A$70,0)),1))))</f>
        <v/>
      </c>
      <c r="CG107" s="49" t="str">
        <f>IF(CB107="","",IF(AND('Seasonal Tercile Tally'!$B$5=1,BT107="Rating-based"),CB107*CF107,CB107))</f>
        <v/>
      </c>
      <c r="CH107" s="47">
        <f t="shared" si="44"/>
        <v>0</v>
      </c>
      <c r="CI107" s="45"/>
      <c r="CJ107" s="42" t="str">
        <f t="shared" si="45"/>
        <v/>
      </c>
      <c r="CM107" s="42" t="str">
        <f t="shared" si="46"/>
        <v/>
      </c>
      <c r="CP107" s="46" t="str">
        <f t="shared" si="47"/>
        <v/>
      </c>
      <c r="CS107" s="46" t="str">
        <f t="shared" si="48"/>
        <v/>
      </c>
      <c r="CT107" s="42" t="str">
        <f t="shared" si="49"/>
        <v/>
      </c>
      <c r="CU107" s="42" t="str">
        <f t="shared" si="50"/>
        <v/>
      </c>
      <c r="CV107" s="42" t="str">
        <f t="shared" si="51"/>
        <v/>
      </c>
      <c r="DB107" s="45"/>
      <c r="DH107" s="42" t="str">
        <f t="shared" si="52"/>
        <v/>
      </c>
      <c r="DI107" s="43" t="str">
        <f t="shared" si="53"/>
        <v/>
      </c>
      <c r="DK107" s="46" t="str">
        <f t="shared" si="54"/>
        <v/>
      </c>
      <c r="DQ107" s="42" t="str">
        <f>IF(AH107="","",IFERROR(ROUND(100*('Weighting Options'!$D$7*IF(ISNUMBER(CA107),CA107/3,0)+'Weighting Options'!$D$8*MIN(N(BL107),3)/3+'Weighting Options'!$D$9*IF(AP107="Community/Plenary-endorsed",1,IF(AP107="FGD-validated only",0.75,IF(AP107="Sub-community-specific",0.5,IF(AP107="Provisional/emerging",0.25,0))))+'Weighting Options'!$D$10*IF(ISNUMBER(K107),K107/3,0)+'Weighting Options'!$D$11*IF(CC107="",0.5,IF(CC107="OK",1,0.25))+'Weighting Options'!$D$12*IF(DK107="",0.5,IF(DK107="Agrees",1,IF(DK107="Opposite",0,0.5)))+'Weighting Options'!$D$13*MIN(N(BG107),3)/3+'Weighting Options'!$D$14*IF(AE107=1,1,0))/SUM('Weighting Options'!$D$7:$D$14),0),""))</f>
        <v/>
      </c>
      <c r="DR107" s="44" t="str">
        <f>IF(AH107="","",IFERROR(INDEX('Weighting Options'!$D$20:$D$27,VALUE(LEFT(TRIM(BU107),1))),1))</f>
        <v/>
      </c>
      <c r="DS107" s="44" t="str">
        <f t="shared" si="55"/>
        <v/>
      </c>
      <c r="DT107" s="42" t="str">
        <f>IF(AH107="","",IF(COUNTIFS($AH$12:AH107,AH107,$AI$12:AI107,AI107,$AM$12:AM107,AM107)=1,1,0))</f>
        <v/>
      </c>
    </row>
    <row r="108" spans="16:124" ht="12.75" customHeight="1" x14ac:dyDescent="0.35">
      <c r="P108" s="41"/>
      <c r="Q108" s="41"/>
      <c r="R108" s="41"/>
      <c r="S108" s="41"/>
      <c r="AH108" s="40"/>
      <c r="AP108" s="40"/>
      <c r="AS108" s="41"/>
      <c r="AT108" s="41"/>
      <c r="AW108" t="str">
        <f t="shared" si="28"/>
        <v/>
      </c>
      <c r="AX108" t="str">
        <f t="shared" si="29"/>
        <v/>
      </c>
      <c r="AY108" t="str">
        <f t="shared" si="30"/>
        <v/>
      </c>
      <c r="AZ108" s="40"/>
      <c r="BL108" s="47" t="str">
        <f t="shared" si="31"/>
        <v/>
      </c>
      <c r="BM108" s="47" t="str">
        <f t="shared" si="32"/>
        <v/>
      </c>
      <c r="BN108" s="47" t="str">
        <f t="shared" si="33"/>
        <v/>
      </c>
      <c r="BO108" s="47" t="str">
        <f t="shared" si="34"/>
        <v/>
      </c>
      <c r="BP108" s="47" t="str">
        <f t="shared" si="35"/>
        <v/>
      </c>
      <c r="BQ108" s="48" t="str">
        <f t="shared" si="36"/>
        <v/>
      </c>
      <c r="BR108" s="48" t="str">
        <f t="shared" si="37"/>
        <v/>
      </c>
      <c r="BS108" s="48" t="str">
        <f t="shared" si="38"/>
        <v/>
      </c>
      <c r="BT108" s="47" t="str">
        <f t="shared" si="39"/>
        <v/>
      </c>
      <c r="CA108" s="47" t="str">
        <f t="shared" si="40"/>
        <v/>
      </c>
      <c r="CB108" s="47" t="str">
        <f t="shared" si="41"/>
        <v/>
      </c>
      <c r="CC108" s="47" t="str">
        <f t="shared" si="42"/>
        <v/>
      </c>
      <c r="CD108" s="47" t="str">
        <f t="shared" si="43"/>
        <v/>
      </c>
      <c r="CE108" s="47" t="str">
        <f>IF(AH108="","",IF(OR(AI108&lt;&gt;'Seasonal Tercile Tally'!$B$3,AM108&lt;&gt;'Seasonal Tercile Tally'!$B$4),"Other site/ season",IF(DT108=0,"Excluded: duplicate (later row)",IF(N108&lt;&gt;1,"Excluded: not sighted",IF(AC108&lt;&gt;1,"Excluded: not confirmed",IF(AD108&lt;&gt;1,"Excluded: not approved",IF(AP108="Contested","Excluded: contested",IF(OR(U108="",U108=0),"Excluded: no tercile",IF(CB108="","Counted (simple tally only — no weight)","Counted")))))))))</f>
        <v/>
      </c>
      <c r="CF108" s="49" t="str">
        <f>IF(AH108="","",IFERROR(INDEX('Prior Multipliers'!$C$6:$C$70,MATCH(LEFT(AH108,10),'Prior Multipliers'!$A$6:$A$70,0)),IFERROR(INDEX('Prior Multipliers'!$C$6:$C$70,MATCH(LEFT(AH108,6),'Prior Multipliers'!$A$6:$A$70,0)),IFERROR(INDEX('Prior Multipliers'!$C$6:$C$70,MATCH(LEFT(AH108,2),'Prior Multipliers'!$A$6:$A$70,0)),1))))</f>
        <v/>
      </c>
      <c r="CG108" s="49" t="str">
        <f>IF(CB108="","",IF(AND('Seasonal Tercile Tally'!$B$5=1,BT108="Rating-based"),CB108*CF108,CB108))</f>
        <v/>
      </c>
      <c r="CH108" s="47">
        <f t="shared" si="44"/>
        <v>0</v>
      </c>
      <c r="CI108" s="45"/>
      <c r="CJ108" s="42" t="str">
        <f t="shared" si="45"/>
        <v/>
      </c>
      <c r="CM108" s="42" t="str">
        <f t="shared" si="46"/>
        <v/>
      </c>
      <c r="CP108" s="46" t="str">
        <f t="shared" si="47"/>
        <v/>
      </c>
      <c r="CS108" s="46" t="str">
        <f t="shared" si="48"/>
        <v/>
      </c>
      <c r="CT108" s="42" t="str">
        <f t="shared" si="49"/>
        <v/>
      </c>
      <c r="CU108" s="42" t="str">
        <f t="shared" si="50"/>
        <v/>
      </c>
      <c r="CV108" s="42" t="str">
        <f t="shared" si="51"/>
        <v/>
      </c>
      <c r="DB108" s="45"/>
      <c r="DH108" s="42" t="str">
        <f t="shared" si="52"/>
        <v/>
      </c>
      <c r="DI108" s="43" t="str">
        <f t="shared" si="53"/>
        <v/>
      </c>
      <c r="DK108" s="46" t="str">
        <f t="shared" si="54"/>
        <v/>
      </c>
      <c r="DQ108" s="42" t="str">
        <f>IF(AH108="","",IFERROR(ROUND(100*('Weighting Options'!$D$7*IF(ISNUMBER(CA108),CA108/3,0)+'Weighting Options'!$D$8*MIN(N(BL108),3)/3+'Weighting Options'!$D$9*IF(AP108="Community/Plenary-endorsed",1,IF(AP108="FGD-validated only",0.75,IF(AP108="Sub-community-specific",0.5,IF(AP108="Provisional/emerging",0.25,0))))+'Weighting Options'!$D$10*IF(ISNUMBER(K108),K108/3,0)+'Weighting Options'!$D$11*IF(CC108="",0.5,IF(CC108="OK",1,0.25))+'Weighting Options'!$D$12*IF(DK108="",0.5,IF(DK108="Agrees",1,IF(DK108="Opposite",0,0.5)))+'Weighting Options'!$D$13*MIN(N(BG108),3)/3+'Weighting Options'!$D$14*IF(AE108=1,1,0))/SUM('Weighting Options'!$D$7:$D$14),0),""))</f>
        <v/>
      </c>
      <c r="DR108" s="44" t="str">
        <f>IF(AH108="","",IFERROR(INDEX('Weighting Options'!$D$20:$D$27,VALUE(LEFT(TRIM(BU108),1))),1))</f>
        <v/>
      </c>
      <c r="DS108" s="44" t="str">
        <f t="shared" si="55"/>
        <v/>
      </c>
      <c r="DT108" s="42" t="str">
        <f>IF(AH108="","",IF(COUNTIFS($AH$12:AH108,AH108,$AI$12:AI108,AI108,$AM$12:AM108,AM108)=1,1,0))</f>
        <v/>
      </c>
    </row>
    <row r="109" spans="16:124" ht="12.75" customHeight="1" x14ac:dyDescent="0.35">
      <c r="P109" s="41"/>
      <c r="Q109" s="41"/>
      <c r="R109" s="41"/>
      <c r="S109" s="41"/>
      <c r="AH109" s="40"/>
      <c r="AP109" s="40"/>
      <c r="AS109" s="41"/>
      <c r="AT109" s="41"/>
      <c r="AW109" t="str">
        <f t="shared" si="28"/>
        <v/>
      </c>
      <c r="AX109" t="str">
        <f t="shared" si="29"/>
        <v/>
      </c>
      <c r="AY109" t="str">
        <f t="shared" si="30"/>
        <v/>
      </c>
      <c r="AZ109" s="40"/>
      <c r="BL109" s="47" t="str">
        <f t="shared" si="31"/>
        <v/>
      </c>
      <c r="BM109" s="47" t="str">
        <f t="shared" si="32"/>
        <v/>
      </c>
      <c r="BN109" s="47" t="str">
        <f t="shared" si="33"/>
        <v/>
      </c>
      <c r="BO109" s="47" t="str">
        <f t="shared" si="34"/>
        <v/>
      </c>
      <c r="BP109" s="47" t="str">
        <f t="shared" si="35"/>
        <v/>
      </c>
      <c r="BQ109" s="48" t="str">
        <f t="shared" si="36"/>
        <v/>
      </c>
      <c r="BR109" s="48" t="str">
        <f t="shared" si="37"/>
        <v/>
      </c>
      <c r="BS109" s="48" t="str">
        <f t="shared" si="38"/>
        <v/>
      </c>
      <c r="BT109" s="47" t="str">
        <f t="shared" si="39"/>
        <v/>
      </c>
      <c r="CA109" s="47" t="str">
        <f t="shared" si="40"/>
        <v/>
      </c>
      <c r="CB109" s="47" t="str">
        <f t="shared" si="41"/>
        <v/>
      </c>
      <c r="CC109" s="47" t="str">
        <f t="shared" si="42"/>
        <v/>
      </c>
      <c r="CD109" s="47" t="str">
        <f t="shared" si="43"/>
        <v/>
      </c>
      <c r="CE109" s="47" t="str">
        <f>IF(AH109="","",IF(OR(AI109&lt;&gt;'Seasonal Tercile Tally'!$B$3,AM109&lt;&gt;'Seasonal Tercile Tally'!$B$4),"Other site/ season",IF(DT109=0,"Excluded: duplicate (later row)",IF(N109&lt;&gt;1,"Excluded: not sighted",IF(AC109&lt;&gt;1,"Excluded: not confirmed",IF(AD109&lt;&gt;1,"Excluded: not approved",IF(AP109="Contested","Excluded: contested",IF(OR(U109="",U109=0),"Excluded: no tercile",IF(CB109="","Counted (simple tally only — no weight)","Counted")))))))))</f>
        <v/>
      </c>
      <c r="CF109" s="49" t="str">
        <f>IF(AH109="","",IFERROR(INDEX('Prior Multipliers'!$C$6:$C$70,MATCH(LEFT(AH109,10),'Prior Multipliers'!$A$6:$A$70,0)),IFERROR(INDEX('Prior Multipliers'!$C$6:$C$70,MATCH(LEFT(AH109,6),'Prior Multipliers'!$A$6:$A$70,0)),IFERROR(INDEX('Prior Multipliers'!$C$6:$C$70,MATCH(LEFT(AH109,2),'Prior Multipliers'!$A$6:$A$70,0)),1))))</f>
        <v/>
      </c>
      <c r="CG109" s="49" t="str">
        <f>IF(CB109="","",IF(AND('Seasonal Tercile Tally'!$B$5=1,BT109="Rating-based"),CB109*CF109,CB109))</f>
        <v/>
      </c>
      <c r="CH109" s="47">
        <f t="shared" si="44"/>
        <v>0</v>
      </c>
      <c r="CI109" s="45"/>
      <c r="CJ109" s="42" t="str">
        <f t="shared" si="45"/>
        <v/>
      </c>
      <c r="CM109" s="42" t="str">
        <f t="shared" si="46"/>
        <v/>
      </c>
      <c r="CP109" s="46" t="str">
        <f t="shared" si="47"/>
        <v/>
      </c>
      <c r="CS109" s="46" t="str">
        <f t="shared" si="48"/>
        <v/>
      </c>
      <c r="CT109" s="42" t="str">
        <f t="shared" si="49"/>
        <v/>
      </c>
      <c r="CU109" s="42" t="str">
        <f t="shared" si="50"/>
        <v/>
      </c>
      <c r="CV109" s="42" t="str">
        <f t="shared" si="51"/>
        <v/>
      </c>
      <c r="DB109" s="45"/>
      <c r="DH109" s="42" t="str">
        <f t="shared" si="52"/>
        <v/>
      </c>
      <c r="DI109" s="43" t="str">
        <f t="shared" si="53"/>
        <v/>
      </c>
      <c r="DK109" s="46" t="str">
        <f t="shared" si="54"/>
        <v/>
      </c>
      <c r="DQ109" s="42" t="str">
        <f>IF(AH109="","",IFERROR(ROUND(100*('Weighting Options'!$D$7*IF(ISNUMBER(CA109),CA109/3,0)+'Weighting Options'!$D$8*MIN(N(BL109),3)/3+'Weighting Options'!$D$9*IF(AP109="Community/Plenary-endorsed",1,IF(AP109="FGD-validated only",0.75,IF(AP109="Sub-community-specific",0.5,IF(AP109="Provisional/emerging",0.25,0))))+'Weighting Options'!$D$10*IF(ISNUMBER(K109),K109/3,0)+'Weighting Options'!$D$11*IF(CC109="",0.5,IF(CC109="OK",1,0.25))+'Weighting Options'!$D$12*IF(DK109="",0.5,IF(DK109="Agrees",1,IF(DK109="Opposite",0,0.5)))+'Weighting Options'!$D$13*MIN(N(BG109),3)/3+'Weighting Options'!$D$14*IF(AE109=1,1,0))/SUM('Weighting Options'!$D$7:$D$14),0),""))</f>
        <v/>
      </c>
      <c r="DR109" s="44" t="str">
        <f>IF(AH109="","",IFERROR(INDEX('Weighting Options'!$D$20:$D$27,VALUE(LEFT(TRIM(BU109),1))),1))</f>
        <v/>
      </c>
      <c r="DS109" s="44" t="str">
        <f t="shared" si="55"/>
        <v/>
      </c>
      <c r="DT109" s="42" t="str">
        <f>IF(AH109="","",IF(COUNTIFS($AH$12:AH109,AH109,$AI$12:AI109,AI109,$AM$12:AM109,AM109)=1,1,0))</f>
        <v/>
      </c>
    </row>
    <row r="110" spans="16:124" ht="12.75" customHeight="1" x14ac:dyDescent="0.35">
      <c r="P110" s="41"/>
      <c r="Q110" s="41"/>
      <c r="R110" s="41"/>
      <c r="S110" s="41"/>
      <c r="AH110" s="40"/>
      <c r="AP110" s="40"/>
      <c r="AS110" s="41"/>
      <c r="AT110" s="41"/>
      <c r="AW110" t="str">
        <f t="shared" si="28"/>
        <v/>
      </c>
      <c r="AX110" t="str">
        <f t="shared" si="29"/>
        <v/>
      </c>
      <c r="AY110" t="str">
        <f t="shared" si="30"/>
        <v/>
      </c>
      <c r="AZ110" s="40"/>
      <c r="BL110" s="47" t="str">
        <f t="shared" si="31"/>
        <v/>
      </c>
      <c r="BM110" s="47" t="str">
        <f t="shared" si="32"/>
        <v/>
      </c>
      <c r="BN110" s="47" t="str">
        <f t="shared" si="33"/>
        <v/>
      </c>
      <c r="BO110" s="47" t="str">
        <f t="shared" si="34"/>
        <v/>
      </c>
      <c r="BP110" s="47" t="str">
        <f t="shared" si="35"/>
        <v/>
      </c>
      <c r="BQ110" s="48" t="str">
        <f t="shared" si="36"/>
        <v/>
      </c>
      <c r="BR110" s="48" t="str">
        <f t="shared" si="37"/>
        <v/>
      </c>
      <c r="BS110" s="48" t="str">
        <f t="shared" si="38"/>
        <v/>
      </c>
      <c r="BT110" s="47" t="str">
        <f t="shared" si="39"/>
        <v/>
      </c>
      <c r="CA110" s="47" t="str">
        <f t="shared" si="40"/>
        <v/>
      </c>
      <c r="CB110" s="47" t="str">
        <f t="shared" si="41"/>
        <v/>
      </c>
      <c r="CC110" s="47" t="str">
        <f t="shared" si="42"/>
        <v/>
      </c>
      <c r="CD110" s="47" t="str">
        <f t="shared" si="43"/>
        <v/>
      </c>
      <c r="CE110" s="47" t="str">
        <f>IF(AH110="","",IF(OR(AI110&lt;&gt;'Seasonal Tercile Tally'!$B$3,AM110&lt;&gt;'Seasonal Tercile Tally'!$B$4),"Other site/ season",IF(DT110=0,"Excluded: duplicate (later row)",IF(N110&lt;&gt;1,"Excluded: not sighted",IF(AC110&lt;&gt;1,"Excluded: not confirmed",IF(AD110&lt;&gt;1,"Excluded: not approved",IF(AP110="Contested","Excluded: contested",IF(OR(U110="",U110=0),"Excluded: no tercile",IF(CB110="","Counted (simple tally only — no weight)","Counted")))))))))</f>
        <v/>
      </c>
      <c r="CF110" s="49" t="str">
        <f>IF(AH110="","",IFERROR(INDEX('Prior Multipliers'!$C$6:$C$70,MATCH(LEFT(AH110,10),'Prior Multipliers'!$A$6:$A$70,0)),IFERROR(INDEX('Prior Multipliers'!$C$6:$C$70,MATCH(LEFT(AH110,6),'Prior Multipliers'!$A$6:$A$70,0)),IFERROR(INDEX('Prior Multipliers'!$C$6:$C$70,MATCH(LEFT(AH110,2),'Prior Multipliers'!$A$6:$A$70,0)),1))))</f>
        <v/>
      </c>
      <c r="CG110" s="49" t="str">
        <f>IF(CB110="","",IF(AND('Seasonal Tercile Tally'!$B$5=1,BT110="Rating-based"),CB110*CF110,CB110))</f>
        <v/>
      </c>
      <c r="CH110" s="47">
        <f t="shared" si="44"/>
        <v>0</v>
      </c>
      <c r="CI110" s="45"/>
      <c r="CJ110" s="42" t="str">
        <f t="shared" si="45"/>
        <v/>
      </c>
      <c r="CM110" s="42" t="str">
        <f t="shared" si="46"/>
        <v/>
      </c>
      <c r="CP110" s="46" t="str">
        <f t="shared" si="47"/>
        <v/>
      </c>
      <c r="CS110" s="46" t="str">
        <f t="shared" si="48"/>
        <v/>
      </c>
      <c r="CT110" s="42" t="str">
        <f t="shared" si="49"/>
        <v/>
      </c>
      <c r="CU110" s="42" t="str">
        <f t="shared" si="50"/>
        <v/>
      </c>
      <c r="CV110" s="42" t="str">
        <f t="shared" si="51"/>
        <v/>
      </c>
      <c r="DB110" s="45"/>
      <c r="DH110" s="42" t="str">
        <f t="shared" si="52"/>
        <v/>
      </c>
      <c r="DI110" s="43" t="str">
        <f t="shared" si="53"/>
        <v/>
      </c>
      <c r="DK110" s="46" t="str">
        <f t="shared" si="54"/>
        <v/>
      </c>
      <c r="DQ110" s="42" t="str">
        <f>IF(AH110="","",IFERROR(ROUND(100*('Weighting Options'!$D$7*IF(ISNUMBER(CA110),CA110/3,0)+'Weighting Options'!$D$8*MIN(N(BL110),3)/3+'Weighting Options'!$D$9*IF(AP110="Community/Plenary-endorsed",1,IF(AP110="FGD-validated only",0.75,IF(AP110="Sub-community-specific",0.5,IF(AP110="Provisional/emerging",0.25,0))))+'Weighting Options'!$D$10*IF(ISNUMBER(K110),K110/3,0)+'Weighting Options'!$D$11*IF(CC110="",0.5,IF(CC110="OK",1,0.25))+'Weighting Options'!$D$12*IF(DK110="",0.5,IF(DK110="Agrees",1,IF(DK110="Opposite",0,0.5)))+'Weighting Options'!$D$13*MIN(N(BG110),3)/3+'Weighting Options'!$D$14*IF(AE110=1,1,0))/SUM('Weighting Options'!$D$7:$D$14),0),""))</f>
        <v/>
      </c>
      <c r="DR110" s="44" t="str">
        <f>IF(AH110="","",IFERROR(INDEX('Weighting Options'!$D$20:$D$27,VALUE(LEFT(TRIM(BU110),1))),1))</f>
        <v/>
      </c>
      <c r="DS110" s="44" t="str">
        <f t="shared" si="55"/>
        <v/>
      </c>
      <c r="DT110" s="42" t="str">
        <f>IF(AH110="","",IF(COUNTIFS($AH$12:AH110,AH110,$AI$12:AI110,AI110,$AM$12:AM110,AM110)=1,1,0))</f>
        <v/>
      </c>
    </row>
    <row r="111" spans="16:124" ht="12.75" customHeight="1" x14ac:dyDescent="0.35">
      <c r="P111" s="41"/>
      <c r="Q111" s="41"/>
      <c r="R111" s="41"/>
      <c r="S111" s="41"/>
      <c r="AH111" s="40"/>
      <c r="AP111" s="40"/>
      <c r="AS111" s="41"/>
      <c r="AT111" s="41"/>
      <c r="AW111" t="str">
        <f t="shared" si="28"/>
        <v/>
      </c>
      <c r="AX111" t="str">
        <f t="shared" si="29"/>
        <v/>
      </c>
      <c r="AY111" t="str">
        <f t="shared" si="30"/>
        <v/>
      </c>
      <c r="AZ111" s="40"/>
      <c r="BL111" s="47" t="str">
        <f t="shared" si="31"/>
        <v/>
      </c>
      <c r="BM111" s="47" t="str">
        <f t="shared" si="32"/>
        <v/>
      </c>
      <c r="BN111" s="47" t="str">
        <f t="shared" si="33"/>
        <v/>
      </c>
      <c r="BO111" s="47" t="str">
        <f t="shared" si="34"/>
        <v/>
      </c>
      <c r="BP111" s="47" t="str">
        <f t="shared" si="35"/>
        <v/>
      </c>
      <c r="BQ111" s="48" t="str">
        <f t="shared" si="36"/>
        <v/>
      </c>
      <c r="BR111" s="48" t="str">
        <f t="shared" si="37"/>
        <v/>
      </c>
      <c r="BS111" s="48" t="str">
        <f t="shared" si="38"/>
        <v/>
      </c>
      <c r="BT111" s="47" t="str">
        <f t="shared" si="39"/>
        <v/>
      </c>
      <c r="CA111" s="47" t="str">
        <f t="shared" si="40"/>
        <v/>
      </c>
      <c r="CB111" s="47" t="str">
        <f t="shared" si="41"/>
        <v/>
      </c>
      <c r="CC111" s="47" t="str">
        <f t="shared" si="42"/>
        <v/>
      </c>
      <c r="CD111" s="47" t="str">
        <f t="shared" si="43"/>
        <v/>
      </c>
      <c r="CE111" s="47" t="str">
        <f>IF(AH111="","",IF(OR(AI111&lt;&gt;'Seasonal Tercile Tally'!$B$3,AM111&lt;&gt;'Seasonal Tercile Tally'!$B$4),"Other site/ season",IF(DT111=0,"Excluded: duplicate (later row)",IF(N111&lt;&gt;1,"Excluded: not sighted",IF(AC111&lt;&gt;1,"Excluded: not confirmed",IF(AD111&lt;&gt;1,"Excluded: not approved",IF(AP111="Contested","Excluded: contested",IF(OR(U111="",U111=0),"Excluded: no tercile",IF(CB111="","Counted (simple tally only — no weight)","Counted")))))))))</f>
        <v/>
      </c>
      <c r="CF111" s="49" t="str">
        <f>IF(AH111="","",IFERROR(INDEX('Prior Multipliers'!$C$6:$C$70,MATCH(LEFT(AH111,10),'Prior Multipliers'!$A$6:$A$70,0)),IFERROR(INDEX('Prior Multipliers'!$C$6:$C$70,MATCH(LEFT(AH111,6),'Prior Multipliers'!$A$6:$A$70,0)),IFERROR(INDEX('Prior Multipliers'!$C$6:$C$70,MATCH(LEFT(AH111,2),'Prior Multipliers'!$A$6:$A$70,0)),1))))</f>
        <v/>
      </c>
      <c r="CG111" s="49" t="str">
        <f>IF(CB111="","",IF(AND('Seasonal Tercile Tally'!$B$5=1,BT111="Rating-based"),CB111*CF111,CB111))</f>
        <v/>
      </c>
      <c r="CH111" s="47">
        <f t="shared" si="44"/>
        <v>0</v>
      </c>
      <c r="CI111" s="45"/>
      <c r="CJ111" s="42" t="str">
        <f t="shared" si="45"/>
        <v/>
      </c>
      <c r="CM111" s="42" t="str">
        <f t="shared" si="46"/>
        <v/>
      </c>
      <c r="CP111" s="46" t="str">
        <f t="shared" si="47"/>
        <v/>
      </c>
      <c r="CS111" s="46" t="str">
        <f t="shared" si="48"/>
        <v/>
      </c>
      <c r="CT111" s="42" t="str">
        <f t="shared" si="49"/>
        <v/>
      </c>
      <c r="CU111" s="42" t="str">
        <f t="shared" si="50"/>
        <v/>
      </c>
      <c r="CV111" s="42" t="str">
        <f t="shared" si="51"/>
        <v/>
      </c>
      <c r="DB111" s="45"/>
      <c r="DH111" s="42" t="str">
        <f t="shared" si="52"/>
        <v/>
      </c>
      <c r="DI111" s="43" t="str">
        <f t="shared" si="53"/>
        <v/>
      </c>
      <c r="DK111" s="46" t="str">
        <f t="shared" si="54"/>
        <v/>
      </c>
      <c r="DQ111" s="42" t="str">
        <f>IF(AH111="","",IFERROR(ROUND(100*('Weighting Options'!$D$7*IF(ISNUMBER(CA111),CA111/3,0)+'Weighting Options'!$D$8*MIN(N(BL111),3)/3+'Weighting Options'!$D$9*IF(AP111="Community/Plenary-endorsed",1,IF(AP111="FGD-validated only",0.75,IF(AP111="Sub-community-specific",0.5,IF(AP111="Provisional/emerging",0.25,0))))+'Weighting Options'!$D$10*IF(ISNUMBER(K111),K111/3,0)+'Weighting Options'!$D$11*IF(CC111="",0.5,IF(CC111="OK",1,0.25))+'Weighting Options'!$D$12*IF(DK111="",0.5,IF(DK111="Agrees",1,IF(DK111="Opposite",0,0.5)))+'Weighting Options'!$D$13*MIN(N(BG111),3)/3+'Weighting Options'!$D$14*IF(AE111=1,1,0))/SUM('Weighting Options'!$D$7:$D$14),0),""))</f>
        <v/>
      </c>
      <c r="DR111" s="44" t="str">
        <f>IF(AH111="","",IFERROR(INDEX('Weighting Options'!$D$20:$D$27,VALUE(LEFT(TRIM(BU111),1))),1))</f>
        <v/>
      </c>
      <c r="DS111" s="44" t="str">
        <f t="shared" si="55"/>
        <v/>
      </c>
      <c r="DT111" s="42" t="str">
        <f>IF(AH111="","",IF(COUNTIFS($AH$12:AH111,AH111,$AI$12:AI111,AI111,$AM$12:AM111,AM111)=1,1,0))</f>
        <v/>
      </c>
    </row>
    <row r="112" spans="16:124" ht="12.75" customHeight="1" x14ac:dyDescent="0.35">
      <c r="P112" s="41"/>
      <c r="Q112" s="41"/>
      <c r="R112" s="41"/>
      <c r="S112" s="41"/>
      <c r="AH112" s="40"/>
      <c r="AP112" s="40"/>
      <c r="AS112" s="41"/>
      <c r="AT112" s="41"/>
      <c r="AW112" t="str">
        <f t="shared" si="28"/>
        <v/>
      </c>
      <c r="AX112" t="str">
        <f t="shared" si="29"/>
        <v/>
      </c>
      <c r="AY112" t="str">
        <f t="shared" si="30"/>
        <v/>
      </c>
      <c r="AZ112" s="40"/>
      <c r="BL112" s="47" t="str">
        <f t="shared" si="31"/>
        <v/>
      </c>
      <c r="BM112" s="47" t="str">
        <f t="shared" si="32"/>
        <v/>
      </c>
      <c r="BN112" s="47" t="str">
        <f t="shared" si="33"/>
        <v/>
      </c>
      <c r="BO112" s="47" t="str">
        <f t="shared" si="34"/>
        <v/>
      </c>
      <c r="BP112" s="47" t="str">
        <f t="shared" si="35"/>
        <v/>
      </c>
      <c r="BQ112" s="48" t="str">
        <f t="shared" si="36"/>
        <v/>
      </c>
      <c r="BR112" s="48" t="str">
        <f t="shared" si="37"/>
        <v/>
      </c>
      <c r="BS112" s="48" t="str">
        <f t="shared" si="38"/>
        <v/>
      </c>
      <c r="BT112" s="47" t="str">
        <f t="shared" si="39"/>
        <v/>
      </c>
      <c r="CA112" s="47" t="str">
        <f t="shared" si="40"/>
        <v/>
      </c>
      <c r="CB112" s="47" t="str">
        <f t="shared" si="41"/>
        <v/>
      </c>
      <c r="CC112" s="47" t="str">
        <f t="shared" si="42"/>
        <v/>
      </c>
      <c r="CD112" s="47" t="str">
        <f t="shared" si="43"/>
        <v/>
      </c>
      <c r="CE112" s="47" t="str">
        <f>IF(AH112="","",IF(OR(AI112&lt;&gt;'Seasonal Tercile Tally'!$B$3,AM112&lt;&gt;'Seasonal Tercile Tally'!$B$4),"Other site/ season",IF(DT112=0,"Excluded: duplicate (later row)",IF(N112&lt;&gt;1,"Excluded: not sighted",IF(AC112&lt;&gt;1,"Excluded: not confirmed",IF(AD112&lt;&gt;1,"Excluded: not approved",IF(AP112="Contested","Excluded: contested",IF(OR(U112="",U112=0),"Excluded: no tercile",IF(CB112="","Counted (simple tally only — no weight)","Counted")))))))))</f>
        <v/>
      </c>
      <c r="CF112" s="49" t="str">
        <f>IF(AH112="","",IFERROR(INDEX('Prior Multipliers'!$C$6:$C$70,MATCH(LEFT(AH112,10),'Prior Multipliers'!$A$6:$A$70,0)),IFERROR(INDEX('Prior Multipliers'!$C$6:$C$70,MATCH(LEFT(AH112,6),'Prior Multipliers'!$A$6:$A$70,0)),IFERROR(INDEX('Prior Multipliers'!$C$6:$C$70,MATCH(LEFT(AH112,2),'Prior Multipliers'!$A$6:$A$70,0)),1))))</f>
        <v/>
      </c>
      <c r="CG112" s="49" t="str">
        <f>IF(CB112="","",IF(AND('Seasonal Tercile Tally'!$B$5=1,BT112="Rating-based"),CB112*CF112,CB112))</f>
        <v/>
      </c>
      <c r="CH112" s="47">
        <f t="shared" si="44"/>
        <v>0</v>
      </c>
      <c r="CI112" s="45"/>
      <c r="CJ112" s="42" t="str">
        <f t="shared" si="45"/>
        <v/>
      </c>
      <c r="CM112" s="42" t="str">
        <f t="shared" si="46"/>
        <v/>
      </c>
      <c r="CP112" s="46" t="str">
        <f t="shared" si="47"/>
        <v/>
      </c>
      <c r="CS112" s="46" t="str">
        <f t="shared" si="48"/>
        <v/>
      </c>
      <c r="CT112" s="42" t="str">
        <f t="shared" si="49"/>
        <v/>
      </c>
      <c r="CU112" s="42" t="str">
        <f t="shared" si="50"/>
        <v/>
      </c>
      <c r="CV112" s="42" t="str">
        <f t="shared" si="51"/>
        <v/>
      </c>
      <c r="DB112" s="45"/>
      <c r="DH112" s="42" t="str">
        <f t="shared" si="52"/>
        <v/>
      </c>
      <c r="DI112" s="43" t="str">
        <f t="shared" si="53"/>
        <v/>
      </c>
      <c r="DK112" s="46" t="str">
        <f t="shared" si="54"/>
        <v/>
      </c>
      <c r="DQ112" s="42" t="str">
        <f>IF(AH112="","",IFERROR(ROUND(100*('Weighting Options'!$D$7*IF(ISNUMBER(CA112),CA112/3,0)+'Weighting Options'!$D$8*MIN(N(BL112),3)/3+'Weighting Options'!$D$9*IF(AP112="Community/Plenary-endorsed",1,IF(AP112="FGD-validated only",0.75,IF(AP112="Sub-community-specific",0.5,IF(AP112="Provisional/emerging",0.25,0))))+'Weighting Options'!$D$10*IF(ISNUMBER(K112),K112/3,0)+'Weighting Options'!$D$11*IF(CC112="",0.5,IF(CC112="OK",1,0.25))+'Weighting Options'!$D$12*IF(DK112="",0.5,IF(DK112="Agrees",1,IF(DK112="Opposite",0,0.5)))+'Weighting Options'!$D$13*MIN(N(BG112),3)/3+'Weighting Options'!$D$14*IF(AE112=1,1,0))/SUM('Weighting Options'!$D$7:$D$14),0),""))</f>
        <v/>
      </c>
      <c r="DR112" s="44" t="str">
        <f>IF(AH112="","",IFERROR(INDEX('Weighting Options'!$D$20:$D$27,VALUE(LEFT(TRIM(BU112),1))),1))</f>
        <v/>
      </c>
      <c r="DS112" s="44" t="str">
        <f t="shared" si="55"/>
        <v/>
      </c>
      <c r="DT112" s="42" t="str">
        <f>IF(AH112="","",IF(COUNTIFS($AH$12:AH112,AH112,$AI$12:AI112,AI112,$AM$12:AM112,AM112)=1,1,0))</f>
        <v/>
      </c>
    </row>
    <row r="113" spans="16:124" ht="12.75" customHeight="1" x14ac:dyDescent="0.35">
      <c r="P113" s="41"/>
      <c r="Q113" s="41"/>
      <c r="R113" s="41"/>
      <c r="S113" s="41"/>
      <c r="AH113" s="40"/>
      <c r="AP113" s="40"/>
      <c r="AS113" s="41"/>
      <c r="AT113" s="41"/>
      <c r="AW113" t="str">
        <f t="shared" si="28"/>
        <v/>
      </c>
      <c r="AX113" t="str">
        <f t="shared" si="29"/>
        <v/>
      </c>
      <c r="AY113" t="str">
        <f t="shared" si="30"/>
        <v/>
      </c>
      <c r="AZ113" s="40"/>
      <c r="BL113" s="47" t="str">
        <f t="shared" si="31"/>
        <v/>
      </c>
      <c r="BM113" s="47" t="str">
        <f t="shared" si="32"/>
        <v/>
      </c>
      <c r="BN113" s="47" t="str">
        <f t="shared" si="33"/>
        <v/>
      </c>
      <c r="BO113" s="47" t="str">
        <f t="shared" si="34"/>
        <v/>
      </c>
      <c r="BP113" s="47" t="str">
        <f t="shared" si="35"/>
        <v/>
      </c>
      <c r="BQ113" s="48" t="str">
        <f t="shared" si="36"/>
        <v/>
      </c>
      <c r="BR113" s="48" t="str">
        <f t="shared" si="37"/>
        <v/>
      </c>
      <c r="BS113" s="48" t="str">
        <f t="shared" si="38"/>
        <v/>
      </c>
      <c r="BT113" s="47" t="str">
        <f t="shared" si="39"/>
        <v/>
      </c>
      <c r="CA113" s="47" t="str">
        <f t="shared" si="40"/>
        <v/>
      </c>
      <c r="CB113" s="47" t="str">
        <f t="shared" si="41"/>
        <v/>
      </c>
      <c r="CC113" s="47" t="str">
        <f t="shared" si="42"/>
        <v/>
      </c>
      <c r="CD113" s="47" t="str">
        <f t="shared" si="43"/>
        <v/>
      </c>
      <c r="CE113" s="47" t="str">
        <f>IF(AH113="","",IF(OR(AI113&lt;&gt;'Seasonal Tercile Tally'!$B$3,AM113&lt;&gt;'Seasonal Tercile Tally'!$B$4),"Other site/ season",IF(DT113=0,"Excluded: duplicate (later row)",IF(N113&lt;&gt;1,"Excluded: not sighted",IF(AC113&lt;&gt;1,"Excluded: not confirmed",IF(AD113&lt;&gt;1,"Excluded: not approved",IF(AP113="Contested","Excluded: contested",IF(OR(U113="",U113=0),"Excluded: no tercile",IF(CB113="","Counted (simple tally only — no weight)","Counted")))))))))</f>
        <v/>
      </c>
      <c r="CF113" s="49" t="str">
        <f>IF(AH113="","",IFERROR(INDEX('Prior Multipliers'!$C$6:$C$70,MATCH(LEFT(AH113,10),'Prior Multipliers'!$A$6:$A$70,0)),IFERROR(INDEX('Prior Multipliers'!$C$6:$C$70,MATCH(LEFT(AH113,6),'Prior Multipliers'!$A$6:$A$70,0)),IFERROR(INDEX('Prior Multipliers'!$C$6:$C$70,MATCH(LEFT(AH113,2),'Prior Multipliers'!$A$6:$A$70,0)),1))))</f>
        <v/>
      </c>
      <c r="CG113" s="49" t="str">
        <f>IF(CB113="","",IF(AND('Seasonal Tercile Tally'!$B$5=1,BT113="Rating-based"),CB113*CF113,CB113))</f>
        <v/>
      </c>
      <c r="CH113" s="47">
        <f t="shared" si="44"/>
        <v>0</v>
      </c>
      <c r="CI113" s="45"/>
      <c r="CJ113" s="42" t="str">
        <f t="shared" si="45"/>
        <v/>
      </c>
      <c r="CM113" s="42" t="str">
        <f t="shared" si="46"/>
        <v/>
      </c>
      <c r="CP113" s="46" t="str">
        <f t="shared" si="47"/>
        <v/>
      </c>
      <c r="CS113" s="46" t="str">
        <f t="shared" si="48"/>
        <v/>
      </c>
      <c r="CT113" s="42" t="str">
        <f t="shared" si="49"/>
        <v/>
      </c>
      <c r="CU113" s="42" t="str">
        <f t="shared" si="50"/>
        <v/>
      </c>
      <c r="CV113" s="42" t="str">
        <f t="shared" si="51"/>
        <v/>
      </c>
      <c r="DB113" s="45"/>
      <c r="DH113" s="42" t="str">
        <f t="shared" si="52"/>
        <v/>
      </c>
      <c r="DI113" s="43" t="str">
        <f t="shared" si="53"/>
        <v/>
      </c>
      <c r="DK113" s="46" t="str">
        <f t="shared" si="54"/>
        <v/>
      </c>
      <c r="DQ113" s="42" t="str">
        <f>IF(AH113="","",IFERROR(ROUND(100*('Weighting Options'!$D$7*IF(ISNUMBER(CA113),CA113/3,0)+'Weighting Options'!$D$8*MIN(N(BL113),3)/3+'Weighting Options'!$D$9*IF(AP113="Community/Plenary-endorsed",1,IF(AP113="FGD-validated only",0.75,IF(AP113="Sub-community-specific",0.5,IF(AP113="Provisional/emerging",0.25,0))))+'Weighting Options'!$D$10*IF(ISNUMBER(K113),K113/3,0)+'Weighting Options'!$D$11*IF(CC113="",0.5,IF(CC113="OK",1,0.25))+'Weighting Options'!$D$12*IF(DK113="",0.5,IF(DK113="Agrees",1,IF(DK113="Opposite",0,0.5)))+'Weighting Options'!$D$13*MIN(N(BG113),3)/3+'Weighting Options'!$D$14*IF(AE113=1,1,0))/SUM('Weighting Options'!$D$7:$D$14),0),""))</f>
        <v/>
      </c>
      <c r="DR113" s="44" t="str">
        <f>IF(AH113="","",IFERROR(INDEX('Weighting Options'!$D$20:$D$27,VALUE(LEFT(TRIM(BU113),1))),1))</f>
        <v/>
      </c>
      <c r="DS113" s="44" t="str">
        <f t="shared" si="55"/>
        <v/>
      </c>
      <c r="DT113" s="42" t="str">
        <f>IF(AH113="","",IF(COUNTIFS($AH$12:AH113,AH113,$AI$12:AI113,AI113,$AM$12:AM113,AM113)=1,1,0))</f>
        <v/>
      </c>
    </row>
    <row r="114" spans="16:124" ht="12.75" customHeight="1" x14ac:dyDescent="0.35">
      <c r="P114" s="41"/>
      <c r="Q114" s="41"/>
      <c r="R114" s="41"/>
      <c r="S114" s="41"/>
      <c r="AH114" s="40"/>
      <c r="AP114" s="40"/>
      <c r="AS114" s="41"/>
      <c r="AT114" s="41"/>
      <c r="AW114" t="str">
        <f t="shared" si="28"/>
        <v/>
      </c>
      <c r="AX114" t="str">
        <f t="shared" si="29"/>
        <v/>
      </c>
      <c r="AY114" t="str">
        <f t="shared" si="30"/>
        <v/>
      </c>
      <c r="AZ114" s="40"/>
      <c r="BL114" s="47" t="str">
        <f t="shared" si="31"/>
        <v/>
      </c>
      <c r="BM114" s="47" t="str">
        <f t="shared" si="32"/>
        <v/>
      </c>
      <c r="BN114" s="47" t="str">
        <f t="shared" si="33"/>
        <v/>
      </c>
      <c r="BO114" s="47" t="str">
        <f t="shared" si="34"/>
        <v/>
      </c>
      <c r="BP114" s="47" t="str">
        <f t="shared" si="35"/>
        <v/>
      </c>
      <c r="BQ114" s="48" t="str">
        <f t="shared" si="36"/>
        <v/>
      </c>
      <c r="BR114" s="48" t="str">
        <f t="shared" si="37"/>
        <v/>
      </c>
      <c r="BS114" s="48" t="str">
        <f t="shared" si="38"/>
        <v/>
      </c>
      <c r="BT114" s="47" t="str">
        <f t="shared" si="39"/>
        <v/>
      </c>
      <c r="CA114" s="47" t="str">
        <f t="shared" si="40"/>
        <v/>
      </c>
      <c r="CB114" s="47" t="str">
        <f t="shared" si="41"/>
        <v/>
      </c>
      <c r="CC114" s="47" t="str">
        <f t="shared" si="42"/>
        <v/>
      </c>
      <c r="CD114" s="47" t="str">
        <f t="shared" si="43"/>
        <v/>
      </c>
      <c r="CE114" s="47" t="str">
        <f>IF(AH114="","",IF(OR(AI114&lt;&gt;'Seasonal Tercile Tally'!$B$3,AM114&lt;&gt;'Seasonal Tercile Tally'!$B$4),"Other site/ season",IF(DT114=0,"Excluded: duplicate (later row)",IF(N114&lt;&gt;1,"Excluded: not sighted",IF(AC114&lt;&gt;1,"Excluded: not confirmed",IF(AD114&lt;&gt;1,"Excluded: not approved",IF(AP114="Contested","Excluded: contested",IF(OR(U114="",U114=0),"Excluded: no tercile",IF(CB114="","Counted (simple tally only — no weight)","Counted")))))))))</f>
        <v/>
      </c>
      <c r="CF114" s="49" t="str">
        <f>IF(AH114="","",IFERROR(INDEX('Prior Multipliers'!$C$6:$C$70,MATCH(LEFT(AH114,10),'Prior Multipliers'!$A$6:$A$70,0)),IFERROR(INDEX('Prior Multipliers'!$C$6:$C$70,MATCH(LEFT(AH114,6),'Prior Multipliers'!$A$6:$A$70,0)),IFERROR(INDEX('Prior Multipliers'!$C$6:$C$70,MATCH(LEFT(AH114,2),'Prior Multipliers'!$A$6:$A$70,0)),1))))</f>
        <v/>
      </c>
      <c r="CG114" s="49" t="str">
        <f>IF(CB114="","",IF(AND('Seasonal Tercile Tally'!$B$5=1,BT114="Rating-based"),CB114*CF114,CB114))</f>
        <v/>
      </c>
      <c r="CH114" s="47">
        <f t="shared" si="44"/>
        <v>0</v>
      </c>
      <c r="CI114" s="45"/>
      <c r="CJ114" s="42" t="str">
        <f t="shared" si="45"/>
        <v/>
      </c>
      <c r="CM114" s="42" t="str">
        <f t="shared" si="46"/>
        <v/>
      </c>
      <c r="CP114" s="46" t="str">
        <f t="shared" si="47"/>
        <v/>
      </c>
      <c r="CS114" s="46" t="str">
        <f t="shared" si="48"/>
        <v/>
      </c>
      <c r="CT114" s="42" t="str">
        <f t="shared" si="49"/>
        <v/>
      </c>
      <c r="CU114" s="42" t="str">
        <f t="shared" si="50"/>
        <v/>
      </c>
      <c r="CV114" s="42" t="str">
        <f t="shared" si="51"/>
        <v/>
      </c>
      <c r="DB114" s="45"/>
      <c r="DH114" s="42" t="str">
        <f t="shared" si="52"/>
        <v/>
      </c>
      <c r="DI114" s="43" t="str">
        <f t="shared" si="53"/>
        <v/>
      </c>
      <c r="DK114" s="46" t="str">
        <f t="shared" si="54"/>
        <v/>
      </c>
      <c r="DQ114" s="42" t="str">
        <f>IF(AH114="","",IFERROR(ROUND(100*('Weighting Options'!$D$7*IF(ISNUMBER(CA114),CA114/3,0)+'Weighting Options'!$D$8*MIN(N(BL114),3)/3+'Weighting Options'!$D$9*IF(AP114="Community/Plenary-endorsed",1,IF(AP114="FGD-validated only",0.75,IF(AP114="Sub-community-specific",0.5,IF(AP114="Provisional/emerging",0.25,0))))+'Weighting Options'!$D$10*IF(ISNUMBER(K114),K114/3,0)+'Weighting Options'!$D$11*IF(CC114="",0.5,IF(CC114="OK",1,0.25))+'Weighting Options'!$D$12*IF(DK114="",0.5,IF(DK114="Agrees",1,IF(DK114="Opposite",0,0.5)))+'Weighting Options'!$D$13*MIN(N(BG114),3)/3+'Weighting Options'!$D$14*IF(AE114=1,1,0))/SUM('Weighting Options'!$D$7:$D$14),0),""))</f>
        <v/>
      </c>
      <c r="DR114" s="44" t="str">
        <f>IF(AH114="","",IFERROR(INDEX('Weighting Options'!$D$20:$D$27,VALUE(LEFT(TRIM(BU114),1))),1))</f>
        <v/>
      </c>
      <c r="DS114" s="44" t="str">
        <f t="shared" si="55"/>
        <v/>
      </c>
      <c r="DT114" s="42" t="str">
        <f>IF(AH114="","",IF(COUNTIFS($AH$12:AH114,AH114,$AI$12:AI114,AI114,$AM$12:AM114,AM114)=1,1,0))</f>
        <v/>
      </c>
    </row>
    <row r="115" spans="16:124" ht="12.75" customHeight="1" x14ac:dyDescent="0.35">
      <c r="P115" s="41"/>
      <c r="Q115" s="41"/>
      <c r="R115" s="41"/>
      <c r="S115" s="41"/>
      <c r="AH115" s="40"/>
      <c r="AP115" s="40"/>
      <c r="AS115" s="41"/>
      <c r="AT115" s="41"/>
      <c r="AW115" t="str">
        <f t="shared" si="28"/>
        <v/>
      </c>
      <c r="AX115" t="str">
        <f t="shared" si="29"/>
        <v/>
      </c>
      <c r="AY115" t="str">
        <f t="shared" si="30"/>
        <v/>
      </c>
      <c r="AZ115" s="40"/>
      <c r="BL115" s="47" t="str">
        <f t="shared" si="31"/>
        <v/>
      </c>
      <c r="BM115" s="47" t="str">
        <f t="shared" si="32"/>
        <v/>
      </c>
      <c r="BN115" s="47" t="str">
        <f t="shared" si="33"/>
        <v/>
      </c>
      <c r="BO115" s="47" t="str">
        <f t="shared" si="34"/>
        <v/>
      </c>
      <c r="BP115" s="47" t="str">
        <f t="shared" si="35"/>
        <v/>
      </c>
      <c r="BQ115" s="48" t="str">
        <f t="shared" si="36"/>
        <v/>
      </c>
      <c r="BR115" s="48" t="str">
        <f t="shared" si="37"/>
        <v/>
      </c>
      <c r="BS115" s="48" t="str">
        <f t="shared" si="38"/>
        <v/>
      </c>
      <c r="BT115" s="47" t="str">
        <f t="shared" si="39"/>
        <v/>
      </c>
      <c r="CA115" s="47" t="str">
        <f t="shared" si="40"/>
        <v/>
      </c>
      <c r="CB115" s="47" t="str">
        <f t="shared" si="41"/>
        <v/>
      </c>
      <c r="CC115" s="47" t="str">
        <f t="shared" si="42"/>
        <v/>
      </c>
      <c r="CD115" s="47" t="str">
        <f t="shared" si="43"/>
        <v/>
      </c>
      <c r="CE115" s="47" t="str">
        <f>IF(AH115="","",IF(OR(AI115&lt;&gt;'Seasonal Tercile Tally'!$B$3,AM115&lt;&gt;'Seasonal Tercile Tally'!$B$4),"Other site/ season",IF(DT115=0,"Excluded: duplicate (later row)",IF(N115&lt;&gt;1,"Excluded: not sighted",IF(AC115&lt;&gt;1,"Excluded: not confirmed",IF(AD115&lt;&gt;1,"Excluded: not approved",IF(AP115="Contested","Excluded: contested",IF(OR(U115="",U115=0),"Excluded: no tercile",IF(CB115="","Counted (simple tally only — no weight)","Counted")))))))))</f>
        <v/>
      </c>
      <c r="CF115" s="49" t="str">
        <f>IF(AH115="","",IFERROR(INDEX('Prior Multipliers'!$C$6:$C$70,MATCH(LEFT(AH115,10),'Prior Multipliers'!$A$6:$A$70,0)),IFERROR(INDEX('Prior Multipliers'!$C$6:$C$70,MATCH(LEFT(AH115,6),'Prior Multipliers'!$A$6:$A$70,0)),IFERROR(INDEX('Prior Multipliers'!$C$6:$C$70,MATCH(LEFT(AH115,2),'Prior Multipliers'!$A$6:$A$70,0)),1))))</f>
        <v/>
      </c>
      <c r="CG115" s="49" t="str">
        <f>IF(CB115="","",IF(AND('Seasonal Tercile Tally'!$B$5=1,BT115="Rating-based"),CB115*CF115,CB115))</f>
        <v/>
      </c>
      <c r="CH115" s="47">
        <f t="shared" si="44"/>
        <v>0</v>
      </c>
      <c r="CI115" s="45"/>
      <c r="CJ115" s="42" t="str">
        <f t="shared" si="45"/>
        <v/>
      </c>
      <c r="CM115" s="42" t="str">
        <f t="shared" si="46"/>
        <v/>
      </c>
      <c r="CP115" s="46" t="str">
        <f t="shared" si="47"/>
        <v/>
      </c>
      <c r="CS115" s="46" t="str">
        <f t="shared" si="48"/>
        <v/>
      </c>
      <c r="CT115" s="42" t="str">
        <f t="shared" si="49"/>
        <v/>
      </c>
      <c r="CU115" s="42" t="str">
        <f t="shared" si="50"/>
        <v/>
      </c>
      <c r="CV115" s="42" t="str">
        <f t="shared" si="51"/>
        <v/>
      </c>
      <c r="DB115" s="45"/>
      <c r="DH115" s="42" t="str">
        <f t="shared" si="52"/>
        <v/>
      </c>
      <c r="DI115" s="43" t="str">
        <f t="shared" si="53"/>
        <v/>
      </c>
      <c r="DK115" s="46" t="str">
        <f t="shared" si="54"/>
        <v/>
      </c>
      <c r="DQ115" s="42" t="str">
        <f>IF(AH115="","",IFERROR(ROUND(100*('Weighting Options'!$D$7*IF(ISNUMBER(CA115),CA115/3,0)+'Weighting Options'!$D$8*MIN(N(BL115),3)/3+'Weighting Options'!$D$9*IF(AP115="Community/Plenary-endorsed",1,IF(AP115="FGD-validated only",0.75,IF(AP115="Sub-community-specific",0.5,IF(AP115="Provisional/emerging",0.25,0))))+'Weighting Options'!$D$10*IF(ISNUMBER(K115),K115/3,0)+'Weighting Options'!$D$11*IF(CC115="",0.5,IF(CC115="OK",1,0.25))+'Weighting Options'!$D$12*IF(DK115="",0.5,IF(DK115="Agrees",1,IF(DK115="Opposite",0,0.5)))+'Weighting Options'!$D$13*MIN(N(BG115),3)/3+'Weighting Options'!$D$14*IF(AE115=1,1,0))/SUM('Weighting Options'!$D$7:$D$14),0),""))</f>
        <v/>
      </c>
      <c r="DR115" s="44" t="str">
        <f>IF(AH115="","",IFERROR(INDEX('Weighting Options'!$D$20:$D$27,VALUE(LEFT(TRIM(BU115),1))),1))</f>
        <v/>
      </c>
      <c r="DS115" s="44" t="str">
        <f t="shared" si="55"/>
        <v/>
      </c>
      <c r="DT115" s="42" t="str">
        <f>IF(AH115="","",IF(COUNTIFS($AH$12:AH115,AH115,$AI$12:AI115,AI115,$AM$12:AM115,AM115)=1,1,0))</f>
        <v/>
      </c>
    </row>
    <row r="116" spans="16:124" ht="12.75" customHeight="1" x14ac:dyDescent="0.35">
      <c r="P116" s="41"/>
      <c r="Q116" s="41"/>
      <c r="R116" s="41"/>
      <c r="S116" s="41"/>
      <c r="AH116" s="40"/>
      <c r="AP116" s="40"/>
      <c r="AS116" s="41"/>
      <c r="AT116" s="41"/>
      <c r="AW116" t="str">
        <f t="shared" si="28"/>
        <v/>
      </c>
      <c r="AX116" t="str">
        <f t="shared" si="29"/>
        <v/>
      </c>
      <c r="AY116" t="str">
        <f t="shared" si="30"/>
        <v/>
      </c>
      <c r="AZ116" s="40"/>
      <c r="BL116" s="47" t="str">
        <f t="shared" si="31"/>
        <v/>
      </c>
      <c r="BM116" s="47" t="str">
        <f t="shared" si="32"/>
        <v/>
      </c>
      <c r="BN116" s="47" t="str">
        <f t="shared" si="33"/>
        <v/>
      </c>
      <c r="BO116" s="47" t="str">
        <f t="shared" si="34"/>
        <v/>
      </c>
      <c r="BP116" s="47" t="str">
        <f t="shared" si="35"/>
        <v/>
      </c>
      <c r="BQ116" s="48" t="str">
        <f t="shared" si="36"/>
        <v/>
      </c>
      <c r="BR116" s="48" t="str">
        <f t="shared" si="37"/>
        <v/>
      </c>
      <c r="BS116" s="48" t="str">
        <f t="shared" si="38"/>
        <v/>
      </c>
      <c r="BT116" s="47" t="str">
        <f t="shared" si="39"/>
        <v/>
      </c>
      <c r="CA116" s="47" t="str">
        <f t="shared" si="40"/>
        <v/>
      </c>
      <c r="CB116" s="47" t="str">
        <f t="shared" si="41"/>
        <v/>
      </c>
      <c r="CC116" s="47" t="str">
        <f t="shared" si="42"/>
        <v/>
      </c>
      <c r="CD116" s="47" t="str">
        <f t="shared" si="43"/>
        <v/>
      </c>
      <c r="CE116" s="47" t="str">
        <f>IF(AH116="","",IF(OR(AI116&lt;&gt;'Seasonal Tercile Tally'!$B$3,AM116&lt;&gt;'Seasonal Tercile Tally'!$B$4),"Other site/ season",IF(DT116=0,"Excluded: duplicate (later row)",IF(N116&lt;&gt;1,"Excluded: not sighted",IF(AC116&lt;&gt;1,"Excluded: not confirmed",IF(AD116&lt;&gt;1,"Excluded: not approved",IF(AP116="Contested","Excluded: contested",IF(OR(U116="",U116=0),"Excluded: no tercile",IF(CB116="","Counted (simple tally only — no weight)","Counted")))))))))</f>
        <v/>
      </c>
      <c r="CF116" s="49" t="str">
        <f>IF(AH116="","",IFERROR(INDEX('Prior Multipliers'!$C$6:$C$70,MATCH(LEFT(AH116,10),'Prior Multipliers'!$A$6:$A$70,0)),IFERROR(INDEX('Prior Multipliers'!$C$6:$C$70,MATCH(LEFT(AH116,6),'Prior Multipliers'!$A$6:$A$70,0)),IFERROR(INDEX('Prior Multipliers'!$C$6:$C$70,MATCH(LEFT(AH116,2),'Prior Multipliers'!$A$6:$A$70,0)),1))))</f>
        <v/>
      </c>
      <c r="CG116" s="49" t="str">
        <f>IF(CB116="","",IF(AND('Seasonal Tercile Tally'!$B$5=1,BT116="Rating-based"),CB116*CF116,CB116))</f>
        <v/>
      </c>
      <c r="CH116" s="47">
        <f t="shared" si="44"/>
        <v>0</v>
      </c>
      <c r="CI116" s="45"/>
      <c r="CJ116" s="42" t="str">
        <f t="shared" si="45"/>
        <v/>
      </c>
      <c r="CM116" s="42" t="str">
        <f t="shared" si="46"/>
        <v/>
      </c>
      <c r="CP116" s="46" t="str">
        <f t="shared" si="47"/>
        <v/>
      </c>
      <c r="CS116" s="46" t="str">
        <f t="shared" si="48"/>
        <v/>
      </c>
      <c r="CT116" s="42" t="str">
        <f t="shared" si="49"/>
        <v/>
      </c>
      <c r="CU116" s="42" t="str">
        <f t="shared" si="50"/>
        <v/>
      </c>
      <c r="CV116" s="42" t="str">
        <f t="shared" si="51"/>
        <v/>
      </c>
      <c r="DB116" s="45"/>
      <c r="DH116" s="42" t="str">
        <f t="shared" si="52"/>
        <v/>
      </c>
      <c r="DI116" s="43" t="str">
        <f t="shared" si="53"/>
        <v/>
      </c>
      <c r="DK116" s="46" t="str">
        <f t="shared" si="54"/>
        <v/>
      </c>
      <c r="DQ116" s="42" t="str">
        <f>IF(AH116="","",IFERROR(ROUND(100*('Weighting Options'!$D$7*IF(ISNUMBER(CA116),CA116/3,0)+'Weighting Options'!$D$8*MIN(N(BL116),3)/3+'Weighting Options'!$D$9*IF(AP116="Community/Plenary-endorsed",1,IF(AP116="FGD-validated only",0.75,IF(AP116="Sub-community-specific",0.5,IF(AP116="Provisional/emerging",0.25,0))))+'Weighting Options'!$D$10*IF(ISNUMBER(K116),K116/3,0)+'Weighting Options'!$D$11*IF(CC116="",0.5,IF(CC116="OK",1,0.25))+'Weighting Options'!$D$12*IF(DK116="",0.5,IF(DK116="Agrees",1,IF(DK116="Opposite",0,0.5)))+'Weighting Options'!$D$13*MIN(N(BG116),3)/3+'Weighting Options'!$D$14*IF(AE116=1,1,0))/SUM('Weighting Options'!$D$7:$D$14),0),""))</f>
        <v/>
      </c>
      <c r="DR116" s="44" t="str">
        <f>IF(AH116="","",IFERROR(INDEX('Weighting Options'!$D$20:$D$27,VALUE(LEFT(TRIM(BU116),1))),1))</f>
        <v/>
      </c>
      <c r="DS116" s="44" t="str">
        <f t="shared" si="55"/>
        <v/>
      </c>
      <c r="DT116" s="42" t="str">
        <f>IF(AH116="","",IF(COUNTIFS($AH$12:AH116,AH116,$AI$12:AI116,AI116,$AM$12:AM116,AM116)=1,1,0))</f>
        <v/>
      </c>
    </row>
    <row r="117" spans="16:124" ht="12.75" customHeight="1" x14ac:dyDescent="0.35">
      <c r="P117" s="41"/>
      <c r="Q117" s="41"/>
      <c r="R117" s="41"/>
      <c r="S117" s="41"/>
      <c r="AH117" s="40"/>
      <c r="AP117" s="40"/>
      <c r="AS117" s="41"/>
      <c r="AT117" s="41"/>
      <c r="AW117" t="str">
        <f t="shared" si="28"/>
        <v/>
      </c>
      <c r="AX117" t="str">
        <f t="shared" si="29"/>
        <v/>
      </c>
      <c r="AY117" t="str">
        <f t="shared" si="30"/>
        <v/>
      </c>
      <c r="AZ117" s="40"/>
      <c r="BL117" s="47" t="str">
        <f t="shared" si="31"/>
        <v/>
      </c>
      <c r="BM117" s="47" t="str">
        <f t="shared" si="32"/>
        <v/>
      </c>
      <c r="BN117" s="47" t="str">
        <f t="shared" si="33"/>
        <v/>
      </c>
      <c r="BO117" s="47" t="str">
        <f t="shared" si="34"/>
        <v/>
      </c>
      <c r="BP117" s="47" t="str">
        <f t="shared" si="35"/>
        <v/>
      </c>
      <c r="BQ117" s="48" t="str">
        <f t="shared" si="36"/>
        <v/>
      </c>
      <c r="BR117" s="48" t="str">
        <f t="shared" si="37"/>
        <v/>
      </c>
      <c r="BS117" s="48" t="str">
        <f t="shared" si="38"/>
        <v/>
      </c>
      <c r="BT117" s="47" t="str">
        <f t="shared" si="39"/>
        <v/>
      </c>
      <c r="CA117" s="47" t="str">
        <f t="shared" si="40"/>
        <v/>
      </c>
      <c r="CB117" s="47" t="str">
        <f t="shared" si="41"/>
        <v/>
      </c>
      <c r="CC117" s="47" t="str">
        <f t="shared" si="42"/>
        <v/>
      </c>
      <c r="CD117" s="47" t="str">
        <f t="shared" si="43"/>
        <v/>
      </c>
      <c r="CE117" s="47" t="str">
        <f>IF(AH117="","",IF(OR(AI117&lt;&gt;'Seasonal Tercile Tally'!$B$3,AM117&lt;&gt;'Seasonal Tercile Tally'!$B$4),"Other site/ season",IF(DT117=0,"Excluded: duplicate (later row)",IF(N117&lt;&gt;1,"Excluded: not sighted",IF(AC117&lt;&gt;1,"Excluded: not confirmed",IF(AD117&lt;&gt;1,"Excluded: not approved",IF(AP117="Contested","Excluded: contested",IF(OR(U117="",U117=0),"Excluded: no tercile",IF(CB117="","Counted (simple tally only — no weight)","Counted")))))))))</f>
        <v/>
      </c>
      <c r="CF117" s="49" t="str">
        <f>IF(AH117="","",IFERROR(INDEX('Prior Multipliers'!$C$6:$C$70,MATCH(LEFT(AH117,10),'Prior Multipliers'!$A$6:$A$70,0)),IFERROR(INDEX('Prior Multipliers'!$C$6:$C$70,MATCH(LEFT(AH117,6),'Prior Multipliers'!$A$6:$A$70,0)),IFERROR(INDEX('Prior Multipliers'!$C$6:$C$70,MATCH(LEFT(AH117,2),'Prior Multipliers'!$A$6:$A$70,0)),1))))</f>
        <v/>
      </c>
      <c r="CG117" s="49" t="str">
        <f>IF(CB117="","",IF(AND('Seasonal Tercile Tally'!$B$5=1,BT117="Rating-based"),CB117*CF117,CB117))</f>
        <v/>
      </c>
      <c r="CH117" s="47">
        <f t="shared" si="44"/>
        <v>0</v>
      </c>
      <c r="CI117" s="45"/>
      <c r="CJ117" s="42" t="str">
        <f t="shared" si="45"/>
        <v/>
      </c>
      <c r="CM117" s="42" t="str">
        <f t="shared" si="46"/>
        <v/>
      </c>
      <c r="CP117" s="46" t="str">
        <f t="shared" si="47"/>
        <v/>
      </c>
      <c r="CS117" s="46" t="str">
        <f t="shared" si="48"/>
        <v/>
      </c>
      <c r="CT117" s="42" t="str">
        <f t="shared" si="49"/>
        <v/>
      </c>
      <c r="CU117" s="42" t="str">
        <f t="shared" si="50"/>
        <v/>
      </c>
      <c r="CV117" s="42" t="str">
        <f t="shared" si="51"/>
        <v/>
      </c>
      <c r="DB117" s="45"/>
      <c r="DH117" s="42" t="str">
        <f t="shared" si="52"/>
        <v/>
      </c>
      <c r="DI117" s="43" t="str">
        <f t="shared" si="53"/>
        <v/>
      </c>
      <c r="DK117" s="46" t="str">
        <f t="shared" si="54"/>
        <v/>
      </c>
      <c r="DQ117" s="42" t="str">
        <f>IF(AH117="","",IFERROR(ROUND(100*('Weighting Options'!$D$7*IF(ISNUMBER(CA117),CA117/3,0)+'Weighting Options'!$D$8*MIN(N(BL117),3)/3+'Weighting Options'!$D$9*IF(AP117="Community/Plenary-endorsed",1,IF(AP117="FGD-validated only",0.75,IF(AP117="Sub-community-specific",0.5,IF(AP117="Provisional/emerging",0.25,0))))+'Weighting Options'!$D$10*IF(ISNUMBER(K117),K117/3,0)+'Weighting Options'!$D$11*IF(CC117="",0.5,IF(CC117="OK",1,0.25))+'Weighting Options'!$D$12*IF(DK117="",0.5,IF(DK117="Agrees",1,IF(DK117="Opposite",0,0.5)))+'Weighting Options'!$D$13*MIN(N(BG117),3)/3+'Weighting Options'!$D$14*IF(AE117=1,1,0))/SUM('Weighting Options'!$D$7:$D$14),0),""))</f>
        <v/>
      </c>
      <c r="DR117" s="44" t="str">
        <f>IF(AH117="","",IFERROR(INDEX('Weighting Options'!$D$20:$D$27,VALUE(LEFT(TRIM(BU117),1))),1))</f>
        <v/>
      </c>
      <c r="DS117" s="44" t="str">
        <f t="shared" si="55"/>
        <v/>
      </c>
      <c r="DT117" s="42" t="str">
        <f>IF(AH117="","",IF(COUNTIFS($AH$12:AH117,AH117,$AI$12:AI117,AI117,$AM$12:AM117,AM117)=1,1,0))</f>
        <v/>
      </c>
    </row>
    <row r="118" spans="16:124" ht="12.75" customHeight="1" x14ac:dyDescent="0.35">
      <c r="P118" s="41"/>
      <c r="Q118" s="41"/>
      <c r="R118" s="41"/>
      <c r="S118" s="41"/>
      <c r="AH118" s="40"/>
      <c r="AP118" s="40"/>
      <c r="AS118" s="41"/>
      <c r="AT118" s="41"/>
      <c r="AW118" t="str">
        <f t="shared" si="28"/>
        <v/>
      </c>
      <c r="AX118" t="str">
        <f t="shared" si="29"/>
        <v/>
      </c>
      <c r="AY118" t="str">
        <f t="shared" si="30"/>
        <v/>
      </c>
      <c r="AZ118" s="40"/>
      <c r="BL118" s="47" t="str">
        <f t="shared" si="31"/>
        <v/>
      </c>
      <c r="BM118" s="47" t="str">
        <f t="shared" si="32"/>
        <v/>
      </c>
      <c r="BN118" s="47" t="str">
        <f t="shared" si="33"/>
        <v/>
      </c>
      <c r="BO118" s="47" t="str">
        <f t="shared" si="34"/>
        <v/>
      </c>
      <c r="BP118" s="47" t="str">
        <f t="shared" si="35"/>
        <v/>
      </c>
      <c r="BQ118" s="48" t="str">
        <f t="shared" si="36"/>
        <v/>
      </c>
      <c r="BR118" s="48" t="str">
        <f t="shared" si="37"/>
        <v/>
      </c>
      <c r="BS118" s="48" t="str">
        <f t="shared" si="38"/>
        <v/>
      </c>
      <c r="BT118" s="47" t="str">
        <f t="shared" si="39"/>
        <v/>
      </c>
      <c r="CA118" s="47" t="str">
        <f t="shared" si="40"/>
        <v/>
      </c>
      <c r="CB118" s="47" t="str">
        <f t="shared" si="41"/>
        <v/>
      </c>
      <c r="CC118" s="47" t="str">
        <f t="shared" si="42"/>
        <v/>
      </c>
      <c r="CD118" s="47" t="str">
        <f t="shared" si="43"/>
        <v/>
      </c>
      <c r="CE118" s="47" t="str">
        <f>IF(AH118="","",IF(OR(AI118&lt;&gt;'Seasonal Tercile Tally'!$B$3,AM118&lt;&gt;'Seasonal Tercile Tally'!$B$4),"Other site/ season",IF(DT118=0,"Excluded: duplicate (later row)",IF(N118&lt;&gt;1,"Excluded: not sighted",IF(AC118&lt;&gt;1,"Excluded: not confirmed",IF(AD118&lt;&gt;1,"Excluded: not approved",IF(AP118="Contested","Excluded: contested",IF(OR(U118="",U118=0),"Excluded: no tercile",IF(CB118="","Counted (simple tally only — no weight)","Counted")))))))))</f>
        <v/>
      </c>
      <c r="CF118" s="49" t="str">
        <f>IF(AH118="","",IFERROR(INDEX('Prior Multipliers'!$C$6:$C$70,MATCH(LEFT(AH118,10),'Prior Multipliers'!$A$6:$A$70,0)),IFERROR(INDEX('Prior Multipliers'!$C$6:$C$70,MATCH(LEFT(AH118,6),'Prior Multipliers'!$A$6:$A$70,0)),IFERROR(INDEX('Prior Multipliers'!$C$6:$C$70,MATCH(LEFT(AH118,2),'Prior Multipliers'!$A$6:$A$70,0)),1))))</f>
        <v/>
      </c>
      <c r="CG118" s="49" t="str">
        <f>IF(CB118="","",IF(AND('Seasonal Tercile Tally'!$B$5=1,BT118="Rating-based"),CB118*CF118,CB118))</f>
        <v/>
      </c>
      <c r="CH118" s="47">
        <f t="shared" si="44"/>
        <v>0</v>
      </c>
      <c r="CI118" s="45"/>
      <c r="CJ118" s="42" t="str">
        <f t="shared" si="45"/>
        <v/>
      </c>
      <c r="CM118" s="42" t="str">
        <f t="shared" si="46"/>
        <v/>
      </c>
      <c r="CP118" s="46" t="str">
        <f t="shared" si="47"/>
        <v/>
      </c>
      <c r="CS118" s="46" t="str">
        <f t="shared" si="48"/>
        <v/>
      </c>
      <c r="CT118" s="42" t="str">
        <f t="shared" si="49"/>
        <v/>
      </c>
      <c r="CU118" s="42" t="str">
        <f t="shared" si="50"/>
        <v/>
      </c>
      <c r="CV118" s="42" t="str">
        <f t="shared" si="51"/>
        <v/>
      </c>
      <c r="DB118" s="45"/>
      <c r="DH118" s="42" t="str">
        <f t="shared" si="52"/>
        <v/>
      </c>
      <c r="DI118" s="43" t="str">
        <f t="shared" si="53"/>
        <v/>
      </c>
      <c r="DK118" s="46" t="str">
        <f t="shared" si="54"/>
        <v/>
      </c>
      <c r="DQ118" s="42" t="str">
        <f>IF(AH118="","",IFERROR(ROUND(100*('Weighting Options'!$D$7*IF(ISNUMBER(CA118),CA118/3,0)+'Weighting Options'!$D$8*MIN(N(BL118),3)/3+'Weighting Options'!$D$9*IF(AP118="Community/Plenary-endorsed",1,IF(AP118="FGD-validated only",0.75,IF(AP118="Sub-community-specific",0.5,IF(AP118="Provisional/emerging",0.25,0))))+'Weighting Options'!$D$10*IF(ISNUMBER(K118),K118/3,0)+'Weighting Options'!$D$11*IF(CC118="",0.5,IF(CC118="OK",1,0.25))+'Weighting Options'!$D$12*IF(DK118="",0.5,IF(DK118="Agrees",1,IF(DK118="Opposite",0,0.5)))+'Weighting Options'!$D$13*MIN(N(BG118),3)/3+'Weighting Options'!$D$14*IF(AE118=1,1,0))/SUM('Weighting Options'!$D$7:$D$14),0),""))</f>
        <v/>
      </c>
      <c r="DR118" s="44" t="str">
        <f>IF(AH118="","",IFERROR(INDEX('Weighting Options'!$D$20:$D$27,VALUE(LEFT(TRIM(BU118),1))),1))</f>
        <v/>
      </c>
      <c r="DS118" s="44" t="str">
        <f t="shared" si="55"/>
        <v/>
      </c>
      <c r="DT118" s="42" t="str">
        <f>IF(AH118="","",IF(COUNTIFS($AH$12:AH118,AH118,$AI$12:AI118,AI118,$AM$12:AM118,AM118)=1,1,0))</f>
        <v/>
      </c>
    </row>
    <row r="119" spans="16:124" ht="12.75" customHeight="1" x14ac:dyDescent="0.35">
      <c r="P119" s="41"/>
      <c r="Q119" s="41"/>
      <c r="R119" s="41"/>
      <c r="S119" s="41"/>
      <c r="AH119" s="40"/>
      <c r="AP119" s="40"/>
      <c r="AS119" s="41"/>
      <c r="AT119" s="41"/>
      <c r="AW119" t="str">
        <f t="shared" si="28"/>
        <v/>
      </c>
      <c r="AX119" t="str">
        <f t="shared" si="29"/>
        <v/>
      </c>
      <c r="AY119" t="str">
        <f t="shared" si="30"/>
        <v/>
      </c>
      <c r="AZ119" s="40"/>
      <c r="BL119" s="47" t="str">
        <f t="shared" si="31"/>
        <v/>
      </c>
      <c r="BM119" s="47" t="str">
        <f t="shared" si="32"/>
        <v/>
      </c>
      <c r="BN119" s="47" t="str">
        <f t="shared" si="33"/>
        <v/>
      </c>
      <c r="BO119" s="47" t="str">
        <f t="shared" si="34"/>
        <v/>
      </c>
      <c r="BP119" s="47" t="str">
        <f t="shared" si="35"/>
        <v/>
      </c>
      <c r="BQ119" s="48" t="str">
        <f t="shared" si="36"/>
        <v/>
      </c>
      <c r="BR119" s="48" t="str">
        <f t="shared" si="37"/>
        <v/>
      </c>
      <c r="BS119" s="48" t="str">
        <f t="shared" si="38"/>
        <v/>
      </c>
      <c r="BT119" s="47" t="str">
        <f t="shared" si="39"/>
        <v/>
      </c>
      <c r="CA119" s="47" t="str">
        <f t="shared" si="40"/>
        <v/>
      </c>
      <c r="CB119" s="47" t="str">
        <f t="shared" si="41"/>
        <v/>
      </c>
      <c r="CC119" s="47" t="str">
        <f t="shared" si="42"/>
        <v/>
      </c>
      <c r="CD119" s="47" t="str">
        <f t="shared" si="43"/>
        <v/>
      </c>
      <c r="CE119" s="47" t="str">
        <f>IF(AH119="","",IF(OR(AI119&lt;&gt;'Seasonal Tercile Tally'!$B$3,AM119&lt;&gt;'Seasonal Tercile Tally'!$B$4),"Other site/ season",IF(DT119=0,"Excluded: duplicate (later row)",IF(N119&lt;&gt;1,"Excluded: not sighted",IF(AC119&lt;&gt;1,"Excluded: not confirmed",IF(AD119&lt;&gt;1,"Excluded: not approved",IF(AP119="Contested","Excluded: contested",IF(OR(U119="",U119=0),"Excluded: no tercile",IF(CB119="","Counted (simple tally only — no weight)","Counted")))))))))</f>
        <v/>
      </c>
      <c r="CF119" s="49" t="str">
        <f>IF(AH119="","",IFERROR(INDEX('Prior Multipliers'!$C$6:$C$70,MATCH(LEFT(AH119,10),'Prior Multipliers'!$A$6:$A$70,0)),IFERROR(INDEX('Prior Multipliers'!$C$6:$C$70,MATCH(LEFT(AH119,6),'Prior Multipliers'!$A$6:$A$70,0)),IFERROR(INDEX('Prior Multipliers'!$C$6:$C$70,MATCH(LEFT(AH119,2),'Prior Multipliers'!$A$6:$A$70,0)),1))))</f>
        <v/>
      </c>
      <c r="CG119" s="49" t="str">
        <f>IF(CB119="","",IF(AND('Seasonal Tercile Tally'!$B$5=1,BT119="Rating-based"),CB119*CF119,CB119))</f>
        <v/>
      </c>
      <c r="CH119" s="47">
        <f t="shared" si="44"/>
        <v>0</v>
      </c>
      <c r="CI119" s="45"/>
      <c r="CJ119" s="42" t="str">
        <f t="shared" si="45"/>
        <v/>
      </c>
      <c r="CM119" s="42" t="str">
        <f t="shared" si="46"/>
        <v/>
      </c>
      <c r="CP119" s="46" t="str">
        <f t="shared" si="47"/>
        <v/>
      </c>
      <c r="CS119" s="46" t="str">
        <f t="shared" si="48"/>
        <v/>
      </c>
      <c r="CT119" s="42" t="str">
        <f t="shared" si="49"/>
        <v/>
      </c>
      <c r="CU119" s="42" t="str">
        <f t="shared" si="50"/>
        <v/>
      </c>
      <c r="CV119" s="42" t="str">
        <f t="shared" si="51"/>
        <v/>
      </c>
      <c r="DB119" s="45"/>
      <c r="DH119" s="42" t="str">
        <f t="shared" si="52"/>
        <v/>
      </c>
      <c r="DI119" s="43" t="str">
        <f t="shared" si="53"/>
        <v/>
      </c>
      <c r="DK119" s="46" t="str">
        <f t="shared" si="54"/>
        <v/>
      </c>
      <c r="DQ119" s="42" t="str">
        <f>IF(AH119="","",IFERROR(ROUND(100*('Weighting Options'!$D$7*IF(ISNUMBER(CA119),CA119/3,0)+'Weighting Options'!$D$8*MIN(N(BL119),3)/3+'Weighting Options'!$D$9*IF(AP119="Community/Plenary-endorsed",1,IF(AP119="FGD-validated only",0.75,IF(AP119="Sub-community-specific",0.5,IF(AP119="Provisional/emerging",0.25,0))))+'Weighting Options'!$D$10*IF(ISNUMBER(K119),K119/3,0)+'Weighting Options'!$D$11*IF(CC119="",0.5,IF(CC119="OK",1,0.25))+'Weighting Options'!$D$12*IF(DK119="",0.5,IF(DK119="Agrees",1,IF(DK119="Opposite",0,0.5)))+'Weighting Options'!$D$13*MIN(N(BG119),3)/3+'Weighting Options'!$D$14*IF(AE119=1,1,0))/SUM('Weighting Options'!$D$7:$D$14),0),""))</f>
        <v/>
      </c>
      <c r="DR119" s="44" t="str">
        <f>IF(AH119="","",IFERROR(INDEX('Weighting Options'!$D$20:$D$27,VALUE(LEFT(TRIM(BU119),1))),1))</f>
        <v/>
      </c>
      <c r="DS119" s="44" t="str">
        <f t="shared" si="55"/>
        <v/>
      </c>
      <c r="DT119" s="42" t="str">
        <f>IF(AH119="","",IF(COUNTIFS($AH$12:AH119,AH119,$AI$12:AI119,AI119,$AM$12:AM119,AM119)=1,1,0))</f>
        <v/>
      </c>
    </row>
    <row r="120" spans="16:124" ht="12.75" customHeight="1" x14ac:dyDescent="0.35">
      <c r="P120" s="41"/>
      <c r="Q120" s="41"/>
      <c r="R120" s="41"/>
      <c r="S120" s="41"/>
      <c r="AH120" s="40"/>
      <c r="AP120" s="40"/>
      <c r="AS120" s="41"/>
      <c r="AT120" s="41"/>
      <c r="AW120" t="str">
        <f t="shared" si="28"/>
        <v/>
      </c>
      <c r="AX120" t="str">
        <f t="shared" si="29"/>
        <v/>
      </c>
      <c r="AY120" t="str">
        <f t="shared" si="30"/>
        <v/>
      </c>
      <c r="AZ120" s="40"/>
      <c r="BL120" s="47" t="str">
        <f t="shared" si="31"/>
        <v/>
      </c>
      <c r="BM120" s="47" t="str">
        <f t="shared" si="32"/>
        <v/>
      </c>
      <c r="BN120" s="47" t="str">
        <f t="shared" si="33"/>
        <v/>
      </c>
      <c r="BO120" s="47" t="str">
        <f t="shared" si="34"/>
        <v/>
      </c>
      <c r="BP120" s="47" t="str">
        <f t="shared" si="35"/>
        <v/>
      </c>
      <c r="BQ120" s="48" t="str">
        <f t="shared" si="36"/>
        <v/>
      </c>
      <c r="BR120" s="48" t="str">
        <f t="shared" si="37"/>
        <v/>
      </c>
      <c r="BS120" s="48" t="str">
        <f t="shared" si="38"/>
        <v/>
      </c>
      <c r="BT120" s="47" t="str">
        <f t="shared" si="39"/>
        <v/>
      </c>
      <c r="CA120" s="47" t="str">
        <f t="shared" si="40"/>
        <v/>
      </c>
      <c r="CB120" s="47" t="str">
        <f t="shared" si="41"/>
        <v/>
      </c>
      <c r="CC120" s="47" t="str">
        <f t="shared" si="42"/>
        <v/>
      </c>
      <c r="CD120" s="47" t="str">
        <f t="shared" si="43"/>
        <v/>
      </c>
      <c r="CE120" s="47" t="str">
        <f>IF(AH120="","",IF(OR(AI120&lt;&gt;'Seasonal Tercile Tally'!$B$3,AM120&lt;&gt;'Seasonal Tercile Tally'!$B$4),"Other site/ season",IF(DT120=0,"Excluded: duplicate (later row)",IF(N120&lt;&gt;1,"Excluded: not sighted",IF(AC120&lt;&gt;1,"Excluded: not confirmed",IF(AD120&lt;&gt;1,"Excluded: not approved",IF(AP120="Contested","Excluded: contested",IF(OR(U120="",U120=0),"Excluded: no tercile",IF(CB120="","Counted (simple tally only — no weight)","Counted")))))))))</f>
        <v/>
      </c>
      <c r="CF120" s="49" t="str">
        <f>IF(AH120="","",IFERROR(INDEX('Prior Multipliers'!$C$6:$C$70,MATCH(LEFT(AH120,10),'Prior Multipliers'!$A$6:$A$70,0)),IFERROR(INDEX('Prior Multipliers'!$C$6:$C$70,MATCH(LEFT(AH120,6),'Prior Multipliers'!$A$6:$A$70,0)),IFERROR(INDEX('Prior Multipliers'!$C$6:$C$70,MATCH(LEFT(AH120,2),'Prior Multipliers'!$A$6:$A$70,0)),1))))</f>
        <v/>
      </c>
      <c r="CG120" s="49" t="str">
        <f>IF(CB120="","",IF(AND('Seasonal Tercile Tally'!$B$5=1,BT120="Rating-based"),CB120*CF120,CB120))</f>
        <v/>
      </c>
      <c r="CH120" s="47">
        <f t="shared" si="44"/>
        <v>0</v>
      </c>
      <c r="CI120" s="45"/>
      <c r="CJ120" s="42" t="str">
        <f t="shared" si="45"/>
        <v/>
      </c>
      <c r="CM120" s="42" t="str">
        <f t="shared" si="46"/>
        <v/>
      </c>
      <c r="CP120" s="46" t="str">
        <f t="shared" si="47"/>
        <v/>
      </c>
      <c r="CS120" s="46" t="str">
        <f t="shared" si="48"/>
        <v/>
      </c>
      <c r="CT120" s="42" t="str">
        <f t="shared" si="49"/>
        <v/>
      </c>
      <c r="CU120" s="42" t="str">
        <f t="shared" si="50"/>
        <v/>
      </c>
      <c r="CV120" s="42" t="str">
        <f t="shared" si="51"/>
        <v/>
      </c>
      <c r="DB120" s="45"/>
      <c r="DH120" s="42" t="str">
        <f t="shared" si="52"/>
        <v/>
      </c>
      <c r="DI120" s="43" t="str">
        <f t="shared" si="53"/>
        <v/>
      </c>
      <c r="DK120" s="46" t="str">
        <f t="shared" si="54"/>
        <v/>
      </c>
      <c r="DQ120" s="42" t="str">
        <f>IF(AH120="","",IFERROR(ROUND(100*('Weighting Options'!$D$7*IF(ISNUMBER(CA120),CA120/3,0)+'Weighting Options'!$D$8*MIN(N(BL120),3)/3+'Weighting Options'!$D$9*IF(AP120="Community/Plenary-endorsed",1,IF(AP120="FGD-validated only",0.75,IF(AP120="Sub-community-specific",0.5,IF(AP120="Provisional/emerging",0.25,0))))+'Weighting Options'!$D$10*IF(ISNUMBER(K120),K120/3,0)+'Weighting Options'!$D$11*IF(CC120="",0.5,IF(CC120="OK",1,0.25))+'Weighting Options'!$D$12*IF(DK120="",0.5,IF(DK120="Agrees",1,IF(DK120="Opposite",0,0.5)))+'Weighting Options'!$D$13*MIN(N(BG120),3)/3+'Weighting Options'!$D$14*IF(AE120=1,1,0))/SUM('Weighting Options'!$D$7:$D$14),0),""))</f>
        <v/>
      </c>
      <c r="DR120" s="44" t="str">
        <f>IF(AH120="","",IFERROR(INDEX('Weighting Options'!$D$20:$D$27,VALUE(LEFT(TRIM(BU120),1))),1))</f>
        <v/>
      </c>
      <c r="DS120" s="44" t="str">
        <f t="shared" si="55"/>
        <v/>
      </c>
      <c r="DT120" s="42" t="str">
        <f>IF(AH120="","",IF(COUNTIFS($AH$12:AH120,AH120,$AI$12:AI120,AI120,$AM$12:AM120,AM120)=1,1,0))</f>
        <v/>
      </c>
    </row>
    <row r="121" spans="16:124" ht="12.75" customHeight="1" x14ac:dyDescent="0.35">
      <c r="P121" s="41"/>
      <c r="Q121" s="41"/>
      <c r="R121" s="41"/>
      <c r="S121" s="41"/>
      <c r="AH121" s="40"/>
      <c r="AP121" s="40"/>
      <c r="AS121" s="41"/>
      <c r="AT121" s="41"/>
      <c r="AW121" t="str">
        <f t="shared" si="28"/>
        <v/>
      </c>
      <c r="AX121" t="str">
        <f t="shared" si="29"/>
        <v/>
      </c>
      <c r="AY121" t="str">
        <f t="shared" si="30"/>
        <v/>
      </c>
      <c r="AZ121" s="40"/>
      <c r="BL121" s="47" t="str">
        <f t="shared" si="31"/>
        <v/>
      </c>
      <c r="BM121" s="47" t="str">
        <f t="shared" si="32"/>
        <v/>
      </c>
      <c r="BN121" s="47" t="str">
        <f t="shared" si="33"/>
        <v/>
      </c>
      <c r="BO121" s="47" t="str">
        <f t="shared" si="34"/>
        <v/>
      </c>
      <c r="BP121" s="47" t="str">
        <f t="shared" si="35"/>
        <v/>
      </c>
      <c r="BQ121" s="48" t="str">
        <f t="shared" si="36"/>
        <v/>
      </c>
      <c r="BR121" s="48" t="str">
        <f t="shared" si="37"/>
        <v/>
      </c>
      <c r="BS121" s="48" t="str">
        <f t="shared" si="38"/>
        <v/>
      </c>
      <c r="BT121" s="47" t="str">
        <f t="shared" si="39"/>
        <v/>
      </c>
      <c r="CA121" s="47" t="str">
        <f t="shared" si="40"/>
        <v/>
      </c>
      <c r="CB121" s="47" t="str">
        <f t="shared" si="41"/>
        <v/>
      </c>
      <c r="CC121" s="47" t="str">
        <f t="shared" si="42"/>
        <v/>
      </c>
      <c r="CD121" s="47" t="str">
        <f t="shared" si="43"/>
        <v/>
      </c>
      <c r="CE121" s="47" t="str">
        <f>IF(AH121="","",IF(OR(AI121&lt;&gt;'Seasonal Tercile Tally'!$B$3,AM121&lt;&gt;'Seasonal Tercile Tally'!$B$4),"Other site/ season",IF(DT121=0,"Excluded: duplicate (later row)",IF(N121&lt;&gt;1,"Excluded: not sighted",IF(AC121&lt;&gt;1,"Excluded: not confirmed",IF(AD121&lt;&gt;1,"Excluded: not approved",IF(AP121="Contested","Excluded: contested",IF(OR(U121="",U121=0),"Excluded: no tercile",IF(CB121="","Counted (simple tally only — no weight)","Counted")))))))))</f>
        <v/>
      </c>
      <c r="CF121" s="49" t="str">
        <f>IF(AH121="","",IFERROR(INDEX('Prior Multipliers'!$C$6:$C$70,MATCH(LEFT(AH121,10),'Prior Multipliers'!$A$6:$A$70,0)),IFERROR(INDEX('Prior Multipliers'!$C$6:$C$70,MATCH(LEFT(AH121,6),'Prior Multipliers'!$A$6:$A$70,0)),IFERROR(INDEX('Prior Multipliers'!$C$6:$C$70,MATCH(LEFT(AH121,2),'Prior Multipliers'!$A$6:$A$70,0)),1))))</f>
        <v/>
      </c>
      <c r="CG121" s="49" t="str">
        <f>IF(CB121="","",IF(AND('Seasonal Tercile Tally'!$B$5=1,BT121="Rating-based"),CB121*CF121,CB121))</f>
        <v/>
      </c>
      <c r="CH121" s="47">
        <f t="shared" si="44"/>
        <v>0</v>
      </c>
      <c r="CI121" s="45"/>
      <c r="CJ121" s="42" t="str">
        <f t="shared" si="45"/>
        <v/>
      </c>
      <c r="CM121" s="42" t="str">
        <f t="shared" si="46"/>
        <v/>
      </c>
      <c r="CP121" s="46" t="str">
        <f t="shared" si="47"/>
        <v/>
      </c>
      <c r="CS121" s="46" t="str">
        <f t="shared" si="48"/>
        <v/>
      </c>
      <c r="CT121" s="42" t="str">
        <f t="shared" si="49"/>
        <v/>
      </c>
      <c r="CU121" s="42" t="str">
        <f t="shared" si="50"/>
        <v/>
      </c>
      <c r="CV121" s="42" t="str">
        <f t="shared" si="51"/>
        <v/>
      </c>
      <c r="DB121" s="45"/>
      <c r="DH121" s="42" t="str">
        <f t="shared" si="52"/>
        <v/>
      </c>
      <c r="DI121" s="43" t="str">
        <f t="shared" si="53"/>
        <v/>
      </c>
      <c r="DK121" s="46" t="str">
        <f t="shared" si="54"/>
        <v/>
      </c>
      <c r="DQ121" s="42" t="str">
        <f>IF(AH121="","",IFERROR(ROUND(100*('Weighting Options'!$D$7*IF(ISNUMBER(CA121),CA121/3,0)+'Weighting Options'!$D$8*MIN(N(BL121),3)/3+'Weighting Options'!$D$9*IF(AP121="Community/Plenary-endorsed",1,IF(AP121="FGD-validated only",0.75,IF(AP121="Sub-community-specific",0.5,IF(AP121="Provisional/emerging",0.25,0))))+'Weighting Options'!$D$10*IF(ISNUMBER(K121),K121/3,0)+'Weighting Options'!$D$11*IF(CC121="",0.5,IF(CC121="OK",1,0.25))+'Weighting Options'!$D$12*IF(DK121="",0.5,IF(DK121="Agrees",1,IF(DK121="Opposite",0,0.5)))+'Weighting Options'!$D$13*MIN(N(BG121),3)/3+'Weighting Options'!$D$14*IF(AE121=1,1,0))/SUM('Weighting Options'!$D$7:$D$14),0),""))</f>
        <v/>
      </c>
      <c r="DR121" s="44" t="str">
        <f>IF(AH121="","",IFERROR(INDEX('Weighting Options'!$D$20:$D$27,VALUE(LEFT(TRIM(BU121),1))),1))</f>
        <v/>
      </c>
      <c r="DS121" s="44" t="str">
        <f t="shared" si="55"/>
        <v/>
      </c>
      <c r="DT121" s="42" t="str">
        <f>IF(AH121="","",IF(COUNTIFS($AH$12:AH121,AH121,$AI$12:AI121,AI121,$AM$12:AM121,AM121)=1,1,0))</f>
        <v/>
      </c>
    </row>
    <row r="122" spans="16:124" ht="12.75" customHeight="1" x14ac:dyDescent="0.35">
      <c r="P122" s="41"/>
      <c r="Q122" s="41"/>
      <c r="R122" s="41"/>
      <c r="S122" s="41"/>
      <c r="AH122" s="40"/>
      <c r="AP122" s="40"/>
      <c r="AS122" s="41"/>
      <c r="AT122" s="41"/>
      <c r="AW122" t="str">
        <f t="shared" si="28"/>
        <v/>
      </c>
      <c r="AX122" t="str">
        <f t="shared" si="29"/>
        <v/>
      </c>
      <c r="AY122" t="str">
        <f t="shared" si="30"/>
        <v/>
      </c>
      <c r="AZ122" s="40"/>
      <c r="BL122" s="47" t="str">
        <f t="shared" si="31"/>
        <v/>
      </c>
      <c r="BM122" s="47" t="str">
        <f t="shared" si="32"/>
        <v/>
      </c>
      <c r="BN122" s="47" t="str">
        <f t="shared" si="33"/>
        <v/>
      </c>
      <c r="BO122" s="47" t="str">
        <f t="shared" si="34"/>
        <v/>
      </c>
      <c r="BP122" s="47" t="str">
        <f t="shared" si="35"/>
        <v/>
      </c>
      <c r="BQ122" s="48" t="str">
        <f t="shared" si="36"/>
        <v/>
      </c>
      <c r="BR122" s="48" t="str">
        <f t="shared" si="37"/>
        <v/>
      </c>
      <c r="BS122" s="48" t="str">
        <f t="shared" si="38"/>
        <v/>
      </c>
      <c r="BT122" s="47" t="str">
        <f t="shared" si="39"/>
        <v/>
      </c>
      <c r="CA122" s="47" t="str">
        <f t="shared" si="40"/>
        <v/>
      </c>
      <c r="CB122" s="47" t="str">
        <f t="shared" si="41"/>
        <v/>
      </c>
      <c r="CC122" s="47" t="str">
        <f t="shared" si="42"/>
        <v/>
      </c>
      <c r="CD122" s="47" t="str">
        <f t="shared" si="43"/>
        <v/>
      </c>
      <c r="CE122" s="47" t="str">
        <f>IF(AH122="","",IF(OR(AI122&lt;&gt;'Seasonal Tercile Tally'!$B$3,AM122&lt;&gt;'Seasonal Tercile Tally'!$B$4),"Other site/ season",IF(DT122=0,"Excluded: duplicate (later row)",IF(N122&lt;&gt;1,"Excluded: not sighted",IF(AC122&lt;&gt;1,"Excluded: not confirmed",IF(AD122&lt;&gt;1,"Excluded: not approved",IF(AP122="Contested","Excluded: contested",IF(OR(U122="",U122=0),"Excluded: no tercile",IF(CB122="","Counted (simple tally only — no weight)","Counted")))))))))</f>
        <v/>
      </c>
      <c r="CF122" s="49" t="str">
        <f>IF(AH122="","",IFERROR(INDEX('Prior Multipliers'!$C$6:$C$70,MATCH(LEFT(AH122,10),'Prior Multipliers'!$A$6:$A$70,0)),IFERROR(INDEX('Prior Multipliers'!$C$6:$C$70,MATCH(LEFT(AH122,6),'Prior Multipliers'!$A$6:$A$70,0)),IFERROR(INDEX('Prior Multipliers'!$C$6:$C$70,MATCH(LEFT(AH122,2),'Prior Multipliers'!$A$6:$A$70,0)),1))))</f>
        <v/>
      </c>
      <c r="CG122" s="49" t="str">
        <f>IF(CB122="","",IF(AND('Seasonal Tercile Tally'!$B$5=1,BT122="Rating-based"),CB122*CF122,CB122))</f>
        <v/>
      </c>
      <c r="CH122" s="47">
        <f t="shared" si="44"/>
        <v>0</v>
      </c>
      <c r="CI122" s="45"/>
      <c r="CJ122" s="42" t="str">
        <f t="shared" si="45"/>
        <v/>
      </c>
      <c r="CM122" s="42" t="str">
        <f t="shared" si="46"/>
        <v/>
      </c>
      <c r="CP122" s="46" t="str">
        <f t="shared" si="47"/>
        <v/>
      </c>
      <c r="CS122" s="46" t="str">
        <f t="shared" si="48"/>
        <v/>
      </c>
      <c r="CT122" s="42" t="str">
        <f t="shared" si="49"/>
        <v/>
      </c>
      <c r="CU122" s="42" t="str">
        <f t="shared" si="50"/>
        <v/>
      </c>
      <c r="CV122" s="42" t="str">
        <f t="shared" si="51"/>
        <v/>
      </c>
      <c r="DB122" s="45"/>
      <c r="DH122" s="42" t="str">
        <f t="shared" si="52"/>
        <v/>
      </c>
      <c r="DI122" s="43" t="str">
        <f t="shared" si="53"/>
        <v/>
      </c>
      <c r="DK122" s="46" t="str">
        <f t="shared" si="54"/>
        <v/>
      </c>
      <c r="DQ122" s="42" t="str">
        <f>IF(AH122="","",IFERROR(ROUND(100*('Weighting Options'!$D$7*IF(ISNUMBER(CA122),CA122/3,0)+'Weighting Options'!$D$8*MIN(N(BL122),3)/3+'Weighting Options'!$D$9*IF(AP122="Community/Plenary-endorsed",1,IF(AP122="FGD-validated only",0.75,IF(AP122="Sub-community-specific",0.5,IF(AP122="Provisional/emerging",0.25,0))))+'Weighting Options'!$D$10*IF(ISNUMBER(K122),K122/3,0)+'Weighting Options'!$D$11*IF(CC122="",0.5,IF(CC122="OK",1,0.25))+'Weighting Options'!$D$12*IF(DK122="",0.5,IF(DK122="Agrees",1,IF(DK122="Opposite",0,0.5)))+'Weighting Options'!$D$13*MIN(N(BG122),3)/3+'Weighting Options'!$D$14*IF(AE122=1,1,0))/SUM('Weighting Options'!$D$7:$D$14),0),""))</f>
        <v/>
      </c>
      <c r="DR122" s="44" t="str">
        <f>IF(AH122="","",IFERROR(INDEX('Weighting Options'!$D$20:$D$27,VALUE(LEFT(TRIM(BU122),1))),1))</f>
        <v/>
      </c>
      <c r="DS122" s="44" t="str">
        <f t="shared" si="55"/>
        <v/>
      </c>
      <c r="DT122" s="42" t="str">
        <f>IF(AH122="","",IF(COUNTIFS($AH$12:AH122,AH122,$AI$12:AI122,AI122,$AM$12:AM122,AM122)=1,1,0))</f>
        <v/>
      </c>
    </row>
    <row r="123" spans="16:124" ht="12.75" customHeight="1" x14ac:dyDescent="0.35">
      <c r="P123" s="41"/>
      <c r="Q123" s="41"/>
      <c r="R123" s="41"/>
      <c r="S123" s="41"/>
      <c r="AH123" s="40"/>
      <c r="AP123" s="40"/>
      <c r="AS123" s="41"/>
      <c r="AT123" s="41"/>
      <c r="AW123" t="str">
        <f t="shared" si="28"/>
        <v/>
      </c>
      <c r="AX123" t="str">
        <f t="shared" si="29"/>
        <v/>
      </c>
      <c r="AY123" t="str">
        <f t="shared" si="30"/>
        <v/>
      </c>
      <c r="AZ123" s="40"/>
      <c r="BL123" s="47" t="str">
        <f t="shared" si="31"/>
        <v/>
      </c>
      <c r="BM123" s="47" t="str">
        <f t="shared" si="32"/>
        <v/>
      </c>
      <c r="BN123" s="47" t="str">
        <f t="shared" si="33"/>
        <v/>
      </c>
      <c r="BO123" s="47" t="str">
        <f t="shared" si="34"/>
        <v/>
      </c>
      <c r="BP123" s="47" t="str">
        <f t="shared" si="35"/>
        <v/>
      </c>
      <c r="BQ123" s="48" t="str">
        <f t="shared" si="36"/>
        <v/>
      </c>
      <c r="BR123" s="48" t="str">
        <f t="shared" si="37"/>
        <v/>
      </c>
      <c r="BS123" s="48" t="str">
        <f t="shared" si="38"/>
        <v/>
      </c>
      <c r="BT123" s="47" t="str">
        <f t="shared" si="39"/>
        <v/>
      </c>
      <c r="CA123" s="47" t="str">
        <f t="shared" si="40"/>
        <v/>
      </c>
      <c r="CB123" s="47" t="str">
        <f t="shared" si="41"/>
        <v/>
      </c>
      <c r="CC123" s="47" t="str">
        <f t="shared" si="42"/>
        <v/>
      </c>
      <c r="CD123" s="47" t="str">
        <f t="shared" si="43"/>
        <v/>
      </c>
      <c r="CE123" s="47" t="str">
        <f>IF(AH123="","",IF(OR(AI123&lt;&gt;'Seasonal Tercile Tally'!$B$3,AM123&lt;&gt;'Seasonal Tercile Tally'!$B$4),"Other site/ season",IF(DT123=0,"Excluded: duplicate (later row)",IF(N123&lt;&gt;1,"Excluded: not sighted",IF(AC123&lt;&gt;1,"Excluded: not confirmed",IF(AD123&lt;&gt;1,"Excluded: not approved",IF(AP123="Contested","Excluded: contested",IF(OR(U123="",U123=0),"Excluded: no tercile",IF(CB123="","Counted (simple tally only — no weight)","Counted")))))))))</f>
        <v/>
      </c>
      <c r="CF123" s="49" t="str">
        <f>IF(AH123="","",IFERROR(INDEX('Prior Multipliers'!$C$6:$C$70,MATCH(LEFT(AH123,10),'Prior Multipliers'!$A$6:$A$70,0)),IFERROR(INDEX('Prior Multipliers'!$C$6:$C$70,MATCH(LEFT(AH123,6),'Prior Multipliers'!$A$6:$A$70,0)),IFERROR(INDEX('Prior Multipliers'!$C$6:$C$70,MATCH(LEFT(AH123,2),'Prior Multipliers'!$A$6:$A$70,0)),1))))</f>
        <v/>
      </c>
      <c r="CG123" s="49" t="str">
        <f>IF(CB123="","",IF(AND('Seasonal Tercile Tally'!$B$5=1,BT123="Rating-based"),CB123*CF123,CB123))</f>
        <v/>
      </c>
      <c r="CH123" s="47">
        <f t="shared" si="44"/>
        <v>0</v>
      </c>
      <c r="CI123" s="45"/>
      <c r="CJ123" s="42" t="str">
        <f t="shared" si="45"/>
        <v/>
      </c>
      <c r="CM123" s="42" t="str">
        <f t="shared" si="46"/>
        <v/>
      </c>
      <c r="CP123" s="46" t="str">
        <f t="shared" si="47"/>
        <v/>
      </c>
      <c r="CS123" s="46" t="str">
        <f t="shared" si="48"/>
        <v/>
      </c>
      <c r="CT123" s="42" t="str">
        <f t="shared" si="49"/>
        <v/>
      </c>
      <c r="CU123" s="42" t="str">
        <f t="shared" si="50"/>
        <v/>
      </c>
      <c r="CV123" s="42" t="str">
        <f t="shared" si="51"/>
        <v/>
      </c>
      <c r="DB123" s="45"/>
      <c r="DH123" s="42" t="str">
        <f t="shared" si="52"/>
        <v/>
      </c>
      <c r="DI123" s="43" t="str">
        <f t="shared" si="53"/>
        <v/>
      </c>
      <c r="DK123" s="46" t="str">
        <f t="shared" si="54"/>
        <v/>
      </c>
      <c r="DQ123" s="42" t="str">
        <f>IF(AH123="","",IFERROR(ROUND(100*('Weighting Options'!$D$7*IF(ISNUMBER(CA123),CA123/3,0)+'Weighting Options'!$D$8*MIN(N(BL123),3)/3+'Weighting Options'!$D$9*IF(AP123="Community/Plenary-endorsed",1,IF(AP123="FGD-validated only",0.75,IF(AP123="Sub-community-specific",0.5,IF(AP123="Provisional/emerging",0.25,0))))+'Weighting Options'!$D$10*IF(ISNUMBER(K123),K123/3,0)+'Weighting Options'!$D$11*IF(CC123="",0.5,IF(CC123="OK",1,0.25))+'Weighting Options'!$D$12*IF(DK123="",0.5,IF(DK123="Agrees",1,IF(DK123="Opposite",0,0.5)))+'Weighting Options'!$D$13*MIN(N(BG123),3)/3+'Weighting Options'!$D$14*IF(AE123=1,1,0))/SUM('Weighting Options'!$D$7:$D$14),0),""))</f>
        <v/>
      </c>
      <c r="DR123" s="44" t="str">
        <f>IF(AH123="","",IFERROR(INDEX('Weighting Options'!$D$20:$D$27,VALUE(LEFT(TRIM(BU123),1))),1))</f>
        <v/>
      </c>
      <c r="DS123" s="44" t="str">
        <f t="shared" si="55"/>
        <v/>
      </c>
      <c r="DT123" s="42" t="str">
        <f>IF(AH123="","",IF(COUNTIFS($AH$12:AH123,AH123,$AI$12:AI123,AI123,$AM$12:AM123,AM123)=1,1,0))</f>
        <v/>
      </c>
    </row>
    <row r="124" spans="16:124" ht="12.75" customHeight="1" x14ac:dyDescent="0.35">
      <c r="P124" s="41"/>
      <c r="Q124" s="41"/>
      <c r="R124" s="41"/>
      <c r="S124" s="41"/>
      <c r="AH124" s="40"/>
      <c r="AP124" s="40"/>
      <c r="AS124" s="41"/>
      <c r="AT124" s="41"/>
      <c r="AW124" t="str">
        <f t="shared" si="28"/>
        <v/>
      </c>
      <c r="AX124" t="str">
        <f t="shared" si="29"/>
        <v/>
      </c>
      <c r="AY124" t="str">
        <f t="shared" si="30"/>
        <v/>
      </c>
      <c r="AZ124" s="40"/>
      <c r="BL124" s="47" t="str">
        <f t="shared" si="31"/>
        <v/>
      </c>
      <c r="BM124" s="47" t="str">
        <f t="shared" si="32"/>
        <v/>
      </c>
      <c r="BN124" s="47" t="str">
        <f t="shared" si="33"/>
        <v/>
      </c>
      <c r="BO124" s="47" t="str">
        <f t="shared" si="34"/>
        <v/>
      </c>
      <c r="BP124" s="47" t="str">
        <f t="shared" si="35"/>
        <v/>
      </c>
      <c r="BQ124" s="48" t="str">
        <f t="shared" si="36"/>
        <v/>
      </c>
      <c r="BR124" s="48" t="str">
        <f t="shared" si="37"/>
        <v/>
      </c>
      <c r="BS124" s="48" t="str">
        <f t="shared" si="38"/>
        <v/>
      </c>
      <c r="BT124" s="47" t="str">
        <f t="shared" si="39"/>
        <v/>
      </c>
      <c r="CA124" s="47" t="str">
        <f t="shared" si="40"/>
        <v/>
      </c>
      <c r="CB124" s="47" t="str">
        <f t="shared" si="41"/>
        <v/>
      </c>
      <c r="CC124" s="47" t="str">
        <f t="shared" si="42"/>
        <v/>
      </c>
      <c r="CD124" s="47" t="str">
        <f t="shared" si="43"/>
        <v/>
      </c>
      <c r="CE124" s="47" t="str">
        <f>IF(AH124="","",IF(OR(AI124&lt;&gt;'Seasonal Tercile Tally'!$B$3,AM124&lt;&gt;'Seasonal Tercile Tally'!$B$4),"Other site/ season",IF(DT124=0,"Excluded: duplicate (later row)",IF(N124&lt;&gt;1,"Excluded: not sighted",IF(AC124&lt;&gt;1,"Excluded: not confirmed",IF(AD124&lt;&gt;1,"Excluded: not approved",IF(AP124="Contested","Excluded: contested",IF(OR(U124="",U124=0),"Excluded: no tercile",IF(CB124="","Counted (simple tally only — no weight)","Counted")))))))))</f>
        <v/>
      </c>
      <c r="CF124" s="49" t="str">
        <f>IF(AH124="","",IFERROR(INDEX('Prior Multipliers'!$C$6:$C$70,MATCH(LEFT(AH124,10),'Prior Multipliers'!$A$6:$A$70,0)),IFERROR(INDEX('Prior Multipliers'!$C$6:$C$70,MATCH(LEFT(AH124,6),'Prior Multipliers'!$A$6:$A$70,0)),IFERROR(INDEX('Prior Multipliers'!$C$6:$C$70,MATCH(LEFT(AH124,2),'Prior Multipliers'!$A$6:$A$70,0)),1))))</f>
        <v/>
      </c>
      <c r="CG124" s="49" t="str">
        <f>IF(CB124="","",IF(AND('Seasonal Tercile Tally'!$B$5=1,BT124="Rating-based"),CB124*CF124,CB124))</f>
        <v/>
      </c>
      <c r="CH124" s="47">
        <f t="shared" si="44"/>
        <v>0</v>
      </c>
      <c r="CI124" s="45"/>
      <c r="CJ124" s="42" t="str">
        <f t="shared" si="45"/>
        <v/>
      </c>
      <c r="CM124" s="42" t="str">
        <f t="shared" si="46"/>
        <v/>
      </c>
      <c r="CP124" s="46" t="str">
        <f t="shared" si="47"/>
        <v/>
      </c>
      <c r="CS124" s="46" t="str">
        <f t="shared" si="48"/>
        <v/>
      </c>
      <c r="CT124" s="42" t="str">
        <f t="shared" si="49"/>
        <v/>
      </c>
      <c r="CU124" s="42" t="str">
        <f t="shared" si="50"/>
        <v/>
      </c>
      <c r="CV124" s="42" t="str">
        <f t="shared" si="51"/>
        <v/>
      </c>
      <c r="DB124" s="45"/>
      <c r="DH124" s="42" t="str">
        <f t="shared" si="52"/>
        <v/>
      </c>
      <c r="DI124" s="43" t="str">
        <f t="shared" si="53"/>
        <v/>
      </c>
      <c r="DK124" s="46" t="str">
        <f t="shared" si="54"/>
        <v/>
      </c>
      <c r="DQ124" s="42" t="str">
        <f>IF(AH124="","",IFERROR(ROUND(100*('Weighting Options'!$D$7*IF(ISNUMBER(CA124),CA124/3,0)+'Weighting Options'!$D$8*MIN(N(BL124),3)/3+'Weighting Options'!$D$9*IF(AP124="Community/Plenary-endorsed",1,IF(AP124="FGD-validated only",0.75,IF(AP124="Sub-community-specific",0.5,IF(AP124="Provisional/emerging",0.25,0))))+'Weighting Options'!$D$10*IF(ISNUMBER(K124),K124/3,0)+'Weighting Options'!$D$11*IF(CC124="",0.5,IF(CC124="OK",1,0.25))+'Weighting Options'!$D$12*IF(DK124="",0.5,IF(DK124="Agrees",1,IF(DK124="Opposite",0,0.5)))+'Weighting Options'!$D$13*MIN(N(BG124),3)/3+'Weighting Options'!$D$14*IF(AE124=1,1,0))/SUM('Weighting Options'!$D$7:$D$14),0),""))</f>
        <v/>
      </c>
      <c r="DR124" s="44" t="str">
        <f>IF(AH124="","",IFERROR(INDEX('Weighting Options'!$D$20:$D$27,VALUE(LEFT(TRIM(BU124),1))),1))</f>
        <v/>
      </c>
      <c r="DS124" s="44" t="str">
        <f t="shared" si="55"/>
        <v/>
      </c>
      <c r="DT124" s="42" t="str">
        <f>IF(AH124="","",IF(COUNTIFS($AH$12:AH124,AH124,$AI$12:AI124,AI124,$AM$12:AM124,AM124)=1,1,0))</f>
        <v/>
      </c>
    </row>
    <row r="125" spans="16:124" ht="12.75" customHeight="1" x14ac:dyDescent="0.35">
      <c r="P125" s="41"/>
      <c r="Q125" s="41"/>
      <c r="R125" s="41"/>
      <c r="S125" s="41"/>
      <c r="AH125" s="40"/>
      <c r="AP125" s="40"/>
      <c r="AS125" s="41"/>
      <c r="AT125" s="41"/>
      <c r="AW125" t="str">
        <f t="shared" si="28"/>
        <v/>
      </c>
      <c r="AX125" t="str">
        <f t="shared" si="29"/>
        <v/>
      </c>
      <c r="AY125" t="str">
        <f t="shared" si="30"/>
        <v/>
      </c>
      <c r="AZ125" s="40"/>
      <c r="BL125" s="47" t="str">
        <f t="shared" si="31"/>
        <v/>
      </c>
      <c r="BM125" s="47" t="str">
        <f t="shared" si="32"/>
        <v/>
      </c>
      <c r="BN125" s="47" t="str">
        <f t="shared" si="33"/>
        <v/>
      </c>
      <c r="BO125" s="47" t="str">
        <f t="shared" si="34"/>
        <v/>
      </c>
      <c r="BP125" s="47" t="str">
        <f t="shared" si="35"/>
        <v/>
      </c>
      <c r="BQ125" s="48" t="str">
        <f t="shared" si="36"/>
        <v/>
      </c>
      <c r="BR125" s="48" t="str">
        <f t="shared" si="37"/>
        <v/>
      </c>
      <c r="BS125" s="48" t="str">
        <f t="shared" si="38"/>
        <v/>
      </c>
      <c r="BT125" s="47" t="str">
        <f t="shared" si="39"/>
        <v/>
      </c>
      <c r="CA125" s="47" t="str">
        <f t="shared" si="40"/>
        <v/>
      </c>
      <c r="CB125" s="47" t="str">
        <f t="shared" si="41"/>
        <v/>
      </c>
      <c r="CC125" s="47" t="str">
        <f t="shared" si="42"/>
        <v/>
      </c>
      <c r="CD125" s="47" t="str">
        <f t="shared" si="43"/>
        <v/>
      </c>
      <c r="CE125" s="47" t="str">
        <f>IF(AH125="","",IF(OR(AI125&lt;&gt;'Seasonal Tercile Tally'!$B$3,AM125&lt;&gt;'Seasonal Tercile Tally'!$B$4),"Other site/ season",IF(DT125=0,"Excluded: duplicate (later row)",IF(N125&lt;&gt;1,"Excluded: not sighted",IF(AC125&lt;&gt;1,"Excluded: not confirmed",IF(AD125&lt;&gt;1,"Excluded: not approved",IF(AP125="Contested","Excluded: contested",IF(OR(U125="",U125=0),"Excluded: no tercile",IF(CB125="","Counted (simple tally only — no weight)","Counted")))))))))</f>
        <v/>
      </c>
      <c r="CF125" s="49" t="str">
        <f>IF(AH125="","",IFERROR(INDEX('Prior Multipliers'!$C$6:$C$70,MATCH(LEFT(AH125,10),'Prior Multipliers'!$A$6:$A$70,0)),IFERROR(INDEX('Prior Multipliers'!$C$6:$C$70,MATCH(LEFT(AH125,6),'Prior Multipliers'!$A$6:$A$70,0)),IFERROR(INDEX('Prior Multipliers'!$C$6:$C$70,MATCH(LEFT(AH125,2),'Prior Multipliers'!$A$6:$A$70,0)),1))))</f>
        <v/>
      </c>
      <c r="CG125" s="49" t="str">
        <f>IF(CB125="","",IF(AND('Seasonal Tercile Tally'!$B$5=1,BT125="Rating-based"),CB125*CF125,CB125))</f>
        <v/>
      </c>
      <c r="CH125" s="47">
        <f t="shared" si="44"/>
        <v>0</v>
      </c>
      <c r="CI125" s="45"/>
      <c r="CJ125" s="42" t="str">
        <f t="shared" si="45"/>
        <v/>
      </c>
      <c r="CM125" s="42" t="str">
        <f t="shared" si="46"/>
        <v/>
      </c>
      <c r="CP125" s="46" t="str">
        <f t="shared" si="47"/>
        <v/>
      </c>
      <c r="CS125" s="46" t="str">
        <f t="shared" si="48"/>
        <v/>
      </c>
      <c r="CT125" s="42" t="str">
        <f t="shared" si="49"/>
        <v/>
      </c>
      <c r="CU125" s="42" t="str">
        <f t="shared" si="50"/>
        <v/>
      </c>
      <c r="CV125" s="42" t="str">
        <f t="shared" si="51"/>
        <v/>
      </c>
      <c r="DB125" s="45"/>
      <c r="DH125" s="42" t="str">
        <f t="shared" si="52"/>
        <v/>
      </c>
      <c r="DI125" s="43" t="str">
        <f t="shared" si="53"/>
        <v/>
      </c>
      <c r="DK125" s="46" t="str">
        <f t="shared" si="54"/>
        <v/>
      </c>
      <c r="DQ125" s="42" t="str">
        <f>IF(AH125="","",IFERROR(ROUND(100*('Weighting Options'!$D$7*IF(ISNUMBER(CA125),CA125/3,0)+'Weighting Options'!$D$8*MIN(N(BL125),3)/3+'Weighting Options'!$D$9*IF(AP125="Community/Plenary-endorsed",1,IF(AP125="FGD-validated only",0.75,IF(AP125="Sub-community-specific",0.5,IF(AP125="Provisional/emerging",0.25,0))))+'Weighting Options'!$D$10*IF(ISNUMBER(K125),K125/3,0)+'Weighting Options'!$D$11*IF(CC125="",0.5,IF(CC125="OK",1,0.25))+'Weighting Options'!$D$12*IF(DK125="",0.5,IF(DK125="Agrees",1,IF(DK125="Opposite",0,0.5)))+'Weighting Options'!$D$13*MIN(N(BG125),3)/3+'Weighting Options'!$D$14*IF(AE125=1,1,0))/SUM('Weighting Options'!$D$7:$D$14),0),""))</f>
        <v/>
      </c>
      <c r="DR125" s="44" t="str">
        <f>IF(AH125="","",IFERROR(INDEX('Weighting Options'!$D$20:$D$27,VALUE(LEFT(TRIM(BU125),1))),1))</f>
        <v/>
      </c>
      <c r="DS125" s="44" t="str">
        <f t="shared" si="55"/>
        <v/>
      </c>
      <c r="DT125" s="42" t="str">
        <f>IF(AH125="","",IF(COUNTIFS($AH$12:AH125,AH125,$AI$12:AI125,AI125,$AM$12:AM125,AM125)=1,1,0))</f>
        <v/>
      </c>
    </row>
    <row r="126" spans="16:124" ht="12.75" customHeight="1" x14ac:dyDescent="0.35">
      <c r="P126" s="41"/>
      <c r="Q126" s="41"/>
      <c r="R126" s="41"/>
      <c r="S126" s="41"/>
      <c r="AH126" s="40"/>
      <c r="AP126" s="40"/>
      <c r="AS126" s="41"/>
      <c r="AT126" s="41"/>
      <c r="AW126" t="str">
        <f t="shared" si="28"/>
        <v/>
      </c>
      <c r="AX126" t="str">
        <f t="shared" si="29"/>
        <v/>
      </c>
      <c r="AY126" t="str">
        <f t="shared" si="30"/>
        <v/>
      </c>
      <c r="AZ126" s="40"/>
      <c r="BL126" s="47" t="str">
        <f t="shared" si="31"/>
        <v/>
      </c>
      <c r="BM126" s="47" t="str">
        <f t="shared" si="32"/>
        <v/>
      </c>
      <c r="BN126" s="47" t="str">
        <f t="shared" si="33"/>
        <v/>
      </c>
      <c r="BO126" s="47" t="str">
        <f t="shared" si="34"/>
        <v/>
      </c>
      <c r="BP126" s="47" t="str">
        <f t="shared" si="35"/>
        <v/>
      </c>
      <c r="BQ126" s="48" t="str">
        <f t="shared" si="36"/>
        <v/>
      </c>
      <c r="BR126" s="48" t="str">
        <f t="shared" si="37"/>
        <v/>
      </c>
      <c r="BS126" s="48" t="str">
        <f t="shared" si="38"/>
        <v/>
      </c>
      <c r="BT126" s="47" t="str">
        <f t="shared" si="39"/>
        <v/>
      </c>
      <c r="CA126" s="47" t="str">
        <f t="shared" si="40"/>
        <v/>
      </c>
      <c r="CB126" s="47" t="str">
        <f t="shared" si="41"/>
        <v/>
      </c>
      <c r="CC126" s="47" t="str">
        <f t="shared" si="42"/>
        <v/>
      </c>
      <c r="CD126" s="47" t="str">
        <f t="shared" si="43"/>
        <v/>
      </c>
      <c r="CE126" s="47" t="str">
        <f>IF(AH126="","",IF(OR(AI126&lt;&gt;'Seasonal Tercile Tally'!$B$3,AM126&lt;&gt;'Seasonal Tercile Tally'!$B$4),"Other site/ season",IF(DT126=0,"Excluded: duplicate (later row)",IF(N126&lt;&gt;1,"Excluded: not sighted",IF(AC126&lt;&gt;1,"Excluded: not confirmed",IF(AD126&lt;&gt;1,"Excluded: not approved",IF(AP126="Contested","Excluded: contested",IF(OR(U126="",U126=0),"Excluded: no tercile",IF(CB126="","Counted (simple tally only — no weight)","Counted")))))))))</f>
        <v/>
      </c>
      <c r="CF126" s="49" t="str">
        <f>IF(AH126="","",IFERROR(INDEX('Prior Multipliers'!$C$6:$C$70,MATCH(LEFT(AH126,10),'Prior Multipliers'!$A$6:$A$70,0)),IFERROR(INDEX('Prior Multipliers'!$C$6:$C$70,MATCH(LEFT(AH126,6),'Prior Multipliers'!$A$6:$A$70,0)),IFERROR(INDEX('Prior Multipliers'!$C$6:$C$70,MATCH(LEFT(AH126,2),'Prior Multipliers'!$A$6:$A$70,0)),1))))</f>
        <v/>
      </c>
      <c r="CG126" s="49" t="str">
        <f>IF(CB126="","",IF(AND('Seasonal Tercile Tally'!$B$5=1,BT126="Rating-based"),CB126*CF126,CB126))</f>
        <v/>
      </c>
      <c r="CH126" s="47">
        <f t="shared" si="44"/>
        <v>0</v>
      </c>
      <c r="CI126" s="45"/>
      <c r="CJ126" s="42" t="str">
        <f t="shared" si="45"/>
        <v/>
      </c>
      <c r="CM126" s="42" t="str">
        <f t="shared" si="46"/>
        <v/>
      </c>
      <c r="CP126" s="46" t="str">
        <f t="shared" si="47"/>
        <v/>
      </c>
      <c r="CS126" s="46" t="str">
        <f t="shared" si="48"/>
        <v/>
      </c>
      <c r="CT126" s="42" t="str">
        <f t="shared" si="49"/>
        <v/>
      </c>
      <c r="CU126" s="42" t="str">
        <f t="shared" si="50"/>
        <v/>
      </c>
      <c r="CV126" s="42" t="str">
        <f t="shared" si="51"/>
        <v/>
      </c>
      <c r="DB126" s="45"/>
      <c r="DH126" s="42" t="str">
        <f t="shared" si="52"/>
        <v/>
      </c>
      <c r="DI126" s="43" t="str">
        <f t="shared" si="53"/>
        <v/>
      </c>
      <c r="DK126" s="46" t="str">
        <f t="shared" si="54"/>
        <v/>
      </c>
      <c r="DQ126" s="42" t="str">
        <f>IF(AH126="","",IFERROR(ROUND(100*('Weighting Options'!$D$7*IF(ISNUMBER(CA126),CA126/3,0)+'Weighting Options'!$D$8*MIN(N(BL126),3)/3+'Weighting Options'!$D$9*IF(AP126="Community/Plenary-endorsed",1,IF(AP126="FGD-validated only",0.75,IF(AP126="Sub-community-specific",0.5,IF(AP126="Provisional/emerging",0.25,0))))+'Weighting Options'!$D$10*IF(ISNUMBER(K126),K126/3,0)+'Weighting Options'!$D$11*IF(CC126="",0.5,IF(CC126="OK",1,0.25))+'Weighting Options'!$D$12*IF(DK126="",0.5,IF(DK126="Agrees",1,IF(DK126="Opposite",0,0.5)))+'Weighting Options'!$D$13*MIN(N(BG126),3)/3+'Weighting Options'!$D$14*IF(AE126=1,1,0))/SUM('Weighting Options'!$D$7:$D$14),0),""))</f>
        <v/>
      </c>
      <c r="DR126" s="44" t="str">
        <f>IF(AH126="","",IFERROR(INDEX('Weighting Options'!$D$20:$D$27,VALUE(LEFT(TRIM(BU126),1))),1))</f>
        <v/>
      </c>
      <c r="DS126" s="44" t="str">
        <f t="shared" si="55"/>
        <v/>
      </c>
      <c r="DT126" s="42" t="str">
        <f>IF(AH126="","",IF(COUNTIFS($AH$12:AH126,AH126,$AI$12:AI126,AI126,$AM$12:AM126,AM126)=1,1,0))</f>
        <v/>
      </c>
    </row>
    <row r="127" spans="16:124" ht="12.75" customHeight="1" x14ac:dyDescent="0.35">
      <c r="P127" s="41"/>
      <c r="Q127" s="41"/>
      <c r="R127" s="41"/>
      <c r="S127" s="41"/>
      <c r="AH127" s="40"/>
      <c r="AP127" s="40"/>
      <c r="AS127" s="41"/>
      <c r="AT127" s="41"/>
      <c r="AW127" t="str">
        <f t="shared" si="28"/>
        <v/>
      </c>
      <c r="AX127" t="str">
        <f t="shared" si="29"/>
        <v/>
      </c>
      <c r="AY127" t="str">
        <f t="shared" si="30"/>
        <v/>
      </c>
      <c r="AZ127" s="40"/>
      <c r="BL127" s="47" t="str">
        <f t="shared" si="31"/>
        <v/>
      </c>
      <c r="BM127" s="47" t="str">
        <f t="shared" si="32"/>
        <v/>
      </c>
      <c r="BN127" s="47" t="str">
        <f t="shared" si="33"/>
        <v/>
      </c>
      <c r="BO127" s="47" t="str">
        <f t="shared" si="34"/>
        <v/>
      </c>
      <c r="BP127" s="47" t="str">
        <f t="shared" si="35"/>
        <v/>
      </c>
      <c r="BQ127" s="48" t="str">
        <f t="shared" si="36"/>
        <v/>
      </c>
      <c r="BR127" s="48" t="str">
        <f t="shared" si="37"/>
        <v/>
      </c>
      <c r="BS127" s="48" t="str">
        <f t="shared" si="38"/>
        <v/>
      </c>
      <c r="BT127" s="47" t="str">
        <f t="shared" si="39"/>
        <v/>
      </c>
      <c r="CA127" s="47" t="str">
        <f t="shared" si="40"/>
        <v/>
      </c>
      <c r="CB127" s="47" t="str">
        <f t="shared" si="41"/>
        <v/>
      </c>
      <c r="CC127" s="47" t="str">
        <f t="shared" si="42"/>
        <v/>
      </c>
      <c r="CD127" s="47" t="str">
        <f t="shared" si="43"/>
        <v/>
      </c>
      <c r="CE127" s="47" t="str">
        <f>IF(AH127="","",IF(OR(AI127&lt;&gt;'Seasonal Tercile Tally'!$B$3,AM127&lt;&gt;'Seasonal Tercile Tally'!$B$4),"Other site/ season",IF(DT127=0,"Excluded: duplicate (later row)",IF(N127&lt;&gt;1,"Excluded: not sighted",IF(AC127&lt;&gt;1,"Excluded: not confirmed",IF(AD127&lt;&gt;1,"Excluded: not approved",IF(AP127="Contested","Excluded: contested",IF(OR(U127="",U127=0),"Excluded: no tercile",IF(CB127="","Counted (simple tally only — no weight)","Counted")))))))))</f>
        <v/>
      </c>
      <c r="CF127" s="49" t="str">
        <f>IF(AH127="","",IFERROR(INDEX('Prior Multipliers'!$C$6:$C$70,MATCH(LEFT(AH127,10),'Prior Multipliers'!$A$6:$A$70,0)),IFERROR(INDEX('Prior Multipliers'!$C$6:$C$70,MATCH(LEFT(AH127,6),'Prior Multipliers'!$A$6:$A$70,0)),IFERROR(INDEX('Prior Multipliers'!$C$6:$C$70,MATCH(LEFT(AH127,2),'Prior Multipliers'!$A$6:$A$70,0)),1))))</f>
        <v/>
      </c>
      <c r="CG127" s="49" t="str">
        <f>IF(CB127="","",IF(AND('Seasonal Tercile Tally'!$B$5=1,BT127="Rating-based"),CB127*CF127,CB127))</f>
        <v/>
      </c>
      <c r="CH127" s="47">
        <f t="shared" si="44"/>
        <v>0</v>
      </c>
      <c r="CI127" s="45"/>
      <c r="CJ127" s="42" t="str">
        <f t="shared" si="45"/>
        <v/>
      </c>
      <c r="CM127" s="42" t="str">
        <f t="shared" si="46"/>
        <v/>
      </c>
      <c r="CP127" s="46" t="str">
        <f t="shared" si="47"/>
        <v/>
      </c>
      <c r="CS127" s="46" t="str">
        <f t="shared" si="48"/>
        <v/>
      </c>
      <c r="CT127" s="42" t="str">
        <f t="shared" si="49"/>
        <v/>
      </c>
      <c r="CU127" s="42" t="str">
        <f t="shared" si="50"/>
        <v/>
      </c>
      <c r="CV127" s="42" t="str">
        <f t="shared" si="51"/>
        <v/>
      </c>
      <c r="DB127" s="45"/>
      <c r="DH127" s="42" t="str">
        <f t="shared" si="52"/>
        <v/>
      </c>
      <c r="DI127" s="43" t="str">
        <f t="shared" si="53"/>
        <v/>
      </c>
      <c r="DK127" s="46" t="str">
        <f t="shared" si="54"/>
        <v/>
      </c>
      <c r="DQ127" s="42" t="str">
        <f>IF(AH127="","",IFERROR(ROUND(100*('Weighting Options'!$D$7*IF(ISNUMBER(CA127),CA127/3,0)+'Weighting Options'!$D$8*MIN(N(BL127),3)/3+'Weighting Options'!$D$9*IF(AP127="Community/Plenary-endorsed",1,IF(AP127="FGD-validated only",0.75,IF(AP127="Sub-community-specific",0.5,IF(AP127="Provisional/emerging",0.25,0))))+'Weighting Options'!$D$10*IF(ISNUMBER(K127),K127/3,0)+'Weighting Options'!$D$11*IF(CC127="",0.5,IF(CC127="OK",1,0.25))+'Weighting Options'!$D$12*IF(DK127="",0.5,IF(DK127="Agrees",1,IF(DK127="Opposite",0,0.5)))+'Weighting Options'!$D$13*MIN(N(BG127),3)/3+'Weighting Options'!$D$14*IF(AE127=1,1,0))/SUM('Weighting Options'!$D$7:$D$14),0),""))</f>
        <v/>
      </c>
      <c r="DR127" s="44" t="str">
        <f>IF(AH127="","",IFERROR(INDEX('Weighting Options'!$D$20:$D$27,VALUE(LEFT(TRIM(BU127),1))),1))</f>
        <v/>
      </c>
      <c r="DS127" s="44" t="str">
        <f t="shared" si="55"/>
        <v/>
      </c>
      <c r="DT127" s="42" t="str">
        <f>IF(AH127="","",IF(COUNTIFS($AH$12:AH127,AH127,$AI$12:AI127,AI127,$AM$12:AM127,AM127)=1,1,0))</f>
        <v/>
      </c>
    </row>
    <row r="128" spans="16:124" ht="12.75" customHeight="1" x14ac:dyDescent="0.35">
      <c r="P128" s="41"/>
      <c r="Q128" s="41"/>
      <c r="R128" s="41"/>
      <c r="S128" s="41"/>
      <c r="AH128" s="40"/>
      <c r="AP128" s="40"/>
      <c r="AS128" s="41"/>
      <c r="AT128" s="41"/>
      <c r="AW128" t="str">
        <f t="shared" si="28"/>
        <v/>
      </c>
      <c r="AX128" t="str">
        <f t="shared" si="29"/>
        <v/>
      </c>
      <c r="AY128" t="str">
        <f t="shared" si="30"/>
        <v/>
      </c>
      <c r="AZ128" s="40"/>
      <c r="BL128" s="47" t="str">
        <f t="shared" si="31"/>
        <v/>
      </c>
      <c r="BM128" s="47" t="str">
        <f t="shared" si="32"/>
        <v/>
      </c>
      <c r="BN128" s="47" t="str">
        <f t="shared" si="33"/>
        <v/>
      </c>
      <c r="BO128" s="47" t="str">
        <f t="shared" si="34"/>
        <v/>
      </c>
      <c r="BP128" s="47" t="str">
        <f t="shared" si="35"/>
        <v/>
      </c>
      <c r="BQ128" s="48" t="str">
        <f t="shared" si="36"/>
        <v/>
      </c>
      <c r="BR128" s="48" t="str">
        <f t="shared" si="37"/>
        <v/>
      </c>
      <c r="BS128" s="48" t="str">
        <f t="shared" si="38"/>
        <v/>
      </c>
      <c r="BT128" s="47" t="str">
        <f t="shared" si="39"/>
        <v/>
      </c>
      <c r="CA128" s="47" t="str">
        <f t="shared" si="40"/>
        <v/>
      </c>
      <c r="CB128" s="47" t="str">
        <f t="shared" si="41"/>
        <v/>
      </c>
      <c r="CC128" s="47" t="str">
        <f t="shared" si="42"/>
        <v/>
      </c>
      <c r="CD128" s="47" t="str">
        <f t="shared" si="43"/>
        <v/>
      </c>
      <c r="CE128" s="47" t="str">
        <f>IF(AH128="","",IF(OR(AI128&lt;&gt;'Seasonal Tercile Tally'!$B$3,AM128&lt;&gt;'Seasonal Tercile Tally'!$B$4),"Other site/ season",IF(DT128=0,"Excluded: duplicate (later row)",IF(N128&lt;&gt;1,"Excluded: not sighted",IF(AC128&lt;&gt;1,"Excluded: not confirmed",IF(AD128&lt;&gt;1,"Excluded: not approved",IF(AP128="Contested","Excluded: contested",IF(OR(U128="",U128=0),"Excluded: no tercile",IF(CB128="","Counted (simple tally only — no weight)","Counted")))))))))</f>
        <v/>
      </c>
      <c r="CF128" s="49" t="str">
        <f>IF(AH128="","",IFERROR(INDEX('Prior Multipliers'!$C$6:$C$70,MATCH(LEFT(AH128,10),'Prior Multipliers'!$A$6:$A$70,0)),IFERROR(INDEX('Prior Multipliers'!$C$6:$C$70,MATCH(LEFT(AH128,6),'Prior Multipliers'!$A$6:$A$70,0)),IFERROR(INDEX('Prior Multipliers'!$C$6:$C$70,MATCH(LEFT(AH128,2),'Prior Multipliers'!$A$6:$A$70,0)),1))))</f>
        <v/>
      </c>
      <c r="CG128" s="49" t="str">
        <f>IF(CB128="","",IF(AND('Seasonal Tercile Tally'!$B$5=1,BT128="Rating-based"),CB128*CF128,CB128))</f>
        <v/>
      </c>
      <c r="CH128" s="47">
        <f t="shared" si="44"/>
        <v>0</v>
      </c>
      <c r="CI128" s="45"/>
      <c r="CJ128" s="42" t="str">
        <f t="shared" si="45"/>
        <v/>
      </c>
      <c r="CM128" s="42" t="str">
        <f t="shared" si="46"/>
        <v/>
      </c>
      <c r="CP128" s="46" t="str">
        <f t="shared" si="47"/>
        <v/>
      </c>
      <c r="CS128" s="46" t="str">
        <f t="shared" si="48"/>
        <v/>
      </c>
      <c r="CT128" s="42" t="str">
        <f t="shared" si="49"/>
        <v/>
      </c>
      <c r="CU128" s="42" t="str">
        <f t="shared" si="50"/>
        <v/>
      </c>
      <c r="CV128" s="42" t="str">
        <f t="shared" si="51"/>
        <v/>
      </c>
      <c r="DB128" s="45"/>
      <c r="DH128" s="42" t="str">
        <f t="shared" si="52"/>
        <v/>
      </c>
      <c r="DI128" s="43" t="str">
        <f t="shared" si="53"/>
        <v/>
      </c>
      <c r="DK128" s="46" t="str">
        <f t="shared" si="54"/>
        <v/>
      </c>
      <c r="DQ128" s="42" t="str">
        <f>IF(AH128="","",IFERROR(ROUND(100*('Weighting Options'!$D$7*IF(ISNUMBER(CA128),CA128/3,0)+'Weighting Options'!$D$8*MIN(N(BL128),3)/3+'Weighting Options'!$D$9*IF(AP128="Community/Plenary-endorsed",1,IF(AP128="FGD-validated only",0.75,IF(AP128="Sub-community-specific",0.5,IF(AP128="Provisional/emerging",0.25,0))))+'Weighting Options'!$D$10*IF(ISNUMBER(K128),K128/3,0)+'Weighting Options'!$D$11*IF(CC128="",0.5,IF(CC128="OK",1,0.25))+'Weighting Options'!$D$12*IF(DK128="",0.5,IF(DK128="Agrees",1,IF(DK128="Opposite",0,0.5)))+'Weighting Options'!$D$13*MIN(N(BG128),3)/3+'Weighting Options'!$D$14*IF(AE128=1,1,0))/SUM('Weighting Options'!$D$7:$D$14),0),""))</f>
        <v/>
      </c>
      <c r="DR128" s="44" t="str">
        <f>IF(AH128="","",IFERROR(INDEX('Weighting Options'!$D$20:$D$27,VALUE(LEFT(TRIM(BU128),1))),1))</f>
        <v/>
      </c>
      <c r="DS128" s="44" t="str">
        <f t="shared" si="55"/>
        <v/>
      </c>
      <c r="DT128" s="42" t="str">
        <f>IF(AH128="","",IF(COUNTIFS($AH$12:AH128,AH128,$AI$12:AI128,AI128,$AM$12:AM128,AM128)=1,1,0))</f>
        <v/>
      </c>
    </row>
    <row r="129" spans="16:124" ht="12.75" customHeight="1" x14ac:dyDescent="0.35">
      <c r="P129" s="41"/>
      <c r="Q129" s="41"/>
      <c r="R129" s="41"/>
      <c r="S129" s="41"/>
      <c r="AH129" s="40"/>
      <c r="AP129" s="40"/>
      <c r="AS129" s="41"/>
      <c r="AT129" s="41"/>
      <c r="AW129" t="str">
        <f t="shared" si="28"/>
        <v/>
      </c>
      <c r="AX129" t="str">
        <f t="shared" si="29"/>
        <v/>
      </c>
      <c r="AY129" t="str">
        <f t="shared" si="30"/>
        <v/>
      </c>
      <c r="AZ129" s="40"/>
      <c r="BL129" s="47" t="str">
        <f t="shared" si="31"/>
        <v/>
      </c>
      <c r="BM129" s="47" t="str">
        <f t="shared" si="32"/>
        <v/>
      </c>
      <c r="BN129" s="47" t="str">
        <f t="shared" si="33"/>
        <v/>
      </c>
      <c r="BO129" s="47" t="str">
        <f t="shared" si="34"/>
        <v/>
      </c>
      <c r="BP129" s="47" t="str">
        <f t="shared" si="35"/>
        <v/>
      </c>
      <c r="BQ129" s="48" t="str">
        <f t="shared" si="36"/>
        <v/>
      </c>
      <c r="BR129" s="48" t="str">
        <f t="shared" si="37"/>
        <v/>
      </c>
      <c r="BS129" s="48" t="str">
        <f t="shared" si="38"/>
        <v/>
      </c>
      <c r="BT129" s="47" t="str">
        <f t="shared" si="39"/>
        <v/>
      </c>
      <c r="CA129" s="47" t="str">
        <f t="shared" si="40"/>
        <v/>
      </c>
      <c r="CB129" s="47" t="str">
        <f t="shared" si="41"/>
        <v/>
      </c>
      <c r="CC129" s="47" t="str">
        <f t="shared" si="42"/>
        <v/>
      </c>
      <c r="CD129" s="47" t="str">
        <f t="shared" si="43"/>
        <v/>
      </c>
      <c r="CE129" s="47" t="str">
        <f>IF(AH129="","",IF(OR(AI129&lt;&gt;'Seasonal Tercile Tally'!$B$3,AM129&lt;&gt;'Seasonal Tercile Tally'!$B$4),"Other site/ season",IF(DT129=0,"Excluded: duplicate (later row)",IF(N129&lt;&gt;1,"Excluded: not sighted",IF(AC129&lt;&gt;1,"Excluded: not confirmed",IF(AD129&lt;&gt;1,"Excluded: not approved",IF(AP129="Contested","Excluded: contested",IF(OR(U129="",U129=0),"Excluded: no tercile",IF(CB129="","Counted (simple tally only — no weight)","Counted")))))))))</f>
        <v/>
      </c>
      <c r="CF129" s="49" t="str">
        <f>IF(AH129="","",IFERROR(INDEX('Prior Multipliers'!$C$6:$C$70,MATCH(LEFT(AH129,10),'Prior Multipliers'!$A$6:$A$70,0)),IFERROR(INDEX('Prior Multipliers'!$C$6:$C$70,MATCH(LEFT(AH129,6),'Prior Multipliers'!$A$6:$A$70,0)),IFERROR(INDEX('Prior Multipliers'!$C$6:$C$70,MATCH(LEFT(AH129,2),'Prior Multipliers'!$A$6:$A$70,0)),1))))</f>
        <v/>
      </c>
      <c r="CG129" s="49" t="str">
        <f>IF(CB129="","",IF(AND('Seasonal Tercile Tally'!$B$5=1,BT129="Rating-based"),CB129*CF129,CB129))</f>
        <v/>
      </c>
      <c r="CH129" s="47">
        <f t="shared" si="44"/>
        <v>0</v>
      </c>
      <c r="CI129" s="45"/>
      <c r="CJ129" s="42" t="str">
        <f t="shared" si="45"/>
        <v/>
      </c>
      <c r="CM129" s="42" t="str">
        <f t="shared" si="46"/>
        <v/>
      </c>
      <c r="CP129" s="46" t="str">
        <f t="shared" si="47"/>
        <v/>
      </c>
      <c r="CS129" s="46" t="str">
        <f t="shared" si="48"/>
        <v/>
      </c>
      <c r="CT129" s="42" t="str">
        <f t="shared" si="49"/>
        <v/>
      </c>
      <c r="CU129" s="42" t="str">
        <f t="shared" si="50"/>
        <v/>
      </c>
      <c r="CV129" s="42" t="str">
        <f t="shared" si="51"/>
        <v/>
      </c>
      <c r="DB129" s="45"/>
      <c r="DH129" s="42" t="str">
        <f t="shared" si="52"/>
        <v/>
      </c>
      <c r="DI129" s="43" t="str">
        <f t="shared" si="53"/>
        <v/>
      </c>
      <c r="DK129" s="46" t="str">
        <f t="shared" si="54"/>
        <v/>
      </c>
      <c r="DQ129" s="42" t="str">
        <f>IF(AH129="","",IFERROR(ROUND(100*('Weighting Options'!$D$7*IF(ISNUMBER(CA129),CA129/3,0)+'Weighting Options'!$D$8*MIN(N(BL129),3)/3+'Weighting Options'!$D$9*IF(AP129="Community/Plenary-endorsed",1,IF(AP129="FGD-validated only",0.75,IF(AP129="Sub-community-specific",0.5,IF(AP129="Provisional/emerging",0.25,0))))+'Weighting Options'!$D$10*IF(ISNUMBER(K129),K129/3,0)+'Weighting Options'!$D$11*IF(CC129="",0.5,IF(CC129="OK",1,0.25))+'Weighting Options'!$D$12*IF(DK129="",0.5,IF(DK129="Agrees",1,IF(DK129="Opposite",0,0.5)))+'Weighting Options'!$D$13*MIN(N(BG129),3)/3+'Weighting Options'!$D$14*IF(AE129=1,1,0))/SUM('Weighting Options'!$D$7:$D$14),0),""))</f>
        <v/>
      </c>
      <c r="DR129" s="44" t="str">
        <f>IF(AH129="","",IFERROR(INDEX('Weighting Options'!$D$20:$D$27,VALUE(LEFT(TRIM(BU129),1))),1))</f>
        <v/>
      </c>
      <c r="DS129" s="44" t="str">
        <f t="shared" si="55"/>
        <v/>
      </c>
      <c r="DT129" s="42" t="str">
        <f>IF(AH129="","",IF(COUNTIFS($AH$12:AH129,AH129,$AI$12:AI129,AI129,$AM$12:AM129,AM129)=1,1,0))</f>
        <v/>
      </c>
    </row>
    <row r="130" spans="16:124" ht="12.75" customHeight="1" x14ac:dyDescent="0.35">
      <c r="P130" s="41"/>
      <c r="Q130" s="41"/>
      <c r="R130" s="41"/>
      <c r="S130" s="41"/>
      <c r="AH130" s="40"/>
      <c r="AP130" s="40"/>
      <c r="AS130" s="41"/>
      <c r="AT130" s="41"/>
      <c r="AW130" t="str">
        <f t="shared" si="28"/>
        <v/>
      </c>
      <c r="AX130" t="str">
        <f t="shared" si="29"/>
        <v/>
      </c>
      <c r="AY130" t="str">
        <f t="shared" si="30"/>
        <v/>
      </c>
      <c r="AZ130" s="40"/>
      <c r="BL130" s="47" t="str">
        <f t="shared" si="31"/>
        <v/>
      </c>
      <c r="BM130" s="47" t="str">
        <f t="shared" si="32"/>
        <v/>
      </c>
      <c r="BN130" s="47" t="str">
        <f t="shared" si="33"/>
        <v/>
      </c>
      <c r="BO130" s="47" t="str">
        <f t="shared" si="34"/>
        <v/>
      </c>
      <c r="BP130" s="47" t="str">
        <f t="shared" si="35"/>
        <v/>
      </c>
      <c r="BQ130" s="48" t="str">
        <f t="shared" si="36"/>
        <v/>
      </c>
      <c r="BR130" s="48" t="str">
        <f t="shared" si="37"/>
        <v/>
      </c>
      <c r="BS130" s="48" t="str">
        <f t="shared" si="38"/>
        <v/>
      </c>
      <c r="BT130" s="47" t="str">
        <f t="shared" si="39"/>
        <v/>
      </c>
      <c r="CA130" s="47" t="str">
        <f t="shared" si="40"/>
        <v/>
      </c>
      <c r="CB130" s="47" t="str">
        <f t="shared" si="41"/>
        <v/>
      </c>
      <c r="CC130" s="47" t="str">
        <f t="shared" si="42"/>
        <v/>
      </c>
      <c r="CD130" s="47" t="str">
        <f t="shared" si="43"/>
        <v/>
      </c>
      <c r="CE130" s="47" t="str">
        <f>IF(AH130="","",IF(OR(AI130&lt;&gt;'Seasonal Tercile Tally'!$B$3,AM130&lt;&gt;'Seasonal Tercile Tally'!$B$4),"Other site/ season",IF(DT130=0,"Excluded: duplicate (later row)",IF(N130&lt;&gt;1,"Excluded: not sighted",IF(AC130&lt;&gt;1,"Excluded: not confirmed",IF(AD130&lt;&gt;1,"Excluded: not approved",IF(AP130="Contested","Excluded: contested",IF(OR(U130="",U130=0),"Excluded: no tercile",IF(CB130="","Counted (simple tally only — no weight)","Counted")))))))))</f>
        <v/>
      </c>
      <c r="CF130" s="49" t="str">
        <f>IF(AH130="","",IFERROR(INDEX('Prior Multipliers'!$C$6:$C$70,MATCH(LEFT(AH130,10),'Prior Multipliers'!$A$6:$A$70,0)),IFERROR(INDEX('Prior Multipliers'!$C$6:$C$70,MATCH(LEFT(AH130,6),'Prior Multipliers'!$A$6:$A$70,0)),IFERROR(INDEX('Prior Multipliers'!$C$6:$C$70,MATCH(LEFT(AH130,2),'Prior Multipliers'!$A$6:$A$70,0)),1))))</f>
        <v/>
      </c>
      <c r="CG130" s="49" t="str">
        <f>IF(CB130="","",IF(AND('Seasonal Tercile Tally'!$B$5=1,BT130="Rating-based"),CB130*CF130,CB130))</f>
        <v/>
      </c>
      <c r="CH130" s="47">
        <f t="shared" si="44"/>
        <v>0</v>
      </c>
      <c r="CI130" s="45"/>
      <c r="CJ130" s="42" t="str">
        <f t="shared" si="45"/>
        <v/>
      </c>
      <c r="CM130" s="42" t="str">
        <f t="shared" si="46"/>
        <v/>
      </c>
      <c r="CP130" s="46" t="str">
        <f t="shared" si="47"/>
        <v/>
      </c>
      <c r="CS130" s="46" t="str">
        <f t="shared" si="48"/>
        <v/>
      </c>
      <c r="CT130" s="42" t="str">
        <f t="shared" si="49"/>
        <v/>
      </c>
      <c r="CU130" s="42" t="str">
        <f t="shared" si="50"/>
        <v/>
      </c>
      <c r="CV130" s="42" t="str">
        <f t="shared" si="51"/>
        <v/>
      </c>
      <c r="DB130" s="45"/>
      <c r="DH130" s="42" t="str">
        <f t="shared" si="52"/>
        <v/>
      </c>
      <c r="DI130" s="43" t="str">
        <f t="shared" si="53"/>
        <v/>
      </c>
      <c r="DK130" s="46" t="str">
        <f t="shared" si="54"/>
        <v/>
      </c>
      <c r="DQ130" s="42" t="str">
        <f>IF(AH130="","",IFERROR(ROUND(100*('Weighting Options'!$D$7*IF(ISNUMBER(CA130),CA130/3,0)+'Weighting Options'!$D$8*MIN(N(BL130),3)/3+'Weighting Options'!$D$9*IF(AP130="Community/Plenary-endorsed",1,IF(AP130="FGD-validated only",0.75,IF(AP130="Sub-community-specific",0.5,IF(AP130="Provisional/emerging",0.25,0))))+'Weighting Options'!$D$10*IF(ISNUMBER(K130),K130/3,0)+'Weighting Options'!$D$11*IF(CC130="",0.5,IF(CC130="OK",1,0.25))+'Weighting Options'!$D$12*IF(DK130="",0.5,IF(DK130="Agrees",1,IF(DK130="Opposite",0,0.5)))+'Weighting Options'!$D$13*MIN(N(BG130),3)/3+'Weighting Options'!$D$14*IF(AE130=1,1,0))/SUM('Weighting Options'!$D$7:$D$14),0),""))</f>
        <v/>
      </c>
      <c r="DR130" s="44" t="str">
        <f>IF(AH130="","",IFERROR(INDEX('Weighting Options'!$D$20:$D$27,VALUE(LEFT(TRIM(BU130),1))),1))</f>
        <v/>
      </c>
      <c r="DS130" s="44" t="str">
        <f t="shared" si="55"/>
        <v/>
      </c>
      <c r="DT130" s="42" t="str">
        <f>IF(AH130="","",IF(COUNTIFS($AH$12:AH130,AH130,$AI$12:AI130,AI130,$AM$12:AM130,AM130)=1,1,0))</f>
        <v/>
      </c>
    </row>
    <row r="131" spans="16:124" ht="12.75" customHeight="1" x14ac:dyDescent="0.35">
      <c r="P131" s="41"/>
      <c r="Q131" s="41"/>
      <c r="R131" s="41"/>
      <c r="S131" s="41"/>
      <c r="AH131" s="40"/>
      <c r="AP131" s="40"/>
      <c r="AS131" s="41"/>
      <c r="AT131" s="41"/>
      <c r="AW131" t="str">
        <f t="shared" si="28"/>
        <v/>
      </c>
      <c r="AX131" t="str">
        <f t="shared" si="29"/>
        <v/>
      </c>
      <c r="AY131" t="str">
        <f t="shared" si="30"/>
        <v/>
      </c>
      <c r="AZ131" s="40"/>
      <c r="BL131" s="47" t="str">
        <f t="shared" si="31"/>
        <v/>
      </c>
      <c r="BM131" s="47" t="str">
        <f t="shared" si="32"/>
        <v/>
      </c>
      <c r="BN131" s="47" t="str">
        <f t="shared" si="33"/>
        <v/>
      </c>
      <c r="BO131" s="47" t="str">
        <f t="shared" si="34"/>
        <v/>
      </c>
      <c r="BP131" s="47" t="str">
        <f t="shared" si="35"/>
        <v/>
      </c>
      <c r="BQ131" s="48" t="str">
        <f t="shared" si="36"/>
        <v/>
      </c>
      <c r="BR131" s="48" t="str">
        <f t="shared" si="37"/>
        <v/>
      </c>
      <c r="BS131" s="48" t="str">
        <f t="shared" si="38"/>
        <v/>
      </c>
      <c r="BT131" s="47" t="str">
        <f t="shared" si="39"/>
        <v/>
      </c>
      <c r="CA131" s="47" t="str">
        <f t="shared" si="40"/>
        <v/>
      </c>
      <c r="CB131" s="47" t="str">
        <f t="shared" si="41"/>
        <v/>
      </c>
      <c r="CC131" s="47" t="str">
        <f t="shared" si="42"/>
        <v/>
      </c>
      <c r="CD131" s="47" t="str">
        <f t="shared" si="43"/>
        <v/>
      </c>
      <c r="CE131" s="47" t="str">
        <f>IF(AH131="","",IF(OR(AI131&lt;&gt;'Seasonal Tercile Tally'!$B$3,AM131&lt;&gt;'Seasonal Tercile Tally'!$B$4),"Other site/ season",IF(DT131=0,"Excluded: duplicate (later row)",IF(N131&lt;&gt;1,"Excluded: not sighted",IF(AC131&lt;&gt;1,"Excluded: not confirmed",IF(AD131&lt;&gt;1,"Excluded: not approved",IF(AP131="Contested","Excluded: contested",IF(OR(U131="",U131=0),"Excluded: no tercile",IF(CB131="","Counted (simple tally only — no weight)","Counted")))))))))</f>
        <v/>
      </c>
      <c r="CF131" s="49" t="str">
        <f>IF(AH131="","",IFERROR(INDEX('Prior Multipliers'!$C$6:$C$70,MATCH(LEFT(AH131,10),'Prior Multipliers'!$A$6:$A$70,0)),IFERROR(INDEX('Prior Multipliers'!$C$6:$C$70,MATCH(LEFT(AH131,6),'Prior Multipliers'!$A$6:$A$70,0)),IFERROR(INDEX('Prior Multipliers'!$C$6:$C$70,MATCH(LEFT(AH131,2),'Prior Multipliers'!$A$6:$A$70,0)),1))))</f>
        <v/>
      </c>
      <c r="CG131" s="49" t="str">
        <f>IF(CB131="","",IF(AND('Seasonal Tercile Tally'!$B$5=1,BT131="Rating-based"),CB131*CF131,CB131))</f>
        <v/>
      </c>
      <c r="CH131" s="47">
        <f t="shared" si="44"/>
        <v>0</v>
      </c>
      <c r="CI131" s="45"/>
      <c r="CJ131" s="42" t="str">
        <f t="shared" si="45"/>
        <v/>
      </c>
      <c r="CM131" s="42" t="str">
        <f t="shared" si="46"/>
        <v/>
      </c>
      <c r="CP131" s="46" t="str">
        <f t="shared" si="47"/>
        <v/>
      </c>
      <c r="CS131" s="46" t="str">
        <f t="shared" si="48"/>
        <v/>
      </c>
      <c r="CT131" s="42" t="str">
        <f t="shared" si="49"/>
        <v/>
      </c>
      <c r="CU131" s="42" t="str">
        <f t="shared" si="50"/>
        <v/>
      </c>
      <c r="CV131" s="42" t="str">
        <f t="shared" si="51"/>
        <v/>
      </c>
      <c r="DB131" s="45"/>
      <c r="DH131" s="42" t="str">
        <f t="shared" si="52"/>
        <v/>
      </c>
      <c r="DI131" s="43" t="str">
        <f t="shared" si="53"/>
        <v/>
      </c>
      <c r="DK131" s="46" t="str">
        <f t="shared" si="54"/>
        <v/>
      </c>
      <c r="DQ131" s="42" t="str">
        <f>IF(AH131="","",IFERROR(ROUND(100*('Weighting Options'!$D$7*IF(ISNUMBER(CA131),CA131/3,0)+'Weighting Options'!$D$8*MIN(N(BL131),3)/3+'Weighting Options'!$D$9*IF(AP131="Community/Plenary-endorsed",1,IF(AP131="FGD-validated only",0.75,IF(AP131="Sub-community-specific",0.5,IF(AP131="Provisional/emerging",0.25,0))))+'Weighting Options'!$D$10*IF(ISNUMBER(K131),K131/3,0)+'Weighting Options'!$D$11*IF(CC131="",0.5,IF(CC131="OK",1,0.25))+'Weighting Options'!$D$12*IF(DK131="",0.5,IF(DK131="Agrees",1,IF(DK131="Opposite",0,0.5)))+'Weighting Options'!$D$13*MIN(N(BG131),3)/3+'Weighting Options'!$D$14*IF(AE131=1,1,0))/SUM('Weighting Options'!$D$7:$D$14),0),""))</f>
        <v/>
      </c>
      <c r="DR131" s="44" t="str">
        <f>IF(AH131="","",IFERROR(INDEX('Weighting Options'!$D$20:$D$27,VALUE(LEFT(TRIM(BU131),1))),1))</f>
        <v/>
      </c>
      <c r="DS131" s="44" t="str">
        <f t="shared" si="55"/>
        <v/>
      </c>
      <c r="DT131" s="42" t="str">
        <f>IF(AH131="","",IF(COUNTIFS($AH$12:AH131,AH131,$AI$12:AI131,AI131,$AM$12:AM131,AM131)=1,1,0))</f>
        <v/>
      </c>
    </row>
    <row r="132" spans="16:124" ht="12.75" customHeight="1" x14ac:dyDescent="0.35">
      <c r="P132" s="41"/>
      <c r="Q132" s="41"/>
      <c r="R132" s="41"/>
      <c r="S132" s="41"/>
      <c r="AH132" s="40"/>
      <c r="AP132" s="40"/>
      <c r="AS132" s="41"/>
      <c r="AT132" s="41"/>
      <c r="AW132" t="str">
        <f t="shared" si="28"/>
        <v/>
      </c>
      <c r="AX132" t="str">
        <f t="shared" si="29"/>
        <v/>
      </c>
      <c r="AY132" t="str">
        <f t="shared" si="30"/>
        <v/>
      </c>
      <c r="AZ132" s="40"/>
      <c r="BL132" s="47" t="str">
        <f t="shared" si="31"/>
        <v/>
      </c>
      <c r="BM132" s="47" t="str">
        <f t="shared" si="32"/>
        <v/>
      </c>
      <c r="BN132" s="47" t="str">
        <f t="shared" si="33"/>
        <v/>
      </c>
      <c r="BO132" s="47" t="str">
        <f t="shared" si="34"/>
        <v/>
      </c>
      <c r="BP132" s="47" t="str">
        <f t="shared" si="35"/>
        <v/>
      </c>
      <c r="BQ132" s="48" t="str">
        <f t="shared" si="36"/>
        <v/>
      </c>
      <c r="BR132" s="48" t="str">
        <f t="shared" si="37"/>
        <v/>
      </c>
      <c r="BS132" s="48" t="str">
        <f t="shared" si="38"/>
        <v/>
      </c>
      <c r="BT132" s="47" t="str">
        <f t="shared" si="39"/>
        <v/>
      </c>
      <c r="CA132" s="47" t="str">
        <f t="shared" si="40"/>
        <v/>
      </c>
      <c r="CB132" s="47" t="str">
        <f t="shared" si="41"/>
        <v/>
      </c>
      <c r="CC132" s="47" t="str">
        <f t="shared" si="42"/>
        <v/>
      </c>
      <c r="CD132" s="47" t="str">
        <f t="shared" si="43"/>
        <v/>
      </c>
      <c r="CE132" s="47" t="str">
        <f>IF(AH132="","",IF(OR(AI132&lt;&gt;'Seasonal Tercile Tally'!$B$3,AM132&lt;&gt;'Seasonal Tercile Tally'!$B$4),"Other site/ season",IF(DT132=0,"Excluded: duplicate (later row)",IF(N132&lt;&gt;1,"Excluded: not sighted",IF(AC132&lt;&gt;1,"Excluded: not confirmed",IF(AD132&lt;&gt;1,"Excluded: not approved",IF(AP132="Contested","Excluded: contested",IF(OR(U132="",U132=0),"Excluded: no tercile",IF(CB132="","Counted (simple tally only — no weight)","Counted")))))))))</f>
        <v/>
      </c>
      <c r="CF132" s="49" t="str">
        <f>IF(AH132="","",IFERROR(INDEX('Prior Multipliers'!$C$6:$C$70,MATCH(LEFT(AH132,10),'Prior Multipliers'!$A$6:$A$70,0)),IFERROR(INDEX('Prior Multipliers'!$C$6:$C$70,MATCH(LEFT(AH132,6),'Prior Multipliers'!$A$6:$A$70,0)),IFERROR(INDEX('Prior Multipliers'!$C$6:$C$70,MATCH(LEFT(AH132,2),'Prior Multipliers'!$A$6:$A$70,0)),1))))</f>
        <v/>
      </c>
      <c r="CG132" s="49" t="str">
        <f>IF(CB132="","",IF(AND('Seasonal Tercile Tally'!$B$5=1,BT132="Rating-based"),CB132*CF132,CB132))</f>
        <v/>
      </c>
      <c r="CH132" s="47">
        <f t="shared" si="44"/>
        <v>0</v>
      </c>
      <c r="CI132" s="45"/>
      <c r="CJ132" s="42" t="str">
        <f t="shared" si="45"/>
        <v/>
      </c>
      <c r="CM132" s="42" t="str">
        <f t="shared" si="46"/>
        <v/>
      </c>
      <c r="CP132" s="46" t="str">
        <f t="shared" si="47"/>
        <v/>
      </c>
      <c r="CS132" s="46" t="str">
        <f t="shared" si="48"/>
        <v/>
      </c>
      <c r="CT132" s="42" t="str">
        <f t="shared" si="49"/>
        <v/>
      </c>
      <c r="CU132" s="42" t="str">
        <f t="shared" si="50"/>
        <v/>
      </c>
      <c r="CV132" s="42" t="str">
        <f t="shared" si="51"/>
        <v/>
      </c>
      <c r="DB132" s="45"/>
      <c r="DH132" s="42" t="str">
        <f t="shared" si="52"/>
        <v/>
      </c>
      <c r="DI132" s="43" t="str">
        <f t="shared" si="53"/>
        <v/>
      </c>
      <c r="DK132" s="46" t="str">
        <f t="shared" si="54"/>
        <v/>
      </c>
      <c r="DQ132" s="42" t="str">
        <f>IF(AH132="","",IFERROR(ROUND(100*('Weighting Options'!$D$7*IF(ISNUMBER(CA132),CA132/3,0)+'Weighting Options'!$D$8*MIN(N(BL132),3)/3+'Weighting Options'!$D$9*IF(AP132="Community/Plenary-endorsed",1,IF(AP132="FGD-validated only",0.75,IF(AP132="Sub-community-specific",0.5,IF(AP132="Provisional/emerging",0.25,0))))+'Weighting Options'!$D$10*IF(ISNUMBER(K132),K132/3,0)+'Weighting Options'!$D$11*IF(CC132="",0.5,IF(CC132="OK",1,0.25))+'Weighting Options'!$D$12*IF(DK132="",0.5,IF(DK132="Agrees",1,IF(DK132="Opposite",0,0.5)))+'Weighting Options'!$D$13*MIN(N(BG132),3)/3+'Weighting Options'!$D$14*IF(AE132=1,1,0))/SUM('Weighting Options'!$D$7:$D$14),0),""))</f>
        <v/>
      </c>
      <c r="DR132" s="44" t="str">
        <f>IF(AH132="","",IFERROR(INDEX('Weighting Options'!$D$20:$D$27,VALUE(LEFT(TRIM(BU132),1))),1))</f>
        <v/>
      </c>
      <c r="DS132" s="44" t="str">
        <f t="shared" si="55"/>
        <v/>
      </c>
      <c r="DT132" s="42" t="str">
        <f>IF(AH132="","",IF(COUNTIFS($AH$12:AH132,AH132,$AI$12:AI132,AI132,$AM$12:AM132,AM132)=1,1,0))</f>
        <v/>
      </c>
    </row>
    <row r="133" spans="16:124" ht="12.75" customHeight="1" x14ac:dyDescent="0.35">
      <c r="P133" s="41"/>
      <c r="Q133" s="41"/>
      <c r="R133" s="41"/>
      <c r="S133" s="41"/>
      <c r="AH133" s="40"/>
      <c r="AP133" s="40"/>
      <c r="AS133" s="41"/>
      <c r="AT133" s="41"/>
      <c r="AW133" t="str">
        <f t="shared" si="28"/>
        <v/>
      </c>
      <c r="AX133" t="str">
        <f t="shared" si="29"/>
        <v/>
      </c>
      <c r="AY133" t="str">
        <f t="shared" si="30"/>
        <v/>
      </c>
      <c r="AZ133" s="40"/>
      <c r="BL133" s="47" t="str">
        <f t="shared" si="31"/>
        <v/>
      </c>
      <c r="BM133" s="47" t="str">
        <f t="shared" si="32"/>
        <v/>
      </c>
      <c r="BN133" s="47" t="str">
        <f t="shared" si="33"/>
        <v/>
      </c>
      <c r="BO133" s="47" t="str">
        <f t="shared" si="34"/>
        <v/>
      </c>
      <c r="BP133" s="47" t="str">
        <f t="shared" si="35"/>
        <v/>
      </c>
      <c r="BQ133" s="48" t="str">
        <f t="shared" si="36"/>
        <v/>
      </c>
      <c r="BR133" s="48" t="str">
        <f t="shared" si="37"/>
        <v/>
      </c>
      <c r="BS133" s="48" t="str">
        <f t="shared" si="38"/>
        <v/>
      </c>
      <c r="BT133" s="47" t="str">
        <f t="shared" si="39"/>
        <v/>
      </c>
      <c r="CA133" s="47" t="str">
        <f t="shared" si="40"/>
        <v/>
      </c>
      <c r="CB133" s="47" t="str">
        <f t="shared" si="41"/>
        <v/>
      </c>
      <c r="CC133" s="47" t="str">
        <f t="shared" si="42"/>
        <v/>
      </c>
      <c r="CD133" s="47" t="str">
        <f t="shared" si="43"/>
        <v/>
      </c>
      <c r="CE133" s="47" t="str">
        <f>IF(AH133="","",IF(OR(AI133&lt;&gt;'Seasonal Tercile Tally'!$B$3,AM133&lt;&gt;'Seasonal Tercile Tally'!$B$4),"Other site/ season",IF(DT133=0,"Excluded: duplicate (later row)",IF(N133&lt;&gt;1,"Excluded: not sighted",IF(AC133&lt;&gt;1,"Excluded: not confirmed",IF(AD133&lt;&gt;1,"Excluded: not approved",IF(AP133="Contested","Excluded: contested",IF(OR(U133="",U133=0),"Excluded: no tercile",IF(CB133="","Counted (simple tally only — no weight)","Counted")))))))))</f>
        <v/>
      </c>
      <c r="CF133" s="49" t="str">
        <f>IF(AH133="","",IFERROR(INDEX('Prior Multipliers'!$C$6:$C$70,MATCH(LEFT(AH133,10),'Prior Multipliers'!$A$6:$A$70,0)),IFERROR(INDEX('Prior Multipliers'!$C$6:$C$70,MATCH(LEFT(AH133,6),'Prior Multipliers'!$A$6:$A$70,0)),IFERROR(INDEX('Prior Multipliers'!$C$6:$C$70,MATCH(LEFT(AH133,2),'Prior Multipliers'!$A$6:$A$70,0)),1))))</f>
        <v/>
      </c>
      <c r="CG133" s="49" t="str">
        <f>IF(CB133="","",IF(AND('Seasonal Tercile Tally'!$B$5=1,BT133="Rating-based"),CB133*CF133,CB133))</f>
        <v/>
      </c>
      <c r="CH133" s="47">
        <f t="shared" si="44"/>
        <v>0</v>
      </c>
      <c r="CI133" s="45"/>
      <c r="CJ133" s="42" t="str">
        <f t="shared" si="45"/>
        <v/>
      </c>
      <c r="CM133" s="42" t="str">
        <f t="shared" si="46"/>
        <v/>
      </c>
      <c r="CP133" s="46" t="str">
        <f t="shared" si="47"/>
        <v/>
      </c>
      <c r="CS133" s="46" t="str">
        <f t="shared" si="48"/>
        <v/>
      </c>
      <c r="CT133" s="42" t="str">
        <f t="shared" si="49"/>
        <v/>
      </c>
      <c r="CU133" s="42" t="str">
        <f t="shared" si="50"/>
        <v/>
      </c>
      <c r="CV133" s="42" t="str">
        <f t="shared" si="51"/>
        <v/>
      </c>
      <c r="DB133" s="45"/>
      <c r="DH133" s="42" t="str">
        <f t="shared" si="52"/>
        <v/>
      </c>
      <c r="DI133" s="43" t="str">
        <f t="shared" si="53"/>
        <v/>
      </c>
      <c r="DK133" s="46" t="str">
        <f t="shared" si="54"/>
        <v/>
      </c>
      <c r="DQ133" s="42" t="str">
        <f>IF(AH133="","",IFERROR(ROUND(100*('Weighting Options'!$D$7*IF(ISNUMBER(CA133),CA133/3,0)+'Weighting Options'!$D$8*MIN(N(BL133),3)/3+'Weighting Options'!$D$9*IF(AP133="Community/Plenary-endorsed",1,IF(AP133="FGD-validated only",0.75,IF(AP133="Sub-community-specific",0.5,IF(AP133="Provisional/emerging",0.25,0))))+'Weighting Options'!$D$10*IF(ISNUMBER(K133),K133/3,0)+'Weighting Options'!$D$11*IF(CC133="",0.5,IF(CC133="OK",1,0.25))+'Weighting Options'!$D$12*IF(DK133="",0.5,IF(DK133="Agrees",1,IF(DK133="Opposite",0,0.5)))+'Weighting Options'!$D$13*MIN(N(BG133),3)/3+'Weighting Options'!$D$14*IF(AE133=1,1,0))/SUM('Weighting Options'!$D$7:$D$14),0),""))</f>
        <v/>
      </c>
      <c r="DR133" s="44" t="str">
        <f>IF(AH133="","",IFERROR(INDEX('Weighting Options'!$D$20:$D$27,VALUE(LEFT(TRIM(BU133),1))),1))</f>
        <v/>
      </c>
      <c r="DS133" s="44" t="str">
        <f t="shared" si="55"/>
        <v/>
      </c>
      <c r="DT133" s="42" t="str">
        <f>IF(AH133="","",IF(COUNTIFS($AH$12:AH133,AH133,$AI$12:AI133,AI133,$AM$12:AM133,AM133)=1,1,0))</f>
        <v/>
      </c>
    </row>
    <row r="134" spans="16:124" ht="12.75" customHeight="1" x14ac:dyDescent="0.35">
      <c r="P134" s="41"/>
      <c r="Q134" s="41"/>
      <c r="R134" s="41"/>
      <c r="S134" s="41"/>
      <c r="AH134" s="40"/>
      <c r="AP134" s="40"/>
      <c r="AS134" s="41"/>
      <c r="AT134" s="41"/>
      <c r="AW134" t="str">
        <f t="shared" si="28"/>
        <v/>
      </c>
      <c r="AX134" t="str">
        <f t="shared" si="29"/>
        <v/>
      </c>
      <c r="AY134" t="str">
        <f t="shared" si="30"/>
        <v/>
      </c>
      <c r="AZ134" s="40"/>
      <c r="BL134" s="47" t="str">
        <f t="shared" si="31"/>
        <v/>
      </c>
      <c r="BM134" s="47" t="str">
        <f t="shared" si="32"/>
        <v/>
      </c>
      <c r="BN134" s="47" t="str">
        <f t="shared" si="33"/>
        <v/>
      </c>
      <c r="BO134" s="47" t="str">
        <f t="shared" si="34"/>
        <v/>
      </c>
      <c r="BP134" s="47" t="str">
        <f t="shared" si="35"/>
        <v/>
      </c>
      <c r="BQ134" s="48" t="str">
        <f t="shared" si="36"/>
        <v/>
      </c>
      <c r="BR134" s="48" t="str">
        <f t="shared" si="37"/>
        <v/>
      </c>
      <c r="BS134" s="48" t="str">
        <f t="shared" si="38"/>
        <v/>
      </c>
      <c r="BT134" s="47" t="str">
        <f t="shared" si="39"/>
        <v/>
      </c>
      <c r="CA134" s="47" t="str">
        <f t="shared" si="40"/>
        <v/>
      </c>
      <c r="CB134" s="47" t="str">
        <f t="shared" si="41"/>
        <v/>
      </c>
      <c r="CC134" s="47" t="str">
        <f t="shared" si="42"/>
        <v/>
      </c>
      <c r="CD134" s="47" t="str">
        <f t="shared" si="43"/>
        <v/>
      </c>
      <c r="CE134" s="47" t="str">
        <f>IF(AH134="","",IF(OR(AI134&lt;&gt;'Seasonal Tercile Tally'!$B$3,AM134&lt;&gt;'Seasonal Tercile Tally'!$B$4),"Other site/ season",IF(DT134=0,"Excluded: duplicate (later row)",IF(N134&lt;&gt;1,"Excluded: not sighted",IF(AC134&lt;&gt;1,"Excluded: not confirmed",IF(AD134&lt;&gt;1,"Excluded: not approved",IF(AP134="Contested","Excluded: contested",IF(OR(U134="",U134=0),"Excluded: no tercile",IF(CB134="","Counted (simple tally only — no weight)","Counted")))))))))</f>
        <v/>
      </c>
      <c r="CF134" s="49" t="str">
        <f>IF(AH134="","",IFERROR(INDEX('Prior Multipliers'!$C$6:$C$70,MATCH(LEFT(AH134,10),'Prior Multipliers'!$A$6:$A$70,0)),IFERROR(INDEX('Prior Multipliers'!$C$6:$C$70,MATCH(LEFT(AH134,6),'Prior Multipliers'!$A$6:$A$70,0)),IFERROR(INDEX('Prior Multipliers'!$C$6:$C$70,MATCH(LEFT(AH134,2),'Prior Multipliers'!$A$6:$A$70,0)),1))))</f>
        <v/>
      </c>
      <c r="CG134" s="49" t="str">
        <f>IF(CB134="","",IF(AND('Seasonal Tercile Tally'!$B$5=1,BT134="Rating-based"),CB134*CF134,CB134))</f>
        <v/>
      </c>
      <c r="CH134" s="47">
        <f t="shared" si="44"/>
        <v>0</v>
      </c>
      <c r="CI134" s="45"/>
      <c r="CJ134" s="42" t="str">
        <f t="shared" si="45"/>
        <v/>
      </c>
      <c r="CM134" s="42" t="str">
        <f t="shared" si="46"/>
        <v/>
      </c>
      <c r="CP134" s="46" t="str">
        <f t="shared" si="47"/>
        <v/>
      </c>
      <c r="CS134" s="46" t="str">
        <f t="shared" si="48"/>
        <v/>
      </c>
      <c r="CT134" s="42" t="str">
        <f t="shared" si="49"/>
        <v/>
      </c>
      <c r="CU134" s="42" t="str">
        <f t="shared" si="50"/>
        <v/>
      </c>
      <c r="CV134" s="42" t="str">
        <f t="shared" si="51"/>
        <v/>
      </c>
      <c r="DB134" s="45"/>
      <c r="DH134" s="42" t="str">
        <f t="shared" si="52"/>
        <v/>
      </c>
      <c r="DI134" s="43" t="str">
        <f t="shared" si="53"/>
        <v/>
      </c>
      <c r="DK134" s="46" t="str">
        <f t="shared" si="54"/>
        <v/>
      </c>
      <c r="DQ134" s="42" t="str">
        <f>IF(AH134="","",IFERROR(ROUND(100*('Weighting Options'!$D$7*IF(ISNUMBER(CA134),CA134/3,0)+'Weighting Options'!$D$8*MIN(N(BL134),3)/3+'Weighting Options'!$D$9*IF(AP134="Community/Plenary-endorsed",1,IF(AP134="FGD-validated only",0.75,IF(AP134="Sub-community-specific",0.5,IF(AP134="Provisional/emerging",0.25,0))))+'Weighting Options'!$D$10*IF(ISNUMBER(K134),K134/3,0)+'Weighting Options'!$D$11*IF(CC134="",0.5,IF(CC134="OK",1,0.25))+'Weighting Options'!$D$12*IF(DK134="",0.5,IF(DK134="Agrees",1,IF(DK134="Opposite",0,0.5)))+'Weighting Options'!$D$13*MIN(N(BG134),3)/3+'Weighting Options'!$D$14*IF(AE134=1,1,0))/SUM('Weighting Options'!$D$7:$D$14),0),""))</f>
        <v/>
      </c>
      <c r="DR134" s="44" t="str">
        <f>IF(AH134="","",IFERROR(INDEX('Weighting Options'!$D$20:$D$27,VALUE(LEFT(TRIM(BU134),1))),1))</f>
        <v/>
      </c>
      <c r="DS134" s="44" t="str">
        <f t="shared" si="55"/>
        <v/>
      </c>
      <c r="DT134" s="42" t="str">
        <f>IF(AH134="","",IF(COUNTIFS($AH$12:AH134,AH134,$AI$12:AI134,AI134,$AM$12:AM134,AM134)=1,1,0))</f>
        <v/>
      </c>
    </row>
    <row r="135" spans="16:124" ht="12.75" customHeight="1" x14ac:dyDescent="0.35">
      <c r="P135" s="41"/>
      <c r="Q135" s="41"/>
      <c r="R135" s="41"/>
      <c r="S135" s="41"/>
      <c r="AH135" s="40"/>
      <c r="AP135" s="40"/>
      <c r="AS135" s="41"/>
      <c r="AT135" s="41"/>
      <c r="AW135" t="str">
        <f t="shared" si="28"/>
        <v/>
      </c>
      <c r="AX135" t="str">
        <f t="shared" si="29"/>
        <v/>
      </c>
      <c r="AY135" t="str">
        <f t="shared" si="30"/>
        <v/>
      </c>
      <c r="AZ135" s="40"/>
      <c r="BL135" s="47" t="str">
        <f t="shared" si="31"/>
        <v/>
      </c>
      <c r="BM135" s="47" t="str">
        <f t="shared" si="32"/>
        <v/>
      </c>
      <c r="BN135" s="47" t="str">
        <f t="shared" si="33"/>
        <v/>
      </c>
      <c r="BO135" s="47" t="str">
        <f t="shared" si="34"/>
        <v/>
      </c>
      <c r="BP135" s="47" t="str">
        <f t="shared" si="35"/>
        <v/>
      </c>
      <c r="BQ135" s="48" t="str">
        <f t="shared" si="36"/>
        <v/>
      </c>
      <c r="BR135" s="48" t="str">
        <f t="shared" si="37"/>
        <v/>
      </c>
      <c r="BS135" s="48" t="str">
        <f t="shared" si="38"/>
        <v/>
      </c>
      <c r="BT135" s="47" t="str">
        <f t="shared" si="39"/>
        <v/>
      </c>
      <c r="CA135" s="47" t="str">
        <f t="shared" si="40"/>
        <v/>
      </c>
      <c r="CB135" s="47" t="str">
        <f t="shared" si="41"/>
        <v/>
      </c>
      <c r="CC135" s="47" t="str">
        <f t="shared" si="42"/>
        <v/>
      </c>
      <c r="CD135" s="47" t="str">
        <f t="shared" si="43"/>
        <v/>
      </c>
      <c r="CE135" s="47" t="str">
        <f>IF(AH135="","",IF(OR(AI135&lt;&gt;'Seasonal Tercile Tally'!$B$3,AM135&lt;&gt;'Seasonal Tercile Tally'!$B$4),"Other site/ season",IF(DT135=0,"Excluded: duplicate (later row)",IF(N135&lt;&gt;1,"Excluded: not sighted",IF(AC135&lt;&gt;1,"Excluded: not confirmed",IF(AD135&lt;&gt;1,"Excluded: not approved",IF(AP135="Contested","Excluded: contested",IF(OR(U135="",U135=0),"Excluded: no tercile",IF(CB135="","Counted (simple tally only — no weight)","Counted")))))))))</f>
        <v/>
      </c>
      <c r="CF135" s="49" t="str">
        <f>IF(AH135="","",IFERROR(INDEX('Prior Multipliers'!$C$6:$C$70,MATCH(LEFT(AH135,10),'Prior Multipliers'!$A$6:$A$70,0)),IFERROR(INDEX('Prior Multipliers'!$C$6:$C$70,MATCH(LEFT(AH135,6),'Prior Multipliers'!$A$6:$A$70,0)),IFERROR(INDEX('Prior Multipliers'!$C$6:$C$70,MATCH(LEFT(AH135,2),'Prior Multipliers'!$A$6:$A$70,0)),1))))</f>
        <v/>
      </c>
      <c r="CG135" s="49" t="str">
        <f>IF(CB135="","",IF(AND('Seasonal Tercile Tally'!$B$5=1,BT135="Rating-based"),CB135*CF135,CB135))</f>
        <v/>
      </c>
      <c r="CH135" s="47">
        <f t="shared" si="44"/>
        <v>0</v>
      </c>
      <c r="CI135" s="45"/>
      <c r="CJ135" s="42" t="str">
        <f t="shared" si="45"/>
        <v/>
      </c>
      <c r="CM135" s="42" t="str">
        <f t="shared" si="46"/>
        <v/>
      </c>
      <c r="CP135" s="46" t="str">
        <f t="shared" si="47"/>
        <v/>
      </c>
      <c r="CS135" s="46" t="str">
        <f t="shared" si="48"/>
        <v/>
      </c>
      <c r="CT135" s="42" t="str">
        <f t="shared" si="49"/>
        <v/>
      </c>
      <c r="CU135" s="42" t="str">
        <f t="shared" si="50"/>
        <v/>
      </c>
      <c r="CV135" s="42" t="str">
        <f t="shared" si="51"/>
        <v/>
      </c>
      <c r="DB135" s="45"/>
      <c r="DH135" s="42" t="str">
        <f t="shared" si="52"/>
        <v/>
      </c>
      <c r="DI135" s="43" t="str">
        <f t="shared" si="53"/>
        <v/>
      </c>
      <c r="DK135" s="46" t="str">
        <f t="shared" si="54"/>
        <v/>
      </c>
      <c r="DQ135" s="42" t="str">
        <f>IF(AH135="","",IFERROR(ROUND(100*('Weighting Options'!$D$7*IF(ISNUMBER(CA135),CA135/3,0)+'Weighting Options'!$D$8*MIN(N(BL135),3)/3+'Weighting Options'!$D$9*IF(AP135="Community/Plenary-endorsed",1,IF(AP135="FGD-validated only",0.75,IF(AP135="Sub-community-specific",0.5,IF(AP135="Provisional/emerging",0.25,0))))+'Weighting Options'!$D$10*IF(ISNUMBER(K135),K135/3,0)+'Weighting Options'!$D$11*IF(CC135="",0.5,IF(CC135="OK",1,0.25))+'Weighting Options'!$D$12*IF(DK135="",0.5,IF(DK135="Agrees",1,IF(DK135="Opposite",0,0.5)))+'Weighting Options'!$D$13*MIN(N(BG135),3)/3+'Weighting Options'!$D$14*IF(AE135=1,1,0))/SUM('Weighting Options'!$D$7:$D$14),0),""))</f>
        <v/>
      </c>
      <c r="DR135" s="44" t="str">
        <f>IF(AH135="","",IFERROR(INDEX('Weighting Options'!$D$20:$D$27,VALUE(LEFT(TRIM(BU135),1))),1))</f>
        <v/>
      </c>
      <c r="DS135" s="44" t="str">
        <f t="shared" si="55"/>
        <v/>
      </c>
      <c r="DT135" s="42" t="str">
        <f>IF(AH135="","",IF(COUNTIFS($AH$12:AH135,AH135,$AI$12:AI135,AI135,$AM$12:AM135,AM135)=1,1,0))</f>
        <v/>
      </c>
    </row>
    <row r="136" spans="16:124" ht="12.75" customHeight="1" x14ac:dyDescent="0.35">
      <c r="P136" s="41"/>
      <c r="Q136" s="41"/>
      <c r="R136" s="41"/>
      <c r="S136" s="41"/>
      <c r="AH136" s="40"/>
      <c r="AP136" s="40"/>
      <c r="AS136" s="41"/>
      <c r="AT136" s="41"/>
      <c r="AW136" t="str">
        <f t="shared" si="28"/>
        <v/>
      </c>
      <c r="AX136" t="str">
        <f t="shared" si="29"/>
        <v/>
      </c>
      <c r="AY136" t="str">
        <f t="shared" si="30"/>
        <v/>
      </c>
      <c r="AZ136" s="40"/>
      <c r="BL136" s="47" t="str">
        <f t="shared" si="31"/>
        <v/>
      </c>
      <c r="BM136" s="47" t="str">
        <f t="shared" si="32"/>
        <v/>
      </c>
      <c r="BN136" s="47" t="str">
        <f t="shared" si="33"/>
        <v/>
      </c>
      <c r="BO136" s="47" t="str">
        <f t="shared" si="34"/>
        <v/>
      </c>
      <c r="BP136" s="47" t="str">
        <f t="shared" si="35"/>
        <v/>
      </c>
      <c r="BQ136" s="48" t="str">
        <f t="shared" si="36"/>
        <v/>
      </c>
      <c r="BR136" s="48" t="str">
        <f t="shared" si="37"/>
        <v/>
      </c>
      <c r="BS136" s="48" t="str">
        <f t="shared" si="38"/>
        <v/>
      </c>
      <c r="BT136" s="47" t="str">
        <f t="shared" si="39"/>
        <v/>
      </c>
      <c r="CA136" s="47" t="str">
        <f t="shared" si="40"/>
        <v/>
      </c>
      <c r="CB136" s="47" t="str">
        <f t="shared" si="41"/>
        <v/>
      </c>
      <c r="CC136" s="47" t="str">
        <f t="shared" si="42"/>
        <v/>
      </c>
      <c r="CD136" s="47" t="str">
        <f t="shared" si="43"/>
        <v/>
      </c>
      <c r="CE136" s="47" t="str">
        <f>IF(AH136="","",IF(OR(AI136&lt;&gt;'Seasonal Tercile Tally'!$B$3,AM136&lt;&gt;'Seasonal Tercile Tally'!$B$4),"Other site/ season",IF(DT136=0,"Excluded: duplicate (later row)",IF(N136&lt;&gt;1,"Excluded: not sighted",IF(AC136&lt;&gt;1,"Excluded: not confirmed",IF(AD136&lt;&gt;1,"Excluded: not approved",IF(AP136="Contested","Excluded: contested",IF(OR(U136="",U136=0),"Excluded: no tercile",IF(CB136="","Counted (simple tally only — no weight)","Counted")))))))))</f>
        <v/>
      </c>
      <c r="CF136" s="49" t="str">
        <f>IF(AH136="","",IFERROR(INDEX('Prior Multipliers'!$C$6:$C$70,MATCH(LEFT(AH136,10),'Prior Multipliers'!$A$6:$A$70,0)),IFERROR(INDEX('Prior Multipliers'!$C$6:$C$70,MATCH(LEFT(AH136,6),'Prior Multipliers'!$A$6:$A$70,0)),IFERROR(INDEX('Prior Multipliers'!$C$6:$C$70,MATCH(LEFT(AH136,2),'Prior Multipliers'!$A$6:$A$70,0)),1))))</f>
        <v/>
      </c>
      <c r="CG136" s="49" t="str">
        <f>IF(CB136="","",IF(AND('Seasonal Tercile Tally'!$B$5=1,BT136="Rating-based"),CB136*CF136,CB136))</f>
        <v/>
      </c>
      <c r="CH136" s="47">
        <f t="shared" si="44"/>
        <v>0</v>
      </c>
      <c r="CI136" s="45"/>
      <c r="CJ136" s="42" t="str">
        <f t="shared" si="45"/>
        <v/>
      </c>
      <c r="CM136" s="42" t="str">
        <f t="shared" si="46"/>
        <v/>
      </c>
      <c r="CP136" s="46" t="str">
        <f t="shared" si="47"/>
        <v/>
      </c>
      <c r="CS136" s="46" t="str">
        <f t="shared" si="48"/>
        <v/>
      </c>
      <c r="CT136" s="42" t="str">
        <f t="shared" si="49"/>
        <v/>
      </c>
      <c r="CU136" s="42" t="str">
        <f t="shared" si="50"/>
        <v/>
      </c>
      <c r="CV136" s="42" t="str">
        <f t="shared" si="51"/>
        <v/>
      </c>
      <c r="DB136" s="45"/>
      <c r="DH136" s="42" t="str">
        <f t="shared" si="52"/>
        <v/>
      </c>
      <c r="DI136" s="43" t="str">
        <f t="shared" si="53"/>
        <v/>
      </c>
      <c r="DK136" s="46" t="str">
        <f t="shared" si="54"/>
        <v/>
      </c>
      <c r="DQ136" s="42" t="str">
        <f>IF(AH136="","",IFERROR(ROUND(100*('Weighting Options'!$D$7*IF(ISNUMBER(CA136),CA136/3,0)+'Weighting Options'!$D$8*MIN(N(BL136),3)/3+'Weighting Options'!$D$9*IF(AP136="Community/Plenary-endorsed",1,IF(AP136="FGD-validated only",0.75,IF(AP136="Sub-community-specific",0.5,IF(AP136="Provisional/emerging",0.25,0))))+'Weighting Options'!$D$10*IF(ISNUMBER(K136),K136/3,0)+'Weighting Options'!$D$11*IF(CC136="",0.5,IF(CC136="OK",1,0.25))+'Weighting Options'!$D$12*IF(DK136="",0.5,IF(DK136="Agrees",1,IF(DK136="Opposite",0,0.5)))+'Weighting Options'!$D$13*MIN(N(BG136),3)/3+'Weighting Options'!$D$14*IF(AE136=1,1,0))/SUM('Weighting Options'!$D$7:$D$14),0),""))</f>
        <v/>
      </c>
      <c r="DR136" s="44" t="str">
        <f>IF(AH136="","",IFERROR(INDEX('Weighting Options'!$D$20:$D$27,VALUE(LEFT(TRIM(BU136),1))),1))</f>
        <v/>
      </c>
      <c r="DS136" s="44" t="str">
        <f t="shared" si="55"/>
        <v/>
      </c>
      <c r="DT136" s="42" t="str">
        <f>IF(AH136="","",IF(COUNTIFS($AH$12:AH136,AH136,$AI$12:AI136,AI136,$AM$12:AM136,AM136)=1,1,0))</f>
        <v/>
      </c>
    </row>
    <row r="137" spans="16:124" ht="12.75" customHeight="1" x14ac:dyDescent="0.35">
      <c r="P137" s="41"/>
      <c r="Q137" s="41"/>
      <c r="R137" s="41"/>
      <c r="S137" s="41"/>
      <c r="AH137" s="40"/>
      <c r="AP137" s="40"/>
      <c r="AS137" s="41"/>
      <c r="AT137" s="41"/>
      <c r="AW137" t="str">
        <f t="shared" si="28"/>
        <v/>
      </c>
      <c r="AX137" t="str">
        <f t="shared" si="29"/>
        <v/>
      </c>
      <c r="AY137" t="str">
        <f t="shared" si="30"/>
        <v/>
      </c>
      <c r="AZ137" s="40"/>
      <c r="BL137" s="47" t="str">
        <f t="shared" si="31"/>
        <v/>
      </c>
      <c r="BM137" s="47" t="str">
        <f t="shared" si="32"/>
        <v/>
      </c>
      <c r="BN137" s="47" t="str">
        <f t="shared" si="33"/>
        <v/>
      </c>
      <c r="BO137" s="47" t="str">
        <f t="shared" si="34"/>
        <v/>
      </c>
      <c r="BP137" s="47" t="str">
        <f t="shared" si="35"/>
        <v/>
      </c>
      <c r="BQ137" s="48" t="str">
        <f t="shared" si="36"/>
        <v/>
      </c>
      <c r="BR137" s="48" t="str">
        <f t="shared" si="37"/>
        <v/>
      </c>
      <c r="BS137" s="48" t="str">
        <f t="shared" si="38"/>
        <v/>
      </c>
      <c r="BT137" s="47" t="str">
        <f t="shared" si="39"/>
        <v/>
      </c>
      <c r="CA137" s="47" t="str">
        <f t="shared" si="40"/>
        <v/>
      </c>
      <c r="CB137" s="47" t="str">
        <f t="shared" si="41"/>
        <v/>
      </c>
      <c r="CC137" s="47" t="str">
        <f t="shared" si="42"/>
        <v/>
      </c>
      <c r="CD137" s="47" t="str">
        <f t="shared" si="43"/>
        <v/>
      </c>
      <c r="CE137" s="47" t="str">
        <f>IF(AH137="","",IF(OR(AI137&lt;&gt;'Seasonal Tercile Tally'!$B$3,AM137&lt;&gt;'Seasonal Tercile Tally'!$B$4),"Other site/ season",IF(DT137=0,"Excluded: duplicate (later row)",IF(N137&lt;&gt;1,"Excluded: not sighted",IF(AC137&lt;&gt;1,"Excluded: not confirmed",IF(AD137&lt;&gt;1,"Excluded: not approved",IF(AP137="Contested","Excluded: contested",IF(OR(U137="",U137=0),"Excluded: no tercile",IF(CB137="","Counted (simple tally only — no weight)","Counted")))))))))</f>
        <v/>
      </c>
      <c r="CF137" s="49" t="str">
        <f>IF(AH137="","",IFERROR(INDEX('Prior Multipliers'!$C$6:$C$70,MATCH(LEFT(AH137,10),'Prior Multipliers'!$A$6:$A$70,0)),IFERROR(INDEX('Prior Multipliers'!$C$6:$C$70,MATCH(LEFT(AH137,6),'Prior Multipliers'!$A$6:$A$70,0)),IFERROR(INDEX('Prior Multipliers'!$C$6:$C$70,MATCH(LEFT(AH137,2),'Prior Multipliers'!$A$6:$A$70,0)),1))))</f>
        <v/>
      </c>
      <c r="CG137" s="49" t="str">
        <f>IF(CB137="","",IF(AND('Seasonal Tercile Tally'!$B$5=1,BT137="Rating-based"),CB137*CF137,CB137))</f>
        <v/>
      </c>
      <c r="CH137" s="47">
        <f t="shared" si="44"/>
        <v>0</v>
      </c>
      <c r="CI137" s="45"/>
      <c r="CJ137" s="42" t="str">
        <f t="shared" si="45"/>
        <v/>
      </c>
      <c r="CM137" s="42" t="str">
        <f t="shared" si="46"/>
        <v/>
      </c>
      <c r="CP137" s="46" t="str">
        <f t="shared" si="47"/>
        <v/>
      </c>
      <c r="CS137" s="46" t="str">
        <f t="shared" si="48"/>
        <v/>
      </c>
      <c r="CT137" s="42" t="str">
        <f t="shared" si="49"/>
        <v/>
      </c>
      <c r="CU137" s="42" t="str">
        <f t="shared" si="50"/>
        <v/>
      </c>
      <c r="CV137" s="42" t="str">
        <f t="shared" si="51"/>
        <v/>
      </c>
      <c r="DB137" s="45"/>
      <c r="DH137" s="42" t="str">
        <f t="shared" si="52"/>
        <v/>
      </c>
      <c r="DI137" s="43" t="str">
        <f t="shared" si="53"/>
        <v/>
      </c>
      <c r="DK137" s="46" t="str">
        <f t="shared" si="54"/>
        <v/>
      </c>
      <c r="DQ137" s="42" t="str">
        <f>IF(AH137="","",IFERROR(ROUND(100*('Weighting Options'!$D$7*IF(ISNUMBER(CA137),CA137/3,0)+'Weighting Options'!$D$8*MIN(N(BL137),3)/3+'Weighting Options'!$D$9*IF(AP137="Community/Plenary-endorsed",1,IF(AP137="FGD-validated only",0.75,IF(AP137="Sub-community-specific",0.5,IF(AP137="Provisional/emerging",0.25,0))))+'Weighting Options'!$D$10*IF(ISNUMBER(K137),K137/3,0)+'Weighting Options'!$D$11*IF(CC137="",0.5,IF(CC137="OK",1,0.25))+'Weighting Options'!$D$12*IF(DK137="",0.5,IF(DK137="Agrees",1,IF(DK137="Opposite",0,0.5)))+'Weighting Options'!$D$13*MIN(N(BG137),3)/3+'Weighting Options'!$D$14*IF(AE137=1,1,0))/SUM('Weighting Options'!$D$7:$D$14),0),""))</f>
        <v/>
      </c>
      <c r="DR137" s="44" t="str">
        <f>IF(AH137="","",IFERROR(INDEX('Weighting Options'!$D$20:$D$27,VALUE(LEFT(TRIM(BU137),1))),1))</f>
        <v/>
      </c>
      <c r="DS137" s="44" t="str">
        <f t="shared" si="55"/>
        <v/>
      </c>
      <c r="DT137" s="42" t="str">
        <f>IF(AH137="","",IF(COUNTIFS($AH$12:AH137,AH137,$AI$12:AI137,AI137,$AM$12:AM137,AM137)=1,1,0))</f>
        <v/>
      </c>
    </row>
    <row r="138" spans="16:124" ht="12.75" customHeight="1" x14ac:dyDescent="0.35">
      <c r="P138" s="41"/>
      <c r="Q138" s="41"/>
      <c r="R138" s="41"/>
      <c r="S138" s="41"/>
      <c r="AH138" s="40"/>
      <c r="AP138" s="40"/>
      <c r="AS138" s="41"/>
      <c r="AT138" s="41"/>
      <c r="AW138" t="str">
        <f t="shared" si="28"/>
        <v/>
      </c>
      <c r="AX138" t="str">
        <f t="shared" si="29"/>
        <v/>
      </c>
      <c r="AY138" t="str">
        <f t="shared" si="30"/>
        <v/>
      </c>
      <c r="AZ138" s="40"/>
      <c r="BL138" s="47" t="str">
        <f t="shared" si="31"/>
        <v/>
      </c>
      <c r="BM138" s="47" t="str">
        <f t="shared" si="32"/>
        <v/>
      </c>
      <c r="BN138" s="47" t="str">
        <f t="shared" si="33"/>
        <v/>
      </c>
      <c r="BO138" s="47" t="str">
        <f t="shared" si="34"/>
        <v/>
      </c>
      <c r="BP138" s="47" t="str">
        <f t="shared" si="35"/>
        <v/>
      </c>
      <c r="BQ138" s="48" t="str">
        <f t="shared" si="36"/>
        <v/>
      </c>
      <c r="BR138" s="48" t="str">
        <f t="shared" si="37"/>
        <v/>
      </c>
      <c r="BS138" s="48" t="str">
        <f t="shared" si="38"/>
        <v/>
      </c>
      <c r="BT138" s="47" t="str">
        <f t="shared" si="39"/>
        <v/>
      </c>
      <c r="CA138" s="47" t="str">
        <f t="shared" si="40"/>
        <v/>
      </c>
      <c r="CB138" s="47" t="str">
        <f t="shared" si="41"/>
        <v/>
      </c>
      <c r="CC138" s="47" t="str">
        <f t="shared" si="42"/>
        <v/>
      </c>
      <c r="CD138" s="47" t="str">
        <f t="shared" si="43"/>
        <v/>
      </c>
      <c r="CE138" s="47" t="str">
        <f>IF(AH138="","",IF(OR(AI138&lt;&gt;'Seasonal Tercile Tally'!$B$3,AM138&lt;&gt;'Seasonal Tercile Tally'!$B$4),"Other site/ season",IF(DT138=0,"Excluded: duplicate (later row)",IF(N138&lt;&gt;1,"Excluded: not sighted",IF(AC138&lt;&gt;1,"Excluded: not confirmed",IF(AD138&lt;&gt;1,"Excluded: not approved",IF(AP138="Contested","Excluded: contested",IF(OR(U138="",U138=0),"Excluded: no tercile",IF(CB138="","Counted (simple tally only — no weight)","Counted")))))))))</f>
        <v/>
      </c>
      <c r="CF138" s="49" t="str">
        <f>IF(AH138="","",IFERROR(INDEX('Prior Multipliers'!$C$6:$C$70,MATCH(LEFT(AH138,10),'Prior Multipliers'!$A$6:$A$70,0)),IFERROR(INDEX('Prior Multipliers'!$C$6:$C$70,MATCH(LEFT(AH138,6),'Prior Multipliers'!$A$6:$A$70,0)),IFERROR(INDEX('Prior Multipliers'!$C$6:$C$70,MATCH(LEFT(AH138,2),'Prior Multipliers'!$A$6:$A$70,0)),1))))</f>
        <v/>
      </c>
      <c r="CG138" s="49" t="str">
        <f>IF(CB138="","",IF(AND('Seasonal Tercile Tally'!$B$5=1,BT138="Rating-based"),CB138*CF138,CB138))</f>
        <v/>
      </c>
      <c r="CH138" s="47">
        <f t="shared" si="44"/>
        <v>0</v>
      </c>
      <c r="CI138" s="45"/>
      <c r="CJ138" s="42" t="str">
        <f t="shared" si="45"/>
        <v/>
      </c>
      <c r="CM138" s="42" t="str">
        <f t="shared" si="46"/>
        <v/>
      </c>
      <c r="CP138" s="46" t="str">
        <f t="shared" si="47"/>
        <v/>
      </c>
      <c r="CS138" s="46" t="str">
        <f t="shared" si="48"/>
        <v/>
      </c>
      <c r="CT138" s="42" t="str">
        <f t="shared" si="49"/>
        <v/>
      </c>
      <c r="CU138" s="42" t="str">
        <f t="shared" si="50"/>
        <v/>
      </c>
      <c r="CV138" s="42" t="str">
        <f t="shared" si="51"/>
        <v/>
      </c>
      <c r="DB138" s="45"/>
      <c r="DH138" s="42" t="str">
        <f t="shared" si="52"/>
        <v/>
      </c>
      <c r="DI138" s="43" t="str">
        <f t="shared" si="53"/>
        <v/>
      </c>
      <c r="DK138" s="46" t="str">
        <f t="shared" si="54"/>
        <v/>
      </c>
      <c r="DQ138" s="42" t="str">
        <f>IF(AH138="","",IFERROR(ROUND(100*('Weighting Options'!$D$7*IF(ISNUMBER(CA138),CA138/3,0)+'Weighting Options'!$D$8*MIN(N(BL138),3)/3+'Weighting Options'!$D$9*IF(AP138="Community/Plenary-endorsed",1,IF(AP138="FGD-validated only",0.75,IF(AP138="Sub-community-specific",0.5,IF(AP138="Provisional/emerging",0.25,0))))+'Weighting Options'!$D$10*IF(ISNUMBER(K138),K138/3,0)+'Weighting Options'!$D$11*IF(CC138="",0.5,IF(CC138="OK",1,0.25))+'Weighting Options'!$D$12*IF(DK138="",0.5,IF(DK138="Agrees",1,IF(DK138="Opposite",0,0.5)))+'Weighting Options'!$D$13*MIN(N(BG138),3)/3+'Weighting Options'!$D$14*IF(AE138=1,1,0))/SUM('Weighting Options'!$D$7:$D$14),0),""))</f>
        <v/>
      </c>
      <c r="DR138" s="44" t="str">
        <f>IF(AH138="","",IFERROR(INDEX('Weighting Options'!$D$20:$D$27,VALUE(LEFT(TRIM(BU138),1))),1))</f>
        <v/>
      </c>
      <c r="DS138" s="44" t="str">
        <f t="shared" si="55"/>
        <v/>
      </c>
      <c r="DT138" s="42" t="str">
        <f>IF(AH138="","",IF(COUNTIFS($AH$12:AH138,AH138,$AI$12:AI138,AI138,$AM$12:AM138,AM138)=1,1,0))</f>
        <v/>
      </c>
    </row>
    <row r="139" spans="16:124" ht="12.75" customHeight="1" x14ac:dyDescent="0.35">
      <c r="P139" s="41"/>
      <c r="Q139" s="41"/>
      <c r="R139" s="41"/>
      <c r="S139" s="41"/>
      <c r="AH139" s="40"/>
      <c r="AP139" s="40"/>
      <c r="AS139" s="41"/>
      <c r="AT139" s="41"/>
      <c r="AW139" t="str">
        <f t="shared" si="28"/>
        <v/>
      </c>
      <c r="AX139" t="str">
        <f t="shared" si="29"/>
        <v/>
      </c>
      <c r="AY139" t="str">
        <f t="shared" si="30"/>
        <v/>
      </c>
      <c r="AZ139" s="40"/>
      <c r="BL139" s="47" t="str">
        <f t="shared" si="31"/>
        <v/>
      </c>
      <c r="BM139" s="47" t="str">
        <f t="shared" si="32"/>
        <v/>
      </c>
      <c r="BN139" s="47" t="str">
        <f t="shared" si="33"/>
        <v/>
      </c>
      <c r="BO139" s="47" t="str">
        <f t="shared" si="34"/>
        <v/>
      </c>
      <c r="BP139" s="47" t="str">
        <f t="shared" si="35"/>
        <v/>
      </c>
      <c r="BQ139" s="48" t="str">
        <f t="shared" si="36"/>
        <v/>
      </c>
      <c r="BR139" s="48" t="str">
        <f t="shared" si="37"/>
        <v/>
      </c>
      <c r="BS139" s="48" t="str">
        <f t="shared" si="38"/>
        <v/>
      </c>
      <c r="BT139" s="47" t="str">
        <f t="shared" si="39"/>
        <v/>
      </c>
      <c r="CA139" s="47" t="str">
        <f t="shared" si="40"/>
        <v/>
      </c>
      <c r="CB139" s="47" t="str">
        <f t="shared" si="41"/>
        <v/>
      </c>
      <c r="CC139" s="47" t="str">
        <f t="shared" si="42"/>
        <v/>
      </c>
      <c r="CD139" s="47" t="str">
        <f t="shared" si="43"/>
        <v/>
      </c>
      <c r="CE139" s="47" t="str">
        <f>IF(AH139="","",IF(OR(AI139&lt;&gt;'Seasonal Tercile Tally'!$B$3,AM139&lt;&gt;'Seasonal Tercile Tally'!$B$4),"Other site/ season",IF(DT139=0,"Excluded: duplicate (later row)",IF(N139&lt;&gt;1,"Excluded: not sighted",IF(AC139&lt;&gt;1,"Excluded: not confirmed",IF(AD139&lt;&gt;1,"Excluded: not approved",IF(AP139="Contested","Excluded: contested",IF(OR(U139="",U139=0),"Excluded: no tercile",IF(CB139="","Counted (simple tally only — no weight)","Counted")))))))))</f>
        <v/>
      </c>
      <c r="CF139" s="49" t="str">
        <f>IF(AH139="","",IFERROR(INDEX('Prior Multipliers'!$C$6:$C$70,MATCH(LEFT(AH139,10),'Prior Multipliers'!$A$6:$A$70,0)),IFERROR(INDEX('Prior Multipliers'!$C$6:$C$70,MATCH(LEFT(AH139,6),'Prior Multipliers'!$A$6:$A$70,0)),IFERROR(INDEX('Prior Multipliers'!$C$6:$C$70,MATCH(LEFT(AH139,2),'Prior Multipliers'!$A$6:$A$70,0)),1))))</f>
        <v/>
      </c>
      <c r="CG139" s="49" t="str">
        <f>IF(CB139="","",IF(AND('Seasonal Tercile Tally'!$B$5=1,BT139="Rating-based"),CB139*CF139,CB139))</f>
        <v/>
      </c>
      <c r="CH139" s="47">
        <f t="shared" si="44"/>
        <v>0</v>
      </c>
      <c r="CI139" s="45"/>
      <c r="CJ139" s="42" t="str">
        <f t="shared" si="45"/>
        <v/>
      </c>
      <c r="CM139" s="42" t="str">
        <f t="shared" si="46"/>
        <v/>
      </c>
      <c r="CP139" s="46" t="str">
        <f t="shared" si="47"/>
        <v/>
      </c>
      <c r="CS139" s="46" t="str">
        <f t="shared" si="48"/>
        <v/>
      </c>
      <c r="CT139" s="42" t="str">
        <f t="shared" si="49"/>
        <v/>
      </c>
      <c r="CU139" s="42" t="str">
        <f t="shared" si="50"/>
        <v/>
      </c>
      <c r="CV139" s="42" t="str">
        <f t="shared" si="51"/>
        <v/>
      </c>
      <c r="DB139" s="45"/>
      <c r="DH139" s="42" t="str">
        <f t="shared" si="52"/>
        <v/>
      </c>
      <c r="DI139" s="43" t="str">
        <f t="shared" si="53"/>
        <v/>
      </c>
      <c r="DK139" s="46" t="str">
        <f t="shared" si="54"/>
        <v/>
      </c>
      <c r="DQ139" s="42" t="str">
        <f>IF(AH139="","",IFERROR(ROUND(100*('Weighting Options'!$D$7*IF(ISNUMBER(CA139),CA139/3,0)+'Weighting Options'!$D$8*MIN(N(BL139),3)/3+'Weighting Options'!$D$9*IF(AP139="Community/Plenary-endorsed",1,IF(AP139="FGD-validated only",0.75,IF(AP139="Sub-community-specific",0.5,IF(AP139="Provisional/emerging",0.25,0))))+'Weighting Options'!$D$10*IF(ISNUMBER(K139),K139/3,0)+'Weighting Options'!$D$11*IF(CC139="",0.5,IF(CC139="OK",1,0.25))+'Weighting Options'!$D$12*IF(DK139="",0.5,IF(DK139="Agrees",1,IF(DK139="Opposite",0,0.5)))+'Weighting Options'!$D$13*MIN(N(BG139),3)/3+'Weighting Options'!$D$14*IF(AE139=1,1,0))/SUM('Weighting Options'!$D$7:$D$14),0),""))</f>
        <v/>
      </c>
      <c r="DR139" s="44" t="str">
        <f>IF(AH139="","",IFERROR(INDEX('Weighting Options'!$D$20:$D$27,VALUE(LEFT(TRIM(BU139),1))),1))</f>
        <v/>
      </c>
      <c r="DS139" s="44" t="str">
        <f t="shared" si="55"/>
        <v/>
      </c>
      <c r="DT139" s="42" t="str">
        <f>IF(AH139="","",IF(COUNTIFS($AH$12:AH139,AH139,$AI$12:AI139,AI139,$AM$12:AM139,AM139)=1,1,0))</f>
        <v/>
      </c>
    </row>
    <row r="140" spans="16:124" ht="12.75" customHeight="1" x14ac:dyDescent="0.35">
      <c r="P140" s="41"/>
      <c r="Q140" s="41"/>
      <c r="R140" s="41"/>
      <c r="S140" s="41"/>
      <c r="AH140" s="40"/>
      <c r="AP140" s="40"/>
      <c r="AS140" s="41"/>
      <c r="AT140" s="41"/>
      <c r="AW140" t="str">
        <f t="shared" ref="AW140:AW203" si="56">IF(OR(AS140="",P140=""),"",IF(AS140&lt;P140,"Early",IF(AS140&gt;IF(Q140="",P140,Q140),"Late","Within window")))</f>
        <v/>
      </c>
      <c r="AX140" t="str">
        <f t="shared" ref="AX140:AX203" si="57">IF(OR(AT140="",R140=""),"",IF(AT140&lt;R140,"Early",IF(AT140&gt;IF(S140="",R140,S140),"Late","Within window")))</f>
        <v/>
      </c>
      <c r="AY140" t="str">
        <f t="shared" ref="AY140:AY203" si="58">IF(OR(AU140="",T140="",T140=0),"",IF(AU140=T140,"Matched",IF(ABS(AU140-T140)=1,"Off by one class","Missed")))</f>
        <v/>
      </c>
      <c r="AZ140" s="40"/>
      <c r="BL140" s="47" t="str">
        <f t="shared" ref="BL140:BL203" si="59">IF(AH140="","",COUNTIFS($AH$12:$AH$500,AH140,$AC$12:$AC$500,1,$AD$12:$AD$500,1,$DT$12:$DT$500,1))</f>
        <v/>
      </c>
      <c r="BM140" s="47" t="str">
        <f t="shared" ref="BM140:BM203" si="60">IF(AH140="","",BN140+BO140+BP140)</f>
        <v/>
      </c>
      <c r="BN140" s="47" t="str">
        <f t="shared" ref="BN140:BN203" si="61">IF(AH140="","",COUNTIFS($AH$12:$AH$500,AH140,$AZ$12:$AZ$500,"Hit",$DT$12:$DT$500,1))</f>
        <v/>
      </c>
      <c r="BO140" s="47" t="str">
        <f t="shared" ref="BO140:BO203" si="62">IF(AH140="","",COUNTIFS($AH$12:$AH$500,AH140,$AZ$12:$AZ$500,"Miss",$DT$12:$DT$500,1))</f>
        <v/>
      </c>
      <c r="BP140" s="47" t="str">
        <f t="shared" ref="BP140:BP203" si="63">IF(AH140="","",COUNTIFS($AH$12:$AH$500,AH140,$AZ$12:$AZ$500,"False Start",$DT$12:$DT$500,1))</f>
        <v/>
      </c>
      <c r="BQ140" s="48" t="str">
        <f t="shared" ref="BQ140:BQ203" si="64">IF(OR(AH140="",BM140="",BM140=0),"",BN140/BM140)</f>
        <v/>
      </c>
      <c r="BR140" s="48" t="str">
        <f t="shared" ref="BR140:BR203" si="65">IF(OR(AH140="",BM140="",BM140=0),"",BO140/BM140)</f>
        <v/>
      </c>
      <c r="BS140" s="48" t="str">
        <f t="shared" ref="BS140:BS203" si="66">IF(OR(AH140="",BM140="",BM140=0),"",BP140/BM140)</f>
        <v/>
      </c>
      <c r="BT140" s="47" t="str">
        <f t="shared" ref="BT140:BT203" si="67">IF(AH140="","",IF(BM140&gt;=3,"Hit-rate-based","Rating-based"))</f>
        <v/>
      </c>
      <c r="CA140" s="47" t="str">
        <f t="shared" ref="CA140:CA203" si="68">IF(AH140="","",IF(BT140="Hit-rate-based",MIN(IF(BL140&lt;2,2,3),IF(BQ140&gt;=0.7,3,IF(BQ140&gt;=0.4,2,1))),IF(OR(M140="",M140=0),"",MIN(IF(BL140&lt;2,2,3),M140))))</f>
        <v/>
      </c>
      <c r="CB140" s="47" t="str">
        <f t="shared" ref="CB140:CB203" si="69">IF(OR(AH140="",CA140=""),"",CA140*IF(OR(V140="",V140=0),1,V140))</f>
        <v/>
      </c>
      <c r="CC140" s="47" t="str">
        <f t="shared" ref="CC140:CC203" si="70">IF(OR(AH140="",L140="",M140="",L140=0,M140=0),"",IF(ABS(L140-M140)&gt;=2,"FLAG: Review — large swing","OK"))</f>
        <v/>
      </c>
      <c r="CD140" s="47" t="str">
        <f t="shared" ref="CD140:CD203" si="71">IF(AH140="","",IF(COUNTIFS($AH$12:$AH$500,AH140,$AI$12:$AI$500,AI140,$AM$12:$AM$500,AM140)&gt;1,"DUPLICATE: same ID, site and season",IF(AND(N140=1,U140&lt;&gt;"",U140&lt;&gt;0,OR(V140="",V140=0)),"Check: decision relevance missing","OK")))</f>
        <v/>
      </c>
      <c r="CE140" s="47" t="str">
        <f>IF(AH140="","",IF(OR(AI140&lt;&gt;'Seasonal Tercile Tally'!$B$3,AM140&lt;&gt;'Seasonal Tercile Tally'!$B$4),"Other site/ season",IF(DT140=0,"Excluded: duplicate (later row)",IF(N140&lt;&gt;1,"Excluded: not sighted",IF(AC140&lt;&gt;1,"Excluded: not confirmed",IF(AD140&lt;&gt;1,"Excluded: not approved",IF(AP140="Contested","Excluded: contested",IF(OR(U140="",U140=0),"Excluded: no tercile",IF(CB140="","Counted (simple tally only — no weight)","Counted")))))))))</f>
        <v/>
      </c>
      <c r="CF140" s="49" t="str">
        <f>IF(AH140="","",IFERROR(INDEX('Prior Multipliers'!$C$6:$C$70,MATCH(LEFT(AH140,10),'Prior Multipliers'!$A$6:$A$70,0)),IFERROR(INDEX('Prior Multipliers'!$C$6:$C$70,MATCH(LEFT(AH140,6),'Prior Multipliers'!$A$6:$A$70,0)),IFERROR(INDEX('Prior Multipliers'!$C$6:$C$70,MATCH(LEFT(AH140,2),'Prior Multipliers'!$A$6:$A$70,0)),1))))</f>
        <v/>
      </c>
      <c r="CG140" s="49" t="str">
        <f>IF(CB140="","",IF(AND('Seasonal Tercile Tally'!$B$5=1,BT140="Rating-based"),CB140*CF140,CB140))</f>
        <v/>
      </c>
      <c r="CH140" s="47">
        <f t="shared" ref="CH140:CH203" si="72">IF(ISNUMBER(CG140),CG140,0)</f>
        <v>0</v>
      </c>
      <c r="CI140" s="45"/>
      <c r="CJ140" s="42" t="str">
        <f t="shared" ref="CJ140:CJ203" si="73">IF(CI140="","",MONTH(CI140))</f>
        <v/>
      </c>
      <c r="CM140" s="42" t="str">
        <f t="shared" ref="CM140:CM203" si="74">IF(OR(CJ140="",CL140=""),"",MOD(CJ140-CL140+6,12)-6)</f>
        <v/>
      </c>
      <c r="CP140" s="46" t="str">
        <f t="shared" ref="CP140:CP203" si="75">IF(AH140="","",CHOOSE(MIN(IF(CM140="",0,IF(ABS(CM140)&gt;=1,1,0))+IF(LEFT(CC140,4)="FLAG",1,0)+IF(OR(CN140="",CN140="No change",CN140="Not sure"),0,1)+IF(AND(ISNUMBER(L140),ISNUMBER(M140)),IF(AND(M140&gt;0,L140-M140&gt;=1),1,0),0)+IF(N(BM140)&gt;=3,IF(N(BQ140)&lt;0.4,1,0),0),2)+1,"No change signal","Watch: one change signal","STRONG: possible climate-change impact — review"))</f>
        <v/>
      </c>
      <c r="CS140" s="46" t="str">
        <f t="shared" ref="CS140:CS203" si="76">IF(CR140="","",IF(CR140&gt;=35,3,IF(CR140&gt;=20,2,1)))</f>
        <v/>
      </c>
      <c r="CT140" s="42" t="str">
        <f t="shared" ref="CT140:CT203" si="77">IF(OR(CS140="",CQ140="",CQ140=0),"",IF(CQ140=CS140,"Matched",IF(ABS(CQ140-CS140)=1,"Off by one class","Missed")))</f>
        <v/>
      </c>
      <c r="CU140" s="42" t="str">
        <f t="shared" ref="CU140:CU203" si="78">IF(OR(CI140="",P140=""),"",IF(P140-CI140&lt;0,"",P140-CI140))</f>
        <v/>
      </c>
      <c r="CV140" s="42" t="str">
        <f t="shared" ref="CV140:CV203" si="79">IF(CU140="","",IF(CU140&gt;=60,"Strategic (season)",IF(CU140&gt;=7,"Tactical (1 week–2 months)",IF(CU140&gt;=3,"Operational (3–6 days)","Emergency (0–2 days)"))))</f>
        <v/>
      </c>
      <c r="DB140" s="45"/>
      <c r="DH140" s="42" t="str">
        <f t="shared" ref="DH140:DH203" si="80">IF(OR(DB140="",P140=""),"",P140-DB140)</f>
        <v/>
      </c>
      <c r="DI140" s="43" t="str">
        <f t="shared" ref="DI140:DI203" si="81">IF(OR(DD140="",DE140=""),"",IF(DD140=0,"",DE140/DD140))</f>
        <v/>
      </c>
      <c r="DK140" s="46" t="str">
        <f t="shared" ref="DK140:DK203" si="82">IF(OR(DJ140="",U140="",U140=0),"",IF(U140=DJ140,"Agrees",IF(ABS(U140-DJ140)=1,"Differs by one class","Opposite")))</f>
        <v/>
      </c>
      <c r="DQ140" s="42" t="str">
        <f>IF(AH140="","",IFERROR(ROUND(100*('Weighting Options'!$D$7*IF(ISNUMBER(CA140),CA140/3,0)+'Weighting Options'!$D$8*MIN(N(BL140),3)/3+'Weighting Options'!$D$9*IF(AP140="Community/Plenary-endorsed",1,IF(AP140="FGD-validated only",0.75,IF(AP140="Sub-community-specific",0.5,IF(AP140="Provisional/emerging",0.25,0))))+'Weighting Options'!$D$10*IF(ISNUMBER(K140),K140/3,0)+'Weighting Options'!$D$11*IF(CC140="",0.5,IF(CC140="OK",1,0.25))+'Weighting Options'!$D$12*IF(DK140="",0.5,IF(DK140="Agrees",1,IF(DK140="Opposite",0,0.5)))+'Weighting Options'!$D$13*MIN(N(BG140),3)/3+'Weighting Options'!$D$14*IF(AE140=1,1,0))/SUM('Weighting Options'!$D$7:$D$14),0),""))</f>
        <v/>
      </c>
      <c r="DR140" s="44" t="str">
        <f>IF(AH140="","",IFERROR(INDEX('Weighting Options'!$D$20:$D$27,VALUE(LEFT(TRIM(BU140),1))),1))</f>
        <v/>
      </c>
      <c r="DS140" s="44" t="str">
        <f t="shared" ref="DS140:DS203" si="83">IF(OR(CG140="",DR140=""),"",CG140*DR140)</f>
        <v/>
      </c>
      <c r="DT140" s="42" t="str">
        <f>IF(AH140="","",IF(COUNTIFS($AH$12:AH140,AH140,$AI$12:AI140,AI140,$AM$12:AM140,AM140)=1,1,0))</f>
        <v/>
      </c>
    </row>
    <row r="141" spans="16:124" ht="12.75" customHeight="1" x14ac:dyDescent="0.35">
      <c r="P141" s="41"/>
      <c r="Q141" s="41"/>
      <c r="R141" s="41"/>
      <c r="S141" s="41"/>
      <c r="AH141" s="40"/>
      <c r="AP141" s="40"/>
      <c r="AS141" s="41"/>
      <c r="AT141" s="41"/>
      <c r="AW141" t="str">
        <f t="shared" si="56"/>
        <v/>
      </c>
      <c r="AX141" t="str">
        <f t="shared" si="57"/>
        <v/>
      </c>
      <c r="AY141" t="str">
        <f t="shared" si="58"/>
        <v/>
      </c>
      <c r="AZ141" s="40"/>
      <c r="BL141" s="47" t="str">
        <f t="shared" si="59"/>
        <v/>
      </c>
      <c r="BM141" s="47" t="str">
        <f t="shared" si="60"/>
        <v/>
      </c>
      <c r="BN141" s="47" t="str">
        <f t="shared" si="61"/>
        <v/>
      </c>
      <c r="BO141" s="47" t="str">
        <f t="shared" si="62"/>
        <v/>
      </c>
      <c r="BP141" s="47" t="str">
        <f t="shared" si="63"/>
        <v/>
      </c>
      <c r="BQ141" s="48" t="str">
        <f t="shared" si="64"/>
        <v/>
      </c>
      <c r="BR141" s="48" t="str">
        <f t="shared" si="65"/>
        <v/>
      </c>
      <c r="BS141" s="48" t="str">
        <f t="shared" si="66"/>
        <v/>
      </c>
      <c r="BT141" s="47" t="str">
        <f t="shared" si="67"/>
        <v/>
      </c>
      <c r="CA141" s="47" t="str">
        <f t="shared" si="68"/>
        <v/>
      </c>
      <c r="CB141" s="47" t="str">
        <f t="shared" si="69"/>
        <v/>
      </c>
      <c r="CC141" s="47" t="str">
        <f t="shared" si="70"/>
        <v/>
      </c>
      <c r="CD141" s="47" t="str">
        <f t="shared" si="71"/>
        <v/>
      </c>
      <c r="CE141" s="47" t="str">
        <f>IF(AH141="","",IF(OR(AI141&lt;&gt;'Seasonal Tercile Tally'!$B$3,AM141&lt;&gt;'Seasonal Tercile Tally'!$B$4),"Other site/ season",IF(DT141=0,"Excluded: duplicate (later row)",IF(N141&lt;&gt;1,"Excluded: not sighted",IF(AC141&lt;&gt;1,"Excluded: not confirmed",IF(AD141&lt;&gt;1,"Excluded: not approved",IF(AP141="Contested","Excluded: contested",IF(OR(U141="",U141=0),"Excluded: no tercile",IF(CB141="","Counted (simple tally only — no weight)","Counted")))))))))</f>
        <v/>
      </c>
      <c r="CF141" s="49" t="str">
        <f>IF(AH141="","",IFERROR(INDEX('Prior Multipliers'!$C$6:$C$70,MATCH(LEFT(AH141,10),'Prior Multipliers'!$A$6:$A$70,0)),IFERROR(INDEX('Prior Multipliers'!$C$6:$C$70,MATCH(LEFT(AH141,6),'Prior Multipliers'!$A$6:$A$70,0)),IFERROR(INDEX('Prior Multipliers'!$C$6:$C$70,MATCH(LEFT(AH141,2),'Prior Multipliers'!$A$6:$A$70,0)),1))))</f>
        <v/>
      </c>
      <c r="CG141" s="49" t="str">
        <f>IF(CB141="","",IF(AND('Seasonal Tercile Tally'!$B$5=1,BT141="Rating-based"),CB141*CF141,CB141))</f>
        <v/>
      </c>
      <c r="CH141" s="47">
        <f t="shared" si="72"/>
        <v>0</v>
      </c>
      <c r="CI141" s="45"/>
      <c r="CJ141" s="42" t="str">
        <f t="shared" si="73"/>
        <v/>
      </c>
      <c r="CM141" s="42" t="str">
        <f t="shared" si="74"/>
        <v/>
      </c>
      <c r="CP141" s="46" t="str">
        <f t="shared" si="75"/>
        <v/>
      </c>
      <c r="CS141" s="46" t="str">
        <f t="shared" si="76"/>
        <v/>
      </c>
      <c r="CT141" s="42" t="str">
        <f t="shared" si="77"/>
        <v/>
      </c>
      <c r="CU141" s="42" t="str">
        <f t="shared" si="78"/>
        <v/>
      </c>
      <c r="CV141" s="42" t="str">
        <f t="shared" si="79"/>
        <v/>
      </c>
      <c r="DB141" s="45"/>
      <c r="DH141" s="42" t="str">
        <f t="shared" si="80"/>
        <v/>
      </c>
      <c r="DI141" s="43" t="str">
        <f t="shared" si="81"/>
        <v/>
      </c>
      <c r="DK141" s="46" t="str">
        <f t="shared" si="82"/>
        <v/>
      </c>
      <c r="DQ141" s="42" t="str">
        <f>IF(AH141="","",IFERROR(ROUND(100*('Weighting Options'!$D$7*IF(ISNUMBER(CA141),CA141/3,0)+'Weighting Options'!$D$8*MIN(N(BL141),3)/3+'Weighting Options'!$D$9*IF(AP141="Community/Plenary-endorsed",1,IF(AP141="FGD-validated only",0.75,IF(AP141="Sub-community-specific",0.5,IF(AP141="Provisional/emerging",0.25,0))))+'Weighting Options'!$D$10*IF(ISNUMBER(K141),K141/3,0)+'Weighting Options'!$D$11*IF(CC141="",0.5,IF(CC141="OK",1,0.25))+'Weighting Options'!$D$12*IF(DK141="",0.5,IF(DK141="Agrees",1,IF(DK141="Opposite",0,0.5)))+'Weighting Options'!$D$13*MIN(N(BG141),3)/3+'Weighting Options'!$D$14*IF(AE141=1,1,0))/SUM('Weighting Options'!$D$7:$D$14),0),""))</f>
        <v/>
      </c>
      <c r="DR141" s="44" t="str">
        <f>IF(AH141="","",IFERROR(INDEX('Weighting Options'!$D$20:$D$27,VALUE(LEFT(TRIM(BU141),1))),1))</f>
        <v/>
      </c>
      <c r="DS141" s="44" t="str">
        <f t="shared" si="83"/>
        <v/>
      </c>
      <c r="DT141" s="42" t="str">
        <f>IF(AH141="","",IF(COUNTIFS($AH$12:AH141,AH141,$AI$12:AI141,AI141,$AM$12:AM141,AM141)=1,1,0))</f>
        <v/>
      </c>
    </row>
    <row r="142" spans="16:124" ht="12.75" customHeight="1" x14ac:dyDescent="0.35">
      <c r="P142" s="41"/>
      <c r="Q142" s="41"/>
      <c r="R142" s="41"/>
      <c r="S142" s="41"/>
      <c r="AH142" s="40"/>
      <c r="AP142" s="40"/>
      <c r="AS142" s="41"/>
      <c r="AT142" s="41"/>
      <c r="AW142" t="str">
        <f t="shared" si="56"/>
        <v/>
      </c>
      <c r="AX142" t="str">
        <f t="shared" si="57"/>
        <v/>
      </c>
      <c r="AY142" t="str">
        <f t="shared" si="58"/>
        <v/>
      </c>
      <c r="AZ142" s="40"/>
      <c r="BL142" s="47" t="str">
        <f t="shared" si="59"/>
        <v/>
      </c>
      <c r="BM142" s="47" t="str">
        <f t="shared" si="60"/>
        <v/>
      </c>
      <c r="BN142" s="47" t="str">
        <f t="shared" si="61"/>
        <v/>
      </c>
      <c r="BO142" s="47" t="str">
        <f t="shared" si="62"/>
        <v/>
      </c>
      <c r="BP142" s="47" t="str">
        <f t="shared" si="63"/>
        <v/>
      </c>
      <c r="BQ142" s="48" t="str">
        <f t="shared" si="64"/>
        <v/>
      </c>
      <c r="BR142" s="48" t="str">
        <f t="shared" si="65"/>
        <v/>
      </c>
      <c r="BS142" s="48" t="str">
        <f t="shared" si="66"/>
        <v/>
      </c>
      <c r="BT142" s="47" t="str">
        <f t="shared" si="67"/>
        <v/>
      </c>
      <c r="CA142" s="47" t="str">
        <f t="shared" si="68"/>
        <v/>
      </c>
      <c r="CB142" s="47" t="str">
        <f t="shared" si="69"/>
        <v/>
      </c>
      <c r="CC142" s="47" t="str">
        <f t="shared" si="70"/>
        <v/>
      </c>
      <c r="CD142" s="47" t="str">
        <f t="shared" si="71"/>
        <v/>
      </c>
      <c r="CE142" s="47" t="str">
        <f>IF(AH142="","",IF(OR(AI142&lt;&gt;'Seasonal Tercile Tally'!$B$3,AM142&lt;&gt;'Seasonal Tercile Tally'!$B$4),"Other site/ season",IF(DT142=0,"Excluded: duplicate (later row)",IF(N142&lt;&gt;1,"Excluded: not sighted",IF(AC142&lt;&gt;1,"Excluded: not confirmed",IF(AD142&lt;&gt;1,"Excluded: not approved",IF(AP142="Contested","Excluded: contested",IF(OR(U142="",U142=0),"Excluded: no tercile",IF(CB142="","Counted (simple tally only — no weight)","Counted")))))))))</f>
        <v/>
      </c>
      <c r="CF142" s="49" t="str">
        <f>IF(AH142="","",IFERROR(INDEX('Prior Multipliers'!$C$6:$C$70,MATCH(LEFT(AH142,10),'Prior Multipliers'!$A$6:$A$70,0)),IFERROR(INDEX('Prior Multipliers'!$C$6:$C$70,MATCH(LEFT(AH142,6),'Prior Multipliers'!$A$6:$A$70,0)),IFERROR(INDEX('Prior Multipliers'!$C$6:$C$70,MATCH(LEFT(AH142,2),'Prior Multipliers'!$A$6:$A$70,0)),1))))</f>
        <v/>
      </c>
      <c r="CG142" s="49" t="str">
        <f>IF(CB142="","",IF(AND('Seasonal Tercile Tally'!$B$5=1,BT142="Rating-based"),CB142*CF142,CB142))</f>
        <v/>
      </c>
      <c r="CH142" s="47">
        <f t="shared" si="72"/>
        <v>0</v>
      </c>
      <c r="CI142" s="45"/>
      <c r="CJ142" s="42" t="str">
        <f t="shared" si="73"/>
        <v/>
      </c>
      <c r="CM142" s="42" t="str">
        <f t="shared" si="74"/>
        <v/>
      </c>
      <c r="CP142" s="46" t="str">
        <f t="shared" si="75"/>
        <v/>
      </c>
      <c r="CS142" s="46" t="str">
        <f t="shared" si="76"/>
        <v/>
      </c>
      <c r="CT142" s="42" t="str">
        <f t="shared" si="77"/>
        <v/>
      </c>
      <c r="CU142" s="42" t="str">
        <f t="shared" si="78"/>
        <v/>
      </c>
      <c r="CV142" s="42" t="str">
        <f t="shared" si="79"/>
        <v/>
      </c>
      <c r="DB142" s="45"/>
      <c r="DH142" s="42" t="str">
        <f t="shared" si="80"/>
        <v/>
      </c>
      <c r="DI142" s="43" t="str">
        <f t="shared" si="81"/>
        <v/>
      </c>
      <c r="DK142" s="46" t="str">
        <f t="shared" si="82"/>
        <v/>
      </c>
      <c r="DQ142" s="42" t="str">
        <f>IF(AH142="","",IFERROR(ROUND(100*('Weighting Options'!$D$7*IF(ISNUMBER(CA142),CA142/3,0)+'Weighting Options'!$D$8*MIN(N(BL142),3)/3+'Weighting Options'!$D$9*IF(AP142="Community/Plenary-endorsed",1,IF(AP142="FGD-validated only",0.75,IF(AP142="Sub-community-specific",0.5,IF(AP142="Provisional/emerging",0.25,0))))+'Weighting Options'!$D$10*IF(ISNUMBER(K142),K142/3,0)+'Weighting Options'!$D$11*IF(CC142="",0.5,IF(CC142="OK",1,0.25))+'Weighting Options'!$D$12*IF(DK142="",0.5,IF(DK142="Agrees",1,IF(DK142="Opposite",0,0.5)))+'Weighting Options'!$D$13*MIN(N(BG142),3)/3+'Weighting Options'!$D$14*IF(AE142=1,1,0))/SUM('Weighting Options'!$D$7:$D$14),0),""))</f>
        <v/>
      </c>
      <c r="DR142" s="44" t="str">
        <f>IF(AH142="","",IFERROR(INDEX('Weighting Options'!$D$20:$D$27,VALUE(LEFT(TRIM(BU142),1))),1))</f>
        <v/>
      </c>
      <c r="DS142" s="44" t="str">
        <f t="shared" si="83"/>
        <v/>
      </c>
      <c r="DT142" s="42" t="str">
        <f>IF(AH142="","",IF(COUNTIFS($AH$12:AH142,AH142,$AI$12:AI142,AI142,$AM$12:AM142,AM142)=1,1,0))</f>
        <v/>
      </c>
    </row>
    <row r="143" spans="16:124" ht="12.75" customHeight="1" x14ac:dyDescent="0.35">
      <c r="P143" s="41"/>
      <c r="Q143" s="41"/>
      <c r="R143" s="41"/>
      <c r="S143" s="41"/>
      <c r="AH143" s="40"/>
      <c r="AP143" s="40"/>
      <c r="AS143" s="41"/>
      <c r="AT143" s="41"/>
      <c r="AW143" t="str">
        <f t="shared" si="56"/>
        <v/>
      </c>
      <c r="AX143" t="str">
        <f t="shared" si="57"/>
        <v/>
      </c>
      <c r="AY143" t="str">
        <f t="shared" si="58"/>
        <v/>
      </c>
      <c r="AZ143" s="40"/>
      <c r="BL143" s="47" t="str">
        <f t="shared" si="59"/>
        <v/>
      </c>
      <c r="BM143" s="47" t="str">
        <f t="shared" si="60"/>
        <v/>
      </c>
      <c r="BN143" s="47" t="str">
        <f t="shared" si="61"/>
        <v/>
      </c>
      <c r="BO143" s="47" t="str">
        <f t="shared" si="62"/>
        <v/>
      </c>
      <c r="BP143" s="47" t="str">
        <f t="shared" si="63"/>
        <v/>
      </c>
      <c r="BQ143" s="48" t="str">
        <f t="shared" si="64"/>
        <v/>
      </c>
      <c r="BR143" s="48" t="str">
        <f t="shared" si="65"/>
        <v/>
      </c>
      <c r="BS143" s="48" t="str">
        <f t="shared" si="66"/>
        <v/>
      </c>
      <c r="BT143" s="47" t="str">
        <f t="shared" si="67"/>
        <v/>
      </c>
      <c r="CA143" s="47" t="str">
        <f t="shared" si="68"/>
        <v/>
      </c>
      <c r="CB143" s="47" t="str">
        <f t="shared" si="69"/>
        <v/>
      </c>
      <c r="CC143" s="47" t="str">
        <f t="shared" si="70"/>
        <v/>
      </c>
      <c r="CD143" s="47" t="str">
        <f t="shared" si="71"/>
        <v/>
      </c>
      <c r="CE143" s="47" t="str">
        <f>IF(AH143="","",IF(OR(AI143&lt;&gt;'Seasonal Tercile Tally'!$B$3,AM143&lt;&gt;'Seasonal Tercile Tally'!$B$4),"Other site/ season",IF(DT143=0,"Excluded: duplicate (later row)",IF(N143&lt;&gt;1,"Excluded: not sighted",IF(AC143&lt;&gt;1,"Excluded: not confirmed",IF(AD143&lt;&gt;1,"Excluded: not approved",IF(AP143="Contested","Excluded: contested",IF(OR(U143="",U143=0),"Excluded: no tercile",IF(CB143="","Counted (simple tally only — no weight)","Counted")))))))))</f>
        <v/>
      </c>
      <c r="CF143" s="49" t="str">
        <f>IF(AH143="","",IFERROR(INDEX('Prior Multipliers'!$C$6:$C$70,MATCH(LEFT(AH143,10),'Prior Multipliers'!$A$6:$A$70,0)),IFERROR(INDEX('Prior Multipliers'!$C$6:$C$70,MATCH(LEFT(AH143,6),'Prior Multipliers'!$A$6:$A$70,0)),IFERROR(INDEX('Prior Multipliers'!$C$6:$C$70,MATCH(LEFT(AH143,2),'Prior Multipliers'!$A$6:$A$70,0)),1))))</f>
        <v/>
      </c>
      <c r="CG143" s="49" t="str">
        <f>IF(CB143="","",IF(AND('Seasonal Tercile Tally'!$B$5=1,BT143="Rating-based"),CB143*CF143,CB143))</f>
        <v/>
      </c>
      <c r="CH143" s="47">
        <f t="shared" si="72"/>
        <v>0</v>
      </c>
      <c r="CI143" s="45"/>
      <c r="CJ143" s="42" t="str">
        <f t="shared" si="73"/>
        <v/>
      </c>
      <c r="CM143" s="42" t="str">
        <f t="shared" si="74"/>
        <v/>
      </c>
      <c r="CP143" s="46" t="str">
        <f t="shared" si="75"/>
        <v/>
      </c>
      <c r="CS143" s="46" t="str">
        <f t="shared" si="76"/>
        <v/>
      </c>
      <c r="CT143" s="42" t="str">
        <f t="shared" si="77"/>
        <v/>
      </c>
      <c r="CU143" s="42" t="str">
        <f t="shared" si="78"/>
        <v/>
      </c>
      <c r="CV143" s="42" t="str">
        <f t="shared" si="79"/>
        <v/>
      </c>
      <c r="DB143" s="45"/>
      <c r="DH143" s="42" t="str">
        <f t="shared" si="80"/>
        <v/>
      </c>
      <c r="DI143" s="43" t="str">
        <f t="shared" si="81"/>
        <v/>
      </c>
      <c r="DK143" s="46" t="str">
        <f t="shared" si="82"/>
        <v/>
      </c>
      <c r="DQ143" s="42" t="str">
        <f>IF(AH143="","",IFERROR(ROUND(100*('Weighting Options'!$D$7*IF(ISNUMBER(CA143),CA143/3,0)+'Weighting Options'!$D$8*MIN(N(BL143),3)/3+'Weighting Options'!$D$9*IF(AP143="Community/Plenary-endorsed",1,IF(AP143="FGD-validated only",0.75,IF(AP143="Sub-community-specific",0.5,IF(AP143="Provisional/emerging",0.25,0))))+'Weighting Options'!$D$10*IF(ISNUMBER(K143),K143/3,0)+'Weighting Options'!$D$11*IF(CC143="",0.5,IF(CC143="OK",1,0.25))+'Weighting Options'!$D$12*IF(DK143="",0.5,IF(DK143="Agrees",1,IF(DK143="Opposite",0,0.5)))+'Weighting Options'!$D$13*MIN(N(BG143),3)/3+'Weighting Options'!$D$14*IF(AE143=1,1,0))/SUM('Weighting Options'!$D$7:$D$14),0),""))</f>
        <v/>
      </c>
      <c r="DR143" s="44" t="str">
        <f>IF(AH143="","",IFERROR(INDEX('Weighting Options'!$D$20:$D$27,VALUE(LEFT(TRIM(BU143),1))),1))</f>
        <v/>
      </c>
      <c r="DS143" s="44" t="str">
        <f t="shared" si="83"/>
        <v/>
      </c>
      <c r="DT143" s="42" t="str">
        <f>IF(AH143="","",IF(COUNTIFS($AH$12:AH143,AH143,$AI$12:AI143,AI143,$AM$12:AM143,AM143)=1,1,0))</f>
        <v/>
      </c>
    </row>
    <row r="144" spans="16:124" ht="12.75" customHeight="1" x14ac:dyDescent="0.35">
      <c r="P144" s="41"/>
      <c r="Q144" s="41"/>
      <c r="R144" s="41"/>
      <c r="S144" s="41"/>
      <c r="AH144" s="40"/>
      <c r="AP144" s="40"/>
      <c r="AS144" s="41"/>
      <c r="AT144" s="41"/>
      <c r="AW144" t="str">
        <f t="shared" si="56"/>
        <v/>
      </c>
      <c r="AX144" t="str">
        <f t="shared" si="57"/>
        <v/>
      </c>
      <c r="AY144" t="str">
        <f t="shared" si="58"/>
        <v/>
      </c>
      <c r="AZ144" s="40"/>
      <c r="BL144" s="47" t="str">
        <f t="shared" si="59"/>
        <v/>
      </c>
      <c r="BM144" s="47" t="str">
        <f t="shared" si="60"/>
        <v/>
      </c>
      <c r="BN144" s="47" t="str">
        <f t="shared" si="61"/>
        <v/>
      </c>
      <c r="BO144" s="47" t="str">
        <f t="shared" si="62"/>
        <v/>
      </c>
      <c r="BP144" s="47" t="str">
        <f t="shared" si="63"/>
        <v/>
      </c>
      <c r="BQ144" s="48" t="str">
        <f t="shared" si="64"/>
        <v/>
      </c>
      <c r="BR144" s="48" t="str">
        <f t="shared" si="65"/>
        <v/>
      </c>
      <c r="BS144" s="48" t="str">
        <f t="shared" si="66"/>
        <v/>
      </c>
      <c r="BT144" s="47" t="str">
        <f t="shared" si="67"/>
        <v/>
      </c>
      <c r="CA144" s="47" t="str">
        <f t="shared" si="68"/>
        <v/>
      </c>
      <c r="CB144" s="47" t="str">
        <f t="shared" si="69"/>
        <v/>
      </c>
      <c r="CC144" s="47" t="str">
        <f t="shared" si="70"/>
        <v/>
      </c>
      <c r="CD144" s="47" t="str">
        <f t="shared" si="71"/>
        <v/>
      </c>
      <c r="CE144" s="47" t="str">
        <f>IF(AH144="","",IF(OR(AI144&lt;&gt;'Seasonal Tercile Tally'!$B$3,AM144&lt;&gt;'Seasonal Tercile Tally'!$B$4),"Other site/ season",IF(DT144=0,"Excluded: duplicate (later row)",IF(N144&lt;&gt;1,"Excluded: not sighted",IF(AC144&lt;&gt;1,"Excluded: not confirmed",IF(AD144&lt;&gt;1,"Excluded: not approved",IF(AP144="Contested","Excluded: contested",IF(OR(U144="",U144=0),"Excluded: no tercile",IF(CB144="","Counted (simple tally only — no weight)","Counted")))))))))</f>
        <v/>
      </c>
      <c r="CF144" s="49" t="str">
        <f>IF(AH144="","",IFERROR(INDEX('Prior Multipliers'!$C$6:$C$70,MATCH(LEFT(AH144,10),'Prior Multipliers'!$A$6:$A$70,0)),IFERROR(INDEX('Prior Multipliers'!$C$6:$C$70,MATCH(LEFT(AH144,6),'Prior Multipliers'!$A$6:$A$70,0)),IFERROR(INDEX('Prior Multipliers'!$C$6:$C$70,MATCH(LEFT(AH144,2),'Prior Multipliers'!$A$6:$A$70,0)),1))))</f>
        <v/>
      </c>
      <c r="CG144" s="49" t="str">
        <f>IF(CB144="","",IF(AND('Seasonal Tercile Tally'!$B$5=1,BT144="Rating-based"),CB144*CF144,CB144))</f>
        <v/>
      </c>
      <c r="CH144" s="47">
        <f t="shared" si="72"/>
        <v>0</v>
      </c>
      <c r="CI144" s="45"/>
      <c r="CJ144" s="42" t="str">
        <f t="shared" si="73"/>
        <v/>
      </c>
      <c r="CM144" s="42" t="str">
        <f t="shared" si="74"/>
        <v/>
      </c>
      <c r="CP144" s="46" t="str">
        <f t="shared" si="75"/>
        <v/>
      </c>
      <c r="CS144" s="46" t="str">
        <f t="shared" si="76"/>
        <v/>
      </c>
      <c r="CT144" s="42" t="str">
        <f t="shared" si="77"/>
        <v/>
      </c>
      <c r="CU144" s="42" t="str">
        <f t="shared" si="78"/>
        <v/>
      </c>
      <c r="CV144" s="42" t="str">
        <f t="shared" si="79"/>
        <v/>
      </c>
      <c r="DB144" s="45"/>
      <c r="DH144" s="42" t="str">
        <f t="shared" si="80"/>
        <v/>
      </c>
      <c r="DI144" s="43" t="str">
        <f t="shared" si="81"/>
        <v/>
      </c>
      <c r="DK144" s="46" t="str">
        <f t="shared" si="82"/>
        <v/>
      </c>
      <c r="DQ144" s="42" t="str">
        <f>IF(AH144="","",IFERROR(ROUND(100*('Weighting Options'!$D$7*IF(ISNUMBER(CA144),CA144/3,0)+'Weighting Options'!$D$8*MIN(N(BL144),3)/3+'Weighting Options'!$D$9*IF(AP144="Community/Plenary-endorsed",1,IF(AP144="FGD-validated only",0.75,IF(AP144="Sub-community-specific",0.5,IF(AP144="Provisional/emerging",0.25,0))))+'Weighting Options'!$D$10*IF(ISNUMBER(K144),K144/3,0)+'Weighting Options'!$D$11*IF(CC144="",0.5,IF(CC144="OK",1,0.25))+'Weighting Options'!$D$12*IF(DK144="",0.5,IF(DK144="Agrees",1,IF(DK144="Opposite",0,0.5)))+'Weighting Options'!$D$13*MIN(N(BG144),3)/3+'Weighting Options'!$D$14*IF(AE144=1,1,0))/SUM('Weighting Options'!$D$7:$D$14),0),""))</f>
        <v/>
      </c>
      <c r="DR144" s="44" t="str">
        <f>IF(AH144="","",IFERROR(INDEX('Weighting Options'!$D$20:$D$27,VALUE(LEFT(TRIM(BU144),1))),1))</f>
        <v/>
      </c>
      <c r="DS144" s="44" t="str">
        <f t="shared" si="83"/>
        <v/>
      </c>
      <c r="DT144" s="42" t="str">
        <f>IF(AH144="","",IF(COUNTIFS($AH$12:AH144,AH144,$AI$12:AI144,AI144,$AM$12:AM144,AM144)=1,1,0))</f>
        <v/>
      </c>
    </row>
    <row r="145" spans="16:124" ht="12.75" customHeight="1" x14ac:dyDescent="0.35">
      <c r="P145" s="41"/>
      <c r="Q145" s="41"/>
      <c r="R145" s="41"/>
      <c r="S145" s="41"/>
      <c r="AH145" s="40"/>
      <c r="AP145" s="40"/>
      <c r="AS145" s="41"/>
      <c r="AT145" s="41"/>
      <c r="AW145" t="str">
        <f t="shared" si="56"/>
        <v/>
      </c>
      <c r="AX145" t="str">
        <f t="shared" si="57"/>
        <v/>
      </c>
      <c r="AY145" t="str">
        <f t="shared" si="58"/>
        <v/>
      </c>
      <c r="AZ145" s="40"/>
      <c r="BL145" s="47" t="str">
        <f t="shared" si="59"/>
        <v/>
      </c>
      <c r="BM145" s="47" t="str">
        <f t="shared" si="60"/>
        <v/>
      </c>
      <c r="BN145" s="47" t="str">
        <f t="shared" si="61"/>
        <v/>
      </c>
      <c r="BO145" s="47" t="str">
        <f t="shared" si="62"/>
        <v/>
      </c>
      <c r="BP145" s="47" t="str">
        <f t="shared" si="63"/>
        <v/>
      </c>
      <c r="BQ145" s="48" t="str">
        <f t="shared" si="64"/>
        <v/>
      </c>
      <c r="BR145" s="48" t="str">
        <f t="shared" si="65"/>
        <v/>
      </c>
      <c r="BS145" s="48" t="str">
        <f t="shared" si="66"/>
        <v/>
      </c>
      <c r="BT145" s="47" t="str">
        <f t="shared" si="67"/>
        <v/>
      </c>
      <c r="CA145" s="47" t="str">
        <f t="shared" si="68"/>
        <v/>
      </c>
      <c r="CB145" s="47" t="str">
        <f t="shared" si="69"/>
        <v/>
      </c>
      <c r="CC145" s="47" t="str">
        <f t="shared" si="70"/>
        <v/>
      </c>
      <c r="CD145" s="47" t="str">
        <f t="shared" si="71"/>
        <v/>
      </c>
      <c r="CE145" s="47" t="str">
        <f>IF(AH145="","",IF(OR(AI145&lt;&gt;'Seasonal Tercile Tally'!$B$3,AM145&lt;&gt;'Seasonal Tercile Tally'!$B$4),"Other site/ season",IF(DT145=0,"Excluded: duplicate (later row)",IF(N145&lt;&gt;1,"Excluded: not sighted",IF(AC145&lt;&gt;1,"Excluded: not confirmed",IF(AD145&lt;&gt;1,"Excluded: not approved",IF(AP145="Contested","Excluded: contested",IF(OR(U145="",U145=0),"Excluded: no tercile",IF(CB145="","Counted (simple tally only — no weight)","Counted")))))))))</f>
        <v/>
      </c>
      <c r="CF145" s="49" t="str">
        <f>IF(AH145="","",IFERROR(INDEX('Prior Multipliers'!$C$6:$C$70,MATCH(LEFT(AH145,10),'Prior Multipliers'!$A$6:$A$70,0)),IFERROR(INDEX('Prior Multipliers'!$C$6:$C$70,MATCH(LEFT(AH145,6),'Prior Multipliers'!$A$6:$A$70,0)),IFERROR(INDEX('Prior Multipliers'!$C$6:$C$70,MATCH(LEFT(AH145,2),'Prior Multipliers'!$A$6:$A$70,0)),1))))</f>
        <v/>
      </c>
      <c r="CG145" s="49" t="str">
        <f>IF(CB145="","",IF(AND('Seasonal Tercile Tally'!$B$5=1,BT145="Rating-based"),CB145*CF145,CB145))</f>
        <v/>
      </c>
      <c r="CH145" s="47">
        <f t="shared" si="72"/>
        <v>0</v>
      </c>
      <c r="CI145" s="45"/>
      <c r="CJ145" s="42" t="str">
        <f t="shared" si="73"/>
        <v/>
      </c>
      <c r="CM145" s="42" t="str">
        <f t="shared" si="74"/>
        <v/>
      </c>
      <c r="CP145" s="46" t="str">
        <f t="shared" si="75"/>
        <v/>
      </c>
      <c r="CS145" s="46" t="str">
        <f t="shared" si="76"/>
        <v/>
      </c>
      <c r="CT145" s="42" t="str">
        <f t="shared" si="77"/>
        <v/>
      </c>
      <c r="CU145" s="42" t="str">
        <f t="shared" si="78"/>
        <v/>
      </c>
      <c r="CV145" s="42" t="str">
        <f t="shared" si="79"/>
        <v/>
      </c>
      <c r="DB145" s="45"/>
      <c r="DH145" s="42" t="str">
        <f t="shared" si="80"/>
        <v/>
      </c>
      <c r="DI145" s="43" t="str">
        <f t="shared" si="81"/>
        <v/>
      </c>
      <c r="DK145" s="46" t="str">
        <f t="shared" si="82"/>
        <v/>
      </c>
      <c r="DQ145" s="42" t="str">
        <f>IF(AH145="","",IFERROR(ROUND(100*('Weighting Options'!$D$7*IF(ISNUMBER(CA145),CA145/3,0)+'Weighting Options'!$D$8*MIN(N(BL145),3)/3+'Weighting Options'!$D$9*IF(AP145="Community/Plenary-endorsed",1,IF(AP145="FGD-validated only",0.75,IF(AP145="Sub-community-specific",0.5,IF(AP145="Provisional/emerging",0.25,0))))+'Weighting Options'!$D$10*IF(ISNUMBER(K145),K145/3,0)+'Weighting Options'!$D$11*IF(CC145="",0.5,IF(CC145="OK",1,0.25))+'Weighting Options'!$D$12*IF(DK145="",0.5,IF(DK145="Agrees",1,IF(DK145="Opposite",0,0.5)))+'Weighting Options'!$D$13*MIN(N(BG145),3)/3+'Weighting Options'!$D$14*IF(AE145=1,1,0))/SUM('Weighting Options'!$D$7:$D$14),0),""))</f>
        <v/>
      </c>
      <c r="DR145" s="44" t="str">
        <f>IF(AH145="","",IFERROR(INDEX('Weighting Options'!$D$20:$D$27,VALUE(LEFT(TRIM(BU145),1))),1))</f>
        <v/>
      </c>
      <c r="DS145" s="44" t="str">
        <f t="shared" si="83"/>
        <v/>
      </c>
      <c r="DT145" s="42" t="str">
        <f>IF(AH145="","",IF(COUNTIFS($AH$12:AH145,AH145,$AI$12:AI145,AI145,$AM$12:AM145,AM145)=1,1,0))</f>
        <v/>
      </c>
    </row>
    <row r="146" spans="16:124" ht="12.75" customHeight="1" x14ac:dyDescent="0.35">
      <c r="P146" s="41"/>
      <c r="Q146" s="41"/>
      <c r="R146" s="41"/>
      <c r="S146" s="41"/>
      <c r="AH146" s="40"/>
      <c r="AP146" s="40"/>
      <c r="AS146" s="41"/>
      <c r="AT146" s="41"/>
      <c r="AW146" t="str">
        <f t="shared" si="56"/>
        <v/>
      </c>
      <c r="AX146" t="str">
        <f t="shared" si="57"/>
        <v/>
      </c>
      <c r="AY146" t="str">
        <f t="shared" si="58"/>
        <v/>
      </c>
      <c r="AZ146" s="40"/>
      <c r="BL146" s="47" t="str">
        <f t="shared" si="59"/>
        <v/>
      </c>
      <c r="BM146" s="47" t="str">
        <f t="shared" si="60"/>
        <v/>
      </c>
      <c r="BN146" s="47" t="str">
        <f t="shared" si="61"/>
        <v/>
      </c>
      <c r="BO146" s="47" t="str">
        <f t="shared" si="62"/>
        <v/>
      </c>
      <c r="BP146" s="47" t="str">
        <f t="shared" si="63"/>
        <v/>
      </c>
      <c r="BQ146" s="48" t="str">
        <f t="shared" si="64"/>
        <v/>
      </c>
      <c r="BR146" s="48" t="str">
        <f t="shared" si="65"/>
        <v/>
      </c>
      <c r="BS146" s="48" t="str">
        <f t="shared" si="66"/>
        <v/>
      </c>
      <c r="BT146" s="47" t="str">
        <f t="shared" si="67"/>
        <v/>
      </c>
      <c r="CA146" s="47" t="str">
        <f t="shared" si="68"/>
        <v/>
      </c>
      <c r="CB146" s="47" t="str">
        <f t="shared" si="69"/>
        <v/>
      </c>
      <c r="CC146" s="47" t="str">
        <f t="shared" si="70"/>
        <v/>
      </c>
      <c r="CD146" s="47" t="str">
        <f t="shared" si="71"/>
        <v/>
      </c>
      <c r="CE146" s="47" t="str">
        <f>IF(AH146="","",IF(OR(AI146&lt;&gt;'Seasonal Tercile Tally'!$B$3,AM146&lt;&gt;'Seasonal Tercile Tally'!$B$4),"Other site/ season",IF(DT146=0,"Excluded: duplicate (later row)",IF(N146&lt;&gt;1,"Excluded: not sighted",IF(AC146&lt;&gt;1,"Excluded: not confirmed",IF(AD146&lt;&gt;1,"Excluded: not approved",IF(AP146="Contested","Excluded: contested",IF(OR(U146="",U146=0),"Excluded: no tercile",IF(CB146="","Counted (simple tally only — no weight)","Counted")))))))))</f>
        <v/>
      </c>
      <c r="CF146" s="49" t="str">
        <f>IF(AH146="","",IFERROR(INDEX('Prior Multipliers'!$C$6:$C$70,MATCH(LEFT(AH146,10),'Prior Multipliers'!$A$6:$A$70,0)),IFERROR(INDEX('Prior Multipliers'!$C$6:$C$70,MATCH(LEFT(AH146,6),'Prior Multipliers'!$A$6:$A$70,0)),IFERROR(INDEX('Prior Multipliers'!$C$6:$C$70,MATCH(LEFT(AH146,2),'Prior Multipliers'!$A$6:$A$70,0)),1))))</f>
        <v/>
      </c>
      <c r="CG146" s="49" t="str">
        <f>IF(CB146="","",IF(AND('Seasonal Tercile Tally'!$B$5=1,BT146="Rating-based"),CB146*CF146,CB146))</f>
        <v/>
      </c>
      <c r="CH146" s="47">
        <f t="shared" si="72"/>
        <v>0</v>
      </c>
      <c r="CI146" s="45"/>
      <c r="CJ146" s="42" t="str">
        <f t="shared" si="73"/>
        <v/>
      </c>
      <c r="CM146" s="42" t="str">
        <f t="shared" si="74"/>
        <v/>
      </c>
      <c r="CP146" s="46" t="str">
        <f t="shared" si="75"/>
        <v/>
      </c>
      <c r="CS146" s="46" t="str">
        <f t="shared" si="76"/>
        <v/>
      </c>
      <c r="CT146" s="42" t="str">
        <f t="shared" si="77"/>
        <v/>
      </c>
      <c r="CU146" s="42" t="str">
        <f t="shared" si="78"/>
        <v/>
      </c>
      <c r="CV146" s="42" t="str">
        <f t="shared" si="79"/>
        <v/>
      </c>
      <c r="DB146" s="45"/>
      <c r="DH146" s="42" t="str">
        <f t="shared" si="80"/>
        <v/>
      </c>
      <c r="DI146" s="43" t="str">
        <f t="shared" si="81"/>
        <v/>
      </c>
      <c r="DK146" s="46" t="str">
        <f t="shared" si="82"/>
        <v/>
      </c>
      <c r="DQ146" s="42" t="str">
        <f>IF(AH146="","",IFERROR(ROUND(100*('Weighting Options'!$D$7*IF(ISNUMBER(CA146),CA146/3,0)+'Weighting Options'!$D$8*MIN(N(BL146),3)/3+'Weighting Options'!$D$9*IF(AP146="Community/Plenary-endorsed",1,IF(AP146="FGD-validated only",0.75,IF(AP146="Sub-community-specific",0.5,IF(AP146="Provisional/emerging",0.25,0))))+'Weighting Options'!$D$10*IF(ISNUMBER(K146),K146/3,0)+'Weighting Options'!$D$11*IF(CC146="",0.5,IF(CC146="OK",1,0.25))+'Weighting Options'!$D$12*IF(DK146="",0.5,IF(DK146="Agrees",1,IF(DK146="Opposite",0,0.5)))+'Weighting Options'!$D$13*MIN(N(BG146),3)/3+'Weighting Options'!$D$14*IF(AE146=1,1,0))/SUM('Weighting Options'!$D$7:$D$14),0),""))</f>
        <v/>
      </c>
      <c r="DR146" s="44" t="str">
        <f>IF(AH146="","",IFERROR(INDEX('Weighting Options'!$D$20:$D$27,VALUE(LEFT(TRIM(BU146),1))),1))</f>
        <v/>
      </c>
      <c r="DS146" s="44" t="str">
        <f t="shared" si="83"/>
        <v/>
      </c>
      <c r="DT146" s="42" t="str">
        <f>IF(AH146="","",IF(COUNTIFS($AH$12:AH146,AH146,$AI$12:AI146,AI146,$AM$12:AM146,AM146)=1,1,0))</f>
        <v/>
      </c>
    </row>
    <row r="147" spans="16:124" ht="12.75" customHeight="1" x14ac:dyDescent="0.35">
      <c r="P147" s="41"/>
      <c r="Q147" s="41"/>
      <c r="R147" s="41"/>
      <c r="S147" s="41"/>
      <c r="AH147" s="40"/>
      <c r="AP147" s="40"/>
      <c r="AS147" s="41"/>
      <c r="AT147" s="41"/>
      <c r="AW147" t="str">
        <f t="shared" si="56"/>
        <v/>
      </c>
      <c r="AX147" t="str">
        <f t="shared" si="57"/>
        <v/>
      </c>
      <c r="AY147" t="str">
        <f t="shared" si="58"/>
        <v/>
      </c>
      <c r="AZ147" s="40"/>
      <c r="BL147" s="47" t="str">
        <f t="shared" si="59"/>
        <v/>
      </c>
      <c r="BM147" s="47" t="str">
        <f t="shared" si="60"/>
        <v/>
      </c>
      <c r="BN147" s="47" t="str">
        <f t="shared" si="61"/>
        <v/>
      </c>
      <c r="BO147" s="47" t="str">
        <f t="shared" si="62"/>
        <v/>
      </c>
      <c r="BP147" s="47" t="str">
        <f t="shared" si="63"/>
        <v/>
      </c>
      <c r="BQ147" s="48" t="str">
        <f t="shared" si="64"/>
        <v/>
      </c>
      <c r="BR147" s="48" t="str">
        <f t="shared" si="65"/>
        <v/>
      </c>
      <c r="BS147" s="48" t="str">
        <f t="shared" si="66"/>
        <v/>
      </c>
      <c r="BT147" s="47" t="str">
        <f t="shared" si="67"/>
        <v/>
      </c>
      <c r="CA147" s="47" t="str">
        <f t="shared" si="68"/>
        <v/>
      </c>
      <c r="CB147" s="47" t="str">
        <f t="shared" si="69"/>
        <v/>
      </c>
      <c r="CC147" s="47" t="str">
        <f t="shared" si="70"/>
        <v/>
      </c>
      <c r="CD147" s="47" t="str">
        <f t="shared" si="71"/>
        <v/>
      </c>
      <c r="CE147" s="47" t="str">
        <f>IF(AH147="","",IF(OR(AI147&lt;&gt;'Seasonal Tercile Tally'!$B$3,AM147&lt;&gt;'Seasonal Tercile Tally'!$B$4),"Other site/ season",IF(DT147=0,"Excluded: duplicate (later row)",IF(N147&lt;&gt;1,"Excluded: not sighted",IF(AC147&lt;&gt;1,"Excluded: not confirmed",IF(AD147&lt;&gt;1,"Excluded: not approved",IF(AP147="Contested","Excluded: contested",IF(OR(U147="",U147=0),"Excluded: no tercile",IF(CB147="","Counted (simple tally only — no weight)","Counted")))))))))</f>
        <v/>
      </c>
      <c r="CF147" s="49" t="str">
        <f>IF(AH147="","",IFERROR(INDEX('Prior Multipliers'!$C$6:$C$70,MATCH(LEFT(AH147,10),'Prior Multipliers'!$A$6:$A$70,0)),IFERROR(INDEX('Prior Multipliers'!$C$6:$C$70,MATCH(LEFT(AH147,6),'Prior Multipliers'!$A$6:$A$70,0)),IFERROR(INDEX('Prior Multipliers'!$C$6:$C$70,MATCH(LEFT(AH147,2),'Prior Multipliers'!$A$6:$A$70,0)),1))))</f>
        <v/>
      </c>
      <c r="CG147" s="49" t="str">
        <f>IF(CB147="","",IF(AND('Seasonal Tercile Tally'!$B$5=1,BT147="Rating-based"),CB147*CF147,CB147))</f>
        <v/>
      </c>
      <c r="CH147" s="47">
        <f t="shared" si="72"/>
        <v>0</v>
      </c>
      <c r="CI147" s="45"/>
      <c r="CJ147" s="42" t="str">
        <f t="shared" si="73"/>
        <v/>
      </c>
      <c r="CM147" s="42" t="str">
        <f t="shared" si="74"/>
        <v/>
      </c>
      <c r="CP147" s="46" t="str">
        <f t="shared" si="75"/>
        <v/>
      </c>
      <c r="CS147" s="46" t="str">
        <f t="shared" si="76"/>
        <v/>
      </c>
      <c r="CT147" s="42" t="str">
        <f t="shared" si="77"/>
        <v/>
      </c>
      <c r="CU147" s="42" t="str">
        <f t="shared" si="78"/>
        <v/>
      </c>
      <c r="CV147" s="42" t="str">
        <f t="shared" si="79"/>
        <v/>
      </c>
      <c r="DB147" s="45"/>
      <c r="DH147" s="42" t="str">
        <f t="shared" si="80"/>
        <v/>
      </c>
      <c r="DI147" s="43" t="str">
        <f t="shared" si="81"/>
        <v/>
      </c>
      <c r="DK147" s="46" t="str">
        <f t="shared" si="82"/>
        <v/>
      </c>
      <c r="DQ147" s="42" t="str">
        <f>IF(AH147="","",IFERROR(ROUND(100*('Weighting Options'!$D$7*IF(ISNUMBER(CA147),CA147/3,0)+'Weighting Options'!$D$8*MIN(N(BL147),3)/3+'Weighting Options'!$D$9*IF(AP147="Community/Plenary-endorsed",1,IF(AP147="FGD-validated only",0.75,IF(AP147="Sub-community-specific",0.5,IF(AP147="Provisional/emerging",0.25,0))))+'Weighting Options'!$D$10*IF(ISNUMBER(K147),K147/3,0)+'Weighting Options'!$D$11*IF(CC147="",0.5,IF(CC147="OK",1,0.25))+'Weighting Options'!$D$12*IF(DK147="",0.5,IF(DK147="Agrees",1,IF(DK147="Opposite",0,0.5)))+'Weighting Options'!$D$13*MIN(N(BG147),3)/3+'Weighting Options'!$D$14*IF(AE147=1,1,0))/SUM('Weighting Options'!$D$7:$D$14),0),""))</f>
        <v/>
      </c>
      <c r="DR147" s="44" t="str">
        <f>IF(AH147="","",IFERROR(INDEX('Weighting Options'!$D$20:$D$27,VALUE(LEFT(TRIM(BU147),1))),1))</f>
        <v/>
      </c>
      <c r="DS147" s="44" t="str">
        <f t="shared" si="83"/>
        <v/>
      </c>
      <c r="DT147" s="42" t="str">
        <f>IF(AH147="","",IF(COUNTIFS($AH$12:AH147,AH147,$AI$12:AI147,AI147,$AM$12:AM147,AM147)=1,1,0))</f>
        <v/>
      </c>
    </row>
    <row r="148" spans="16:124" ht="12.75" customHeight="1" x14ac:dyDescent="0.35">
      <c r="P148" s="41"/>
      <c r="Q148" s="41"/>
      <c r="R148" s="41"/>
      <c r="S148" s="41"/>
      <c r="AH148" s="40"/>
      <c r="AP148" s="40"/>
      <c r="AS148" s="41"/>
      <c r="AT148" s="41"/>
      <c r="AW148" t="str">
        <f t="shared" si="56"/>
        <v/>
      </c>
      <c r="AX148" t="str">
        <f t="shared" si="57"/>
        <v/>
      </c>
      <c r="AY148" t="str">
        <f t="shared" si="58"/>
        <v/>
      </c>
      <c r="AZ148" s="40"/>
      <c r="BL148" s="47" t="str">
        <f t="shared" si="59"/>
        <v/>
      </c>
      <c r="BM148" s="47" t="str">
        <f t="shared" si="60"/>
        <v/>
      </c>
      <c r="BN148" s="47" t="str">
        <f t="shared" si="61"/>
        <v/>
      </c>
      <c r="BO148" s="47" t="str">
        <f t="shared" si="62"/>
        <v/>
      </c>
      <c r="BP148" s="47" t="str">
        <f t="shared" si="63"/>
        <v/>
      </c>
      <c r="BQ148" s="48" t="str">
        <f t="shared" si="64"/>
        <v/>
      </c>
      <c r="BR148" s="48" t="str">
        <f t="shared" si="65"/>
        <v/>
      </c>
      <c r="BS148" s="48" t="str">
        <f t="shared" si="66"/>
        <v/>
      </c>
      <c r="BT148" s="47" t="str">
        <f t="shared" si="67"/>
        <v/>
      </c>
      <c r="CA148" s="47" t="str">
        <f t="shared" si="68"/>
        <v/>
      </c>
      <c r="CB148" s="47" t="str">
        <f t="shared" si="69"/>
        <v/>
      </c>
      <c r="CC148" s="47" t="str">
        <f t="shared" si="70"/>
        <v/>
      </c>
      <c r="CD148" s="47" t="str">
        <f t="shared" si="71"/>
        <v/>
      </c>
      <c r="CE148" s="47" t="str">
        <f>IF(AH148="","",IF(OR(AI148&lt;&gt;'Seasonal Tercile Tally'!$B$3,AM148&lt;&gt;'Seasonal Tercile Tally'!$B$4),"Other site/ season",IF(DT148=0,"Excluded: duplicate (later row)",IF(N148&lt;&gt;1,"Excluded: not sighted",IF(AC148&lt;&gt;1,"Excluded: not confirmed",IF(AD148&lt;&gt;1,"Excluded: not approved",IF(AP148="Contested","Excluded: contested",IF(OR(U148="",U148=0),"Excluded: no tercile",IF(CB148="","Counted (simple tally only — no weight)","Counted")))))))))</f>
        <v/>
      </c>
      <c r="CF148" s="49" t="str">
        <f>IF(AH148="","",IFERROR(INDEX('Prior Multipliers'!$C$6:$C$70,MATCH(LEFT(AH148,10),'Prior Multipliers'!$A$6:$A$70,0)),IFERROR(INDEX('Prior Multipliers'!$C$6:$C$70,MATCH(LEFT(AH148,6),'Prior Multipliers'!$A$6:$A$70,0)),IFERROR(INDEX('Prior Multipliers'!$C$6:$C$70,MATCH(LEFT(AH148,2),'Prior Multipliers'!$A$6:$A$70,0)),1))))</f>
        <v/>
      </c>
      <c r="CG148" s="49" t="str">
        <f>IF(CB148="","",IF(AND('Seasonal Tercile Tally'!$B$5=1,BT148="Rating-based"),CB148*CF148,CB148))</f>
        <v/>
      </c>
      <c r="CH148" s="47">
        <f t="shared" si="72"/>
        <v>0</v>
      </c>
      <c r="CI148" s="45"/>
      <c r="CJ148" s="42" t="str">
        <f t="shared" si="73"/>
        <v/>
      </c>
      <c r="CM148" s="42" t="str">
        <f t="shared" si="74"/>
        <v/>
      </c>
      <c r="CP148" s="46" t="str">
        <f t="shared" si="75"/>
        <v/>
      </c>
      <c r="CS148" s="46" t="str">
        <f t="shared" si="76"/>
        <v/>
      </c>
      <c r="CT148" s="42" t="str">
        <f t="shared" si="77"/>
        <v/>
      </c>
      <c r="CU148" s="42" t="str">
        <f t="shared" si="78"/>
        <v/>
      </c>
      <c r="CV148" s="42" t="str">
        <f t="shared" si="79"/>
        <v/>
      </c>
      <c r="DB148" s="45"/>
      <c r="DH148" s="42" t="str">
        <f t="shared" si="80"/>
        <v/>
      </c>
      <c r="DI148" s="43" t="str">
        <f t="shared" si="81"/>
        <v/>
      </c>
      <c r="DK148" s="46" t="str">
        <f t="shared" si="82"/>
        <v/>
      </c>
      <c r="DQ148" s="42" t="str">
        <f>IF(AH148="","",IFERROR(ROUND(100*('Weighting Options'!$D$7*IF(ISNUMBER(CA148),CA148/3,0)+'Weighting Options'!$D$8*MIN(N(BL148),3)/3+'Weighting Options'!$D$9*IF(AP148="Community/Plenary-endorsed",1,IF(AP148="FGD-validated only",0.75,IF(AP148="Sub-community-specific",0.5,IF(AP148="Provisional/emerging",0.25,0))))+'Weighting Options'!$D$10*IF(ISNUMBER(K148),K148/3,0)+'Weighting Options'!$D$11*IF(CC148="",0.5,IF(CC148="OK",1,0.25))+'Weighting Options'!$D$12*IF(DK148="",0.5,IF(DK148="Agrees",1,IF(DK148="Opposite",0,0.5)))+'Weighting Options'!$D$13*MIN(N(BG148),3)/3+'Weighting Options'!$D$14*IF(AE148=1,1,0))/SUM('Weighting Options'!$D$7:$D$14),0),""))</f>
        <v/>
      </c>
      <c r="DR148" s="44" t="str">
        <f>IF(AH148="","",IFERROR(INDEX('Weighting Options'!$D$20:$D$27,VALUE(LEFT(TRIM(BU148),1))),1))</f>
        <v/>
      </c>
      <c r="DS148" s="44" t="str">
        <f t="shared" si="83"/>
        <v/>
      </c>
      <c r="DT148" s="42" t="str">
        <f>IF(AH148="","",IF(COUNTIFS($AH$12:AH148,AH148,$AI$12:AI148,AI148,$AM$12:AM148,AM148)=1,1,0))</f>
        <v/>
      </c>
    </row>
    <row r="149" spans="16:124" ht="12.75" customHeight="1" x14ac:dyDescent="0.35">
      <c r="P149" s="41"/>
      <c r="Q149" s="41"/>
      <c r="R149" s="41"/>
      <c r="S149" s="41"/>
      <c r="AH149" s="40"/>
      <c r="AP149" s="40"/>
      <c r="AS149" s="41"/>
      <c r="AT149" s="41"/>
      <c r="AW149" t="str">
        <f t="shared" si="56"/>
        <v/>
      </c>
      <c r="AX149" t="str">
        <f t="shared" si="57"/>
        <v/>
      </c>
      <c r="AY149" t="str">
        <f t="shared" si="58"/>
        <v/>
      </c>
      <c r="AZ149" s="40"/>
      <c r="BL149" s="47" t="str">
        <f t="shared" si="59"/>
        <v/>
      </c>
      <c r="BM149" s="47" t="str">
        <f t="shared" si="60"/>
        <v/>
      </c>
      <c r="BN149" s="47" t="str">
        <f t="shared" si="61"/>
        <v/>
      </c>
      <c r="BO149" s="47" t="str">
        <f t="shared" si="62"/>
        <v/>
      </c>
      <c r="BP149" s="47" t="str">
        <f t="shared" si="63"/>
        <v/>
      </c>
      <c r="BQ149" s="48" t="str">
        <f t="shared" si="64"/>
        <v/>
      </c>
      <c r="BR149" s="48" t="str">
        <f t="shared" si="65"/>
        <v/>
      </c>
      <c r="BS149" s="48" t="str">
        <f t="shared" si="66"/>
        <v/>
      </c>
      <c r="BT149" s="47" t="str">
        <f t="shared" si="67"/>
        <v/>
      </c>
      <c r="CA149" s="47" t="str">
        <f t="shared" si="68"/>
        <v/>
      </c>
      <c r="CB149" s="47" t="str">
        <f t="shared" si="69"/>
        <v/>
      </c>
      <c r="CC149" s="47" t="str">
        <f t="shared" si="70"/>
        <v/>
      </c>
      <c r="CD149" s="47" t="str">
        <f t="shared" si="71"/>
        <v/>
      </c>
      <c r="CE149" s="47" t="str">
        <f>IF(AH149="","",IF(OR(AI149&lt;&gt;'Seasonal Tercile Tally'!$B$3,AM149&lt;&gt;'Seasonal Tercile Tally'!$B$4),"Other site/ season",IF(DT149=0,"Excluded: duplicate (later row)",IF(N149&lt;&gt;1,"Excluded: not sighted",IF(AC149&lt;&gt;1,"Excluded: not confirmed",IF(AD149&lt;&gt;1,"Excluded: not approved",IF(AP149="Contested","Excluded: contested",IF(OR(U149="",U149=0),"Excluded: no tercile",IF(CB149="","Counted (simple tally only — no weight)","Counted")))))))))</f>
        <v/>
      </c>
      <c r="CF149" s="49" t="str">
        <f>IF(AH149="","",IFERROR(INDEX('Prior Multipliers'!$C$6:$C$70,MATCH(LEFT(AH149,10),'Prior Multipliers'!$A$6:$A$70,0)),IFERROR(INDEX('Prior Multipliers'!$C$6:$C$70,MATCH(LEFT(AH149,6),'Prior Multipliers'!$A$6:$A$70,0)),IFERROR(INDEX('Prior Multipliers'!$C$6:$C$70,MATCH(LEFT(AH149,2),'Prior Multipliers'!$A$6:$A$70,0)),1))))</f>
        <v/>
      </c>
      <c r="CG149" s="49" t="str">
        <f>IF(CB149="","",IF(AND('Seasonal Tercile Tally'!$B$5=1,BT149="Rating-based"),CB149*CF149,CB149))</f>
        <v/>
      </c>
      <c r="CH149" s="47">
        <f t="shared" si="72"/>
        <v>0</v>
      </c>
      <c r="CI149" s="45"/>
      <c r="CJ149" s="42" t="str">
        <f t="shared" si="73"/>
        <v/>
      </c>
      <c r="CM149" s="42" t="str">
        <f t="shared" si="74"/>
        <v/>
      </c>
      <c r="CP149" s="46" t="str">
        <f t="shared" si="75"/>
        <v/>
      </c>
      <c r="CS149" s="46" t="str">
        <f t="shared" si="76"/>
        <v/>
      </c>
      <c r="CT149" s="42" t="str">
        <f t="shared" si="77"/>
        <v/>
      </c>
      <c r="CU149" s="42" t="str">
        <f t="shared" si="78"/>
        <v/>
      </c>
      <c r="CV149" s="42" t="str">
        <f t="shared" si="79"/>
        <v/>
      </c>
      <c r="DB149" s="45"/>
      <c r="DH149" s="42" t="str">
        <f t="shared" si="80"/>
        <v/>
      </c>
      <c r="DI149" s="43" t="str">
        <f t="shared" si="81"/>
        <v/>
      </c>
      <c r="DK149" s="46" t="str">
        <f t="shared" si="82"/>
        <v/>
      </c>
      <c r="DQ149" s="42" t="str">
        <f>IF(AH149="","",IFERROR(ROUND(100*('Weighting Options'!$D$7*IF(ISNUMBER(CA149),CA149/3,0)+'Weighting Options'!$D$8*MIN(N(BL149),3)/3+'Weighting Options'!$D$9*IF(AP149="Community/Plenary-endorsed",1,IF(AP149="FGD-validated only",0.75,IF(AP149="Sub-community-specific",0.5,IF(AP149="Provisional/emerging",0.25,0))))+'Weighting Options'!$D$10*IF(ISNUMBER(K149),K149/3,0)+'Weighting Options'!$D$11*IF(CC149="",0.5,IF(CC149="OK",1,0.25))+'Weighting Options'!$D$12*IF(DK149="",0.5,IF(DK149="Agrees",1,IF(DK149="Opposite",0,0.5)))+'Weighting Options'!$D$13*MIN(N(BG149),3)/3+'Weighting Options'!$D$14*IF(AE149=1,1,0))/SUM('Weighting Options'!$D$7:$D$14),0),""))</f>
        <v/>
      </c>
      <c r="DR149" s="44" t="str">
        <f>IF(AH149="","",IFERROR(INDEX('Weighting Options'!$D$20:$D$27,VALUE(LEFT(TRIM(BU149),1))),1))</f>
        <v/>
      </c>
      <c r="DS149" s="44" t="str">
        <f t="shared" si="83"/>
        <v/>
      </c>
      <c r="DT149" s="42" t="str">
        <f>IF(AH149="","",IF(COUNTIFS($AH$12:AH149,AH149,$AI$12:AI149,AI149,$AM$12:AM149,AM149)=1,1,0))</f>
        <v/>
      </c>
    </row>
    <row r="150" spans="16:124" ht="12.75" customHeight="1" x14ac:dyDescent="0.35">
      <c r="P150" s="41"/>
      <c r="Q150" s="41"/>
      <c r="R150" s="41"/>
      <c r="S150" s="41"/>
      <c r="AH150" s="40"/>
      <c r="AP150" s="40"/>
      <c r="AS150" s="41"/>
      <c r="AT150" s="41"/>
      <c r="AW150" t="str">
        <f t="shared" si="56"/>
        <v/>
      </c>
      <c r="AX150" t="str">
        <f t="shared" si="57"/>
        <v/>
      </c>
      <c r="AY150" t="str">
        <f t="shared" si="58"/>
        <v/>
      </c>
      <c r="AZ150" s="40"/>
      <c r="BL150" s="47" t="str">
        <f t="shared" si="59"/>
        <v/>
      </c>
      <c r="BM150" s="47" t="str">
        <f t="shared" si="60"/>
        <v/>
      </c>
      <c r="BN150" s="47" t="str">
        <f t="shared" si="61"/>
        <v/>
      </c>
      <c r="BO150" s="47" t="str">
        <f t="shared" si="62"/>
        <v/>
      </c>
      <c r="BP150" s="47" t="str">
        <f t="shared" si="63"/>
        <v/>
      </c>
      <c r="BQ150" s="48" t="str">
        <f t="shared" si="64"/>
        <v/>
      </c>
      <c r="BR150" s="48" t="str">
        <f t="shared" si="65"/>
        <v/>
      </c>
      <c r="BS150" s="48" t="str">
        <f t="shared" si="66"/>
        <v/>
      </c>
      <c r="BT150" s="47" t="str">
        <f t="shared" si="67"/>
        <v/>
      </c>
      <c r="CA150" s="47" t="str">
        <f t="shared" si="68"/>
        <v/>
      </c>
      <c r="CB150" s="47" t="str">
        <f t="shared" si="69"/>
        <v/>
      </c>
      <c r="CC150" s="47" t="str">
        <f t="shared" si="70"/>
        <v/>
      </c>
      <c r="CD150" s="47" t="str">
        <f t="shared" si="71"/>
        <v/>
      </c>
      <c r="CE150" s="47" t="str">
        <f>IF(AH150="","",IF(OR(AI150&lt;&gt;'Seasonal Tercile Tally'!$B$3,AM150&lt;&gt;'Seasonal Tercile Tally'!$B$4),"Other site/ season",IF(DT150=0,"Excluded: duplicate (later row)",IF(N150&lt;&gt;1,"Excluded: not sighted",IF(AC150&lt;&gt;1,"Excluded: not confirmed",IF(AD150&lt;&gt;1,"Excluded: not approved",IF(AP150="Contested","Excluded: contested",IF(OR(U150="",U150=0),"Excluded: no tercile",IF(CB150="","Counted (simple tally only — no weight)","Counted")))))))))</f>
        <v/>
      </c>
      <c r="CF150" s="49" t="str">
        <f>IF(AH150="","",IFERROR(INDEX('Prior Multipliers'!$C$6:$C$70,MATCH(LEFT(AH150,10),'Prior Multipliers'!$A$6:$A$70,0)),IFERROR(INDEX('Prior Multipliers'!$C$6:$C$70,MATCH(LEFT(AH150,6),'Prior Multipliers'!$A$6:$A$70,0)),IFERROR(INDEX('Prior Multipliers'!$C$6:$C$70,MATCH(LEFT(AH150,2),'Prior Multipliers'!$A$6:$A$70,0)),1))))</f>
        <v/>
      </c>
      <c r="CG150" s="49" t="str">
        <f>IF(CB150="","",IF(AND('Seasonal Tercile Tally'!$B$5=1,BT150="Rating-based"),CB150*CF150,CB150))</f>
        <v/>
      </c>
      <c r="CH150" s="47">
        <f t="shared" si="72"/>
        <v>0</v>
      </c>
      <c r="CI150" s="45"/>
      <c r="CJ150" s="42" t="str">
        <f t="shared" si="73"/>
        <v/>
      </c>
      <c r="CM150" s="42" t="str">
        <f t="shared" si="74"/>
        <v/>
      </c>
      <c r="CP150" s="46" t="str">
        <f t="shared" si="75"/>
        <v/>
      </c>
      <c r="CS150" s="46" t="str">
        <f t="shared" si="76"/>
        <v/>
      </c>
      <c r="CT150" s="42" t="str">
        <f t="shared" si="77"/>
        <v/>
      </c>
      <c r="CU150" s="42" t="str">
        <f t="shared" si="78"/>
        <v/>
      </c>
      <c r="CV150" s="42" t="str">
        <f t="shared" si="79"/>
        <v/>
      </c>
      <c r="DB150" s="45"/>
      <c r="DH150" s="42" t="str">
        <f t="shared" si="80"/>
        <v/>
      </c>
      <c r="DI150" s="43" t="str">
        <f t="shared" si="81"/>
        <v/>
      </c>
      <c r="DK150" s="46" t="str">
        <f t="shared" si="82"/>
        <v/>
      </c>
      <c r="DQ150" s="42" t="str">
        <f>IF(AH150="","",IFERROR(ROUND(100*('Weighting Options'!$D$7*IF(ISNUMBER(CA150),CA150/3,0)+'Weighting Options'!$D$8*MIN(N(BL150),3)/3+'Weighting Options'!$D$9*IF(AP150="Community/Plenary-endorsed",1,IF(AP150="FGD-validated only",0.75,IF(AP150="Sub-community-specific",0.5,IF(AP150="Provisional/emerging",0.25,0))))+'Weighting Options'!$D$10*IF(ISNUMBER(K150),K150/3,0)+'Weighting Options'!$D$11*IF(CC150="",0.5,IF(CC150="OK",1,0.25))+'Weighting Options'!$D$12*IF(DK150="",0.5,IF(DK150="Agrees",1,IF(DK150="Opposite",0,0.5)))+'Weighting Options'!$D$13*MIN(N(BG150),3)/3+'Weighting Options'!$D$14*IF(AE150=1,1,0))/SUM('Weighting Options'!$D$7:$D$14),0),""))</f>
        <v/>
      </c>
      <c r="DR150" s="44" t="str">
        <f>IF(AH150="","",IFERROR(INDEX('Weighting Options'!$D$20:$D$27,VALUE(LEFT(TRIM(BU150),1))),1))</f>
        <v/>
      </c>
      <c r="DS150" s="44" t="str">
        <f t="shared" si="83"/>
        <v/>
      </c>
      <c r="DT150" s="42" t="str">
        <f>IF(AH150="","",IF(COUNTIFS($AH$12:AH150,AH150,$AI$12:AI150,AI150,$AM$12:AM150,AM150)=1,1,0))</f>
        <v/>
      </c>
    </row>
    <row r="151" spans="16:124" ht="12.75" customHeight="1" x14ac:dyDescent="0.35">
      <c r="P151" s="41"/>
      <c r="Q151" s="41"/>
      <c r="R151" s="41"/>
      <c r="S151" s="41"/>
      <c r="AH151" s="40"/>
      <c r="AP151" s="40"/>
      <c r="AS151" s="41"/>
      <c r="AT151" s="41"/>
      <c r="AW151" t="str">
        <f t="shared" si="56"/>
        <v/>
      </c>
      <c r="AX151" t="str">
        <f t="shared" si="57"/>
        <v/>
      </c>
      <c r="AY151" t="str">
        <f t="shared" si="58"/>
        <v/>
      </c>
      <c r="AZ151" s="40"/>
      <c r="BL151" s="47" t="str">
        <f t="shared" si="59"/>
        <v/>
      </c>
      <c r="BM151" s="47" t="str">
        <f t="shared" si="60"/>
        <v/>
      </c>
      <c r="BN151" s="47" t="str">
        <f t="shared" si="61"/>
        <v/>
      </c>
      <c r="BO151" s="47" t="str">
        <f t="shared" si="62"/>
        <v/>
      </c>
      <c r="BP151" s="47" t="str">
        <f t="shared" si="63"/>
        <v/>
      </c>
      <c r="BQ151" s="48" t="str">
        <f t="shared" si="64"/>
        <v/>
      </c>
      <c r="BR151" s="48" t="str">
        <f t="shared" si="65"/>
        <v/>
      </c>
      <c r="BS151" s="48" t="str">
        <f t="shared" si="66"/>
        <v/>
      </c>
      <c r="BT151" s="47" t="str">
        <f t="shared" si="67"/>
        <v/>
      </c>
      <c r="CA151" s="47" t="str">
        <f t="shared" si="68"/>
        <v/>
      </c>
      <c r="CB151" s="47" t="str">
        <f t="shared" si="69"/>
        <v/>
      </c>
      <c r="CC151" s="47" t="str">
        <f t="shared" si="70"/>
        <v/>
      </c>
      <c r="CD151" s="47" t="str">
        <f t="shared" si="71"/>
        <v/>
      </c>
      <c r="CE151" s="47" t="str">
        <f>IF(AH151="","",IF(OR(AI151&lt;&gt;'Seasonal Tercile Tally'!$B$3,AM151&lt;&gt;'Seasonal Tercile Tally'!$B$4),"Other site/ season",IF(DT151=0,"Excluded: duplicate (later row)",IF(N151&lt;&gt;1,"Excluded: not sighted",IF(AC151&lt;&gt;1,"Excluded: not confirmed",IF(AD151&lt;&gt;1,"Excluded: not approved",IF(AP151="Contested","Excluded: contested",IF(OR(U151="",U151=0),"Excluded: no tercile",IF(CB151="","Counted (simple tally only — no weight)","Counted")))))))))</f>
        <v/>
      </c>
      <c r="CF151" s="49" t="str">
        <f>IF(AH151="","",IFERROR(INDEX('Prior Multipliers'!$C$6:$C$70,MATCH(LEFT(AH151,10),'Prior Multipliers'!$A$6:$A$70,0)),IFERROR(INDEX('Prior Multipliers'!$C$6:$C$70,MATCH(LEFT(AH151,6),'Prior Multipliers'!$A$6:$A$70,0)),IFERROR(INDEX('Prior Multipliers'!$C$6:$C$70,MATCH(LEFT(AH151,2),'Prior Multipliers'!$A$6:$A$70,0)),1))))</f>
        <v/>
      </c>
      <c r="CG151" s="49" t="str">
        <f>IF(CB151="","",IF(AND('Seasonal Tercile Tally'!$B$5=1,BT151="Rating-based"),CB151*CF151,CB151))</f>
        <v/>
      </c>
      <c r="CH151" s="47">
        <f t="shared" si="72"/>
        <v>0</v>
      </c>
      <c r="CI151" s="45"/>
      <c r="CJ151" s="42" t="str">
        <f t="shared" si="73"/>
        <v/>
      </c>
      <c r="CM151" s="42" t="str">
        <f t="shared" si="74"/>
        <v/>
      </c>
      <c r="CP151" s="46" t="str">
        <f t="shared" si="75"/>
        <v/>
      </c>
      <c r="CS151" s="46" t="str">
        <f t="shared" si="76"/>
        <v/>
      </c>
      <c r="CT151" s="42" t="str">
        <f t="shared" si="77"/>
        <v/>
      </c>
      <c r="CU151" s="42" t="str">
        <f t="shared" si="78"/>
        <v/>
      </c>
      <c r="CV151" s="42" t="str">
        <f t="shared" si="79"/>
        <v/>
      </c>
      <c r="DB151" s="45"/>
      <c r="DH151" s="42" t="str">
        <f t="shared" si="80"/>
        <v/>
      </c>
      <c r="DI151" s="43" t="str">
        <f t="shared" si="81"/>
        <v/>
      </c>
      <c r="DK151" s="46" t="str">
        <f t="shared" si="82"/>
        <v/>
      </c>
      <c r="DQ151" s="42" t="str">
        <f>IF(AH151="","",IFERROR(ROUND(100*('Weighting Options'!$D$7*IF(ISNUMBER(CA151),CA151/3,0)+'Weighting Options'!$D$8*MIN(N(BL151),3)/3+'Weighting Options'!$D$9*IF(AP151="Community/Plenary-endorsed",1,IF(AP151="FGD-validated only",0.75,IF(AP151="Sub-community-specific",0.5,IF(AP151="Provisional/emerging",0.25,0))))+'Weighting Options'!$D$10*IF(ISNUMBER(K151),K151/3,0)+'Weighting Options'!$D$11*IF(CC151="",0.5,IF(CC151="OK",1,0.25))+'Weighting Options'!$D$12*IF(DK151="",0.5,IF(DK151="Agrees",1,IF(DK151="Opposite",0,0.5)))+'Weighting Options'!$D$13*MIN(N(BG151),3)/3+'Weighting Options'!$D$14*IF(AE151=1,1,0))/SUM('Weighting Options'!$D$7:$D$14),0),""))</f>
        <v/>
      </c>
      <c r="DR151" s="44" t="str">
        <f>IF(AH151="","",IFERROR(INDEX('Weighting Options'!$D$20:$D$27,VALUE(LEFT(TRIM(BU151),1))),1))</f>
        <v/>
      </c>
      <c r="DS151" s="44" t="str">
        <f t="shared" si="83"/>
        <v/>
      </c>
      <c r="DT151" s="42" t="str">
        <f>IF(AH151="","",IF(COUNTIFS($AH$12:AH151,AH151,$AI$12:AI151,AI151,$AM$12:AM151,AM151)=1,1,0))</f>
        <v/>
      </c>
    </row>
    <row r="152" spans="16:124" ht="12.75" customHeight="1" x14ac:dyDescent="0.35">
      <c r="P152" s="41"/>
      <c r="Q152" s="41"/>
      <c r="R152" s="41"/>
      <c r="S152" s="41"/>
      <c r="AH152" s="40"/>
      <c r="AP152" s="40"/>
      <c r="AS152" s="41"/>
      <c r="AT152" s="41"/>
      <c r="AW152" t="str">
        <f t="shared" si="56"/>
        <v/>
      </c>
      <c r="AX152" t="str">
        <f t="shared" si="57"/>
        <v/>
      </c>
      <c r="AY152" t="str">
        <f t="shared" si="58"/>
        <v/>
      </c>
      <c r="AZ152" s="40"/>
      <c r="BL152" s="47" t="str">
        <f t="shared" si="59"/>
        <v/>
      </c>
      <c r="BM152" s="47" t="str">
        <f t="shared" si="60"/>
        <v/>
      </c>
      <c r="BN152" s="47" t="str">
        <f t="shared" si="61"/>
        <v/>
      </c>
      <c r="BO152" s="47" t="str">
        <f t="shared" si="62"/>
        <v/>
      </c>
      <c r="BP152" s="47" t="str">
        <f t="shared" si="63"/>
        <v/>
      </c>
      <c r="BQ152" s="48" t="str">
        <f t="shared" si="64"/>
        <v/>
      </c>
      <c r="BR152" s="48" t="str">
        <f t="shared" si="65"/>
        <v/>
      </c>
      <c r="BS152" s="48" t="str">
        <f t="shared" si="66"/>
        <v/>
      </c>
      <c r="BT152" s="47" t="str">
        <f t="shared" si="67"/>
        <v/>
      </c>
      <c r="CA152" s="47" t="str">
        <f t="shared" si="68"/>
        <v/>
      </c>
      <c r="CB152" s="47" t="str">
        <f t="shared" si="69"/>
        <v/>
      </c>
      <c r="CC152" s="47" t="str">
        <f t="shared" si="70"/>
        <v/>
      </c>
      <c r="CD152" s="47" t="str">
        <f t="shared" si="71"/>
        <v/>
      </c>
      <c r="CE152" s="47" t="str">
        <f>IF(AH152="","",IF(OR(AI152&lt;&gt;'Seasonal Tercile Tally'!$B$3,AM152&lt;&gt;'Seasonal Tercile Tally'!$B$4),"Other site/ season",IF(DT152=0,"Excluded: duplicate (later row)",IF(N152&lt;&gt;1,"Excluded: not sighted",IF(AC152&lt;&gt;1,"Excluded: not confirmed",IF(AD152&lt;&gt;1,"Excluded: not approved",IF(AP152="Contested","Excluded: contested",IF(OR(U152="",U152=0),"Excluded: no tercile",IF(CB152="","Counted (simple tally only — no weight)","Counted")))))))))</f>
        <v/>
      </c>
      <c r="CF152" s="49" t="str">
        <f>IF(AH152="","",IFERROR(INDEX('Prior Multipliers'!$C$6:$C$70,MATCH(LEFT(AH152,10),'Prior Multipliers'!$A$6:$A$70,0)),IFERROR(INDEX('Prior Multipliers'!$C$6:$C$70,MATCH(LEFT(AH152,6),'Prior Multipliers'!$A$6:$A$70,0)),IFERROR(INDEX('Prior Multipliers'!$C$6:$C$70,MATCH(LEFT(AH152,2),'Prior Multipliers'!$A$6:$A$70,0)),1))))</f>
        <v/>
      </c>
      <c r="CG152" s="49" t="str">
        <f>IF(CB152="","",IF(AND('Seasonal Tercile Tally'!$B$5=1,BT152="Rating-based"),CB152*CF152,CB152))</f>
        <v/>
      </c>
      <c r="CH152" s="47">
        <f t="shared" si="72"/>
        <v>0</v>
      </c>
      <c r="CI152" s="45"/>
      <c r="CJ152" s="42" t="str">
        <f t="shared" si="73"/>
        <v/>
      </c>
      <c r="CM152" s="42" t="str">
        <f t="shared" si="74"/>
        <v/>
      </c>
      <c r="CP152" s="46" t="str">
        <f t="shared" si="75"/>
        <v/>
      </c>
      <c r="CS152" s="46" t="str">
        <f t="shared" si="76"/>
        <v/>
      </c>
      <c r="CT152" s="42" t="str">
        <f t="shared" si="77"/>
        <v/>
      </c>
      <c r="CU152" s="42" t="str">
        <f t="shared" si="78"/>
        <v/>
      </c>
      <c r="CV152" s="42" t="str">
        <f t="shared" si="79"/>
        <v/>
      </c>
      <c r="DB152" s="45"/>
      <c r="DH152" s="42" t="str">
        <f t="shared" si="80"/>
        <v/>
      </c>
      <c r="DI152" s="43" t="str">
        <f t="shared" si="81"/>
        <v/>
      </c>
      <c r="DK152" s="46" t="str">
        <f t="shared" si="82"/>
        <v/>
      </c>
      <c r="DQ152" s="42" t="str">
        <f>IF(AH152="","",IFERROR(ROUND(100*('Weighting Options'!$D$7*IF(ISNUMBER(CA152),CA152/3,0)+'Weighting Options'!$D$8*MIN(N(BL152),3)/3+'Weighting Options'!$D$9*IF(AP152="Community/Plenary-endorsed",1,IF(AP152="FGD-validated only",0.75,IF(AP152="Sub-community-specific",0.5,IF(AP152="Provisional/emerging",0.25,0))))+'Weighting Options'!$D$10*IF(ISNUMBER(K152),K152/3,0)+'Weighting Options'!$D$11*IF(CC152="",0.5,IF(CC152="OK",1,0.25))+'Weighting Options'!$D$12*IF(DK152="",0.5,IF(DK152="Agrees",1,IF(DK152="Opposite",0,0.5)))+'Weighting Options'!$D$13*MIN(N(BG152),3)/3+'Weighting Options'!$D$14*IF(AE152=1,1,0))/SUM('Weighting Options'!$D$7:$D$14),0),""))</f>
        <v/>
      </c>
      <c r="DR152" s="44" t="str">
        <f>IF(AH152="","",IFERROR(INDEX('Weighting Options'!$D$20:$D$27,VALUE(LEFT(TRIM(BU152),1))),1))</f>
        <v/>
      </c>
      <c r="DS152" s="44" t="str">
        <f t="shared" si="83"/>
        <v/>
      </c>
      <c r="DT152" s="42" t="str">
        <f>IF(AH152="","",IF(COUNTIFS($AH$12:AH152,AH152,$AI$12:AI152,AI152,$AM$12:AM152,AM152)=1,1,0))</f>
        <v/>
      </c>
    </row>
    <row r="153" spans="16:124" ht="12.75" customHeight="1" x14ac:dyDescent="0.35">
      <c r="P153" s="41"/>
      <c r="Q153" s="41"/>
      <c r="R153" s="41"/>
      <c r="S153" s="41"/>
      <c r="AH153" s="40"/>
      <c r="AP153" s="40"/>
      <c r="AS153" s="41"/>
      <c r="AT153" s="41"/>
      <c r="AW153" t="str">
        <f t="shared" si="56"/>
        <v/>
      </c>
      <c r="AX153" t="str">
        <f t="shared" si="57"/>
        <v/>
      </c>
      <c r="AY153" t="str">
        <f t="shared" si="58"/>
        <v/>
      </c>
      <c r="AZ153" s="40"/>
      <c r="BL153" s="47" t="str">
        <f t="shared" si="59"/>
        <v/>
      </c>
      <c r="BM153" s="47" t="str">
        <f t="shared" si="60"/>
        <v/>
      </c>
      <c r="BN153" s="47" t="str">
        <f t="shared" si="61"/>
        <v/>
      </c>
      <c r="BO153" s="47" t="str">
        <f t="shared" si="62"/>
        <v/>
      </c>
      <c r="BP153" s="47" t="str">
        <f t="shared" si="63"/>
        <v/>
      </c>
      <c r="BQ153" s="48" t="str">
        <f t="shared" si="64"/>
        <v/>
      </c>
      <c r="BR153" s="48" t="str">
        <f t="shared" si="65"/>
        <v/>
      </c>
      <c r="BS153" s="48" t="str">
        <f t="shared" si="66"/>
        <v/>
      </c>
      <c r="BT153" s="47" t="str">
        <f t="shared" si="67"/>
        <v/>
      </c>
      <c r="CA153" s="47" t="str">
        <f t="shared" si="68"/>
        <v/>
      </c>
      <c r="CB153" s="47" t="str">
        <f t="shared" si="69"/>
        <v/>
      </c>
      <c r="CC153" s="47" t="str">
        <f t="shared" si="70"/>
        <v/>
      </c>
      <c r="CD153" s="47" t="str">
        <f t="shared" si="71"/>
        <v/>
      </c>
      <c r="CE153" s="47" t="str">
        <f>IF(AH153="","",IF(OR(AI153&lt;&gt;'Seasonal Tercile Tally'!$B$3,AM153&lt;&gt;'Seasonal Tercile Tally'!$B$4),"Other site/ season",IF(DT153=0,"Excluded: duplicate (later row)",IF(N153&lt;&gt;1,"Excluded: not sighted",IF(AC153&lt;&gt;1,"Excluded: not confirmed",IF(AD153&lt;&gt;1,"Excluded: not approved",IF(AP153="Contested","Excluded: contested",IF(OR(U153="",U153=0),"Excluded: no tercile",IF(CB153="","Counted (simple tally only — no weight)","Counted")))))))))</f>
        <v/>
      </c>
      <c r="CF153" s="49" t="str">
        <f>IF(AH153="","",IFERROR(INDEX('Prior Multipliers'!$C$6:$C$70,MATCH(LEFT(AH153,10),'Prior Multipliers'!$A$6:$A$70,0)),IFERROR(INDEX('Prior Multipliers'!$C$6:$C$70,MATCH(LEFT(AH153,6),'Prior Multipliers'!$A$6:$A$70,0)),IFERROR(INDEX('Prior Multipliers'!$C$6:$C$70,MATCH(LEFT(AH153,2),'Prior Multipliers'!$A$6:$A$70,0)),1))))</f>
        <v/>
      </c>
      <c r="CG153" s="49" t="str">
        <f>IF(CB153="","",IF(AND('Seasonal Tercile Tally'!$B$5=1,BT153="Rating-based"),CB153*CF153,CB153))</f>
        <v/>
      </c>
      <c r="CH153" s="47">
        <f t="shared" si="72"/>
        <v>0</v>
      </c>
      <c r="CI153" s="45"/>
      <c r="CJ153" s="42" t="str">
        <f t="shared" si="73"/>
        <v/>
      </c>
      <c r="CM153" s="42" t="str">
        <f t="shared" si="74"/>
        <v/>
      </c>
      <c r="CP153" s="46" t="str">
        <f t="shared" si="75"/>
        <v/>
      </c>
      <c r="CS153" s="46" t="str">
        <f t="shared" si="76"/>
        <v/>
      </c>
      <c r="CT153" s="42" t="str">
        <f t="shared" si="77"/>
        <v/>
      </c>
      <c r="CU153" s="42" t="str">
        <f t="shared" si="78"/>
        <v/>
      </c>
      <c r="CV153" s="42" t="str">
        <f t="shared" si="79"/>
        <v/>
      </c>
      <c r="DB153" s="45"/>
      <c r="DH153" s="42" t="str">
        <f t="shared" si="80"/>
        <v/>
      </c>
      <c r="DI153" s="43" t="str">
        <f t="shared" si="81"/>
        <v/>
      </c>
      <c r="DK153" s="46" t="str">
        <f t="shared" si="82"/>
        <v/>
      </c>
      <c r="DQ153" s="42" t="str">
        <f>IF(AH153="","",IFERROR(ROUND(100*('Weighting Options'!$D$7*IF(ISNUMBER(CA153),CA153/3,0)+'Weighting Options'!$D$8*MIN(N(BL153),3)/3+'Weighting Options'!$D$9*IF(AP153="Community/Plenary-endorsed",1,IF(AP153="FGD-validated only",0.75,IF(AP153="Sub-community-specific",0.5,IF(AP153="Provisional/emerging",0.25,0))))+'Weighting Options'!$D$10*IF(ISNUMBER(K153),K153/3,0)+'Weighting Options'!$D$11*IF(CC153="",0.5,IF(CC153="OK",1,0.25))+'Weighting Options'!$D$12*IF(DK153="",0.5,IF(DK153="Agrees",1,IF(DK153="Opposite",0,0.5)))+'Weighting Options'!$D$13*MIN(N(BG153),3)/3+'Weighting Options'!$D$14*IF(AE153=1,1,0))/SUM('Weighting Options'!$D$7:$D$14),0),""))</f>
        <v/>
      </c>
      <c r="DR153" s="44" t="str">
        <f>IF(AH153="","",IFERROR(INDEX('Weighting Options'!$D$20:$D$27,VALUE(LEFT(TRIM(BU153),1))),1))</f>
        <v/>
      </c>
      <c r="DS153" s="44" t="str">
        <f t="shared" si="83"/>
        <v/>
      </c>
      <c r="DT153" s="42" t="str">
        <f>IF(AH153="","",IF(COUNTIFS($AH$12:AH153,AH153,$AI$12:AI153,AI153,$AM$12:AM153,AM153)=1,1,0))</f>
        <v/>
      </c>
    </row>
    <row r="154" spans="16:124" ht="12.75" customHeight="1" x14ac:dyDescent="0.35">
      <c r="P154" s="41"/>
      <c r="Q154" s="41"/>
      <c r="R154" s="41"/>
      <c r="S154" s="41"/>
      <c r="AH154" s="40"/>
      <c r="AP154" s="40"/>
      <c r="AS154" s="41"/>
      <c r="AT154" s="41"/>
      <c r="AW154" t="str">
        <f t="shared" si="56"/>
        <v/>
      </c>
      <c r="AX154" t="str">
        <f t="shared" si="57"/>
        <v/>
      </c>
      <c r="AY154" t="str">
        <f t="shared" si="58"/>
        <v/>
      </c>
      <c r="AZ154" s="40"/>
      <c r="BL154" s="47" t="str">
        <f t="shared" si="59"/>
        <v/>
      </c>
      <c r="BM154" s="47" t="str">
        <f t="shared" si="60"/>
        <v/>
      </c>
      <c r="BN154" s="47" t="str">
        <f t="shared" si="61"/>
        <v/>
      </c>
      <c r="BO154" s="47" t="str">
        <f t="shared" si="62"/>
        <v/>
      </c>
      <c r="BP154" s="47" t="str">
        <f t="shared" si="63"/>
        <v/>
      </c>
      <c r="BQ154" s="48" t="str">
        <f t="shared" si="64"/>
        <v/>
      </c>
      <c r="BR154" s="48" t="str">
        <f t="shared" si="65"/>
        <v/>
      </c>
      <c r="BS154" s="48" t="str">
        <f t="shared" si="66"/>
        <v/>
      </c>
      <c r="BT154" s="47" t="str">
        <f t="shared" si="67"/>
        <v/>
      </c>
      <c r="CA154" s="47" t="str">
        <f t="shared" si="68"/>
        <v/>
      </c>
      <c r="CB154" s="47" t="str">
        <f t="shared" si="69"/>
        <v/>
      </c>
      <c r="CC154" s="47" t="str">
        <f t="shared" si="70"/>
        <v/>
      </c>
      <c r="CD154" s="47" t="str">
        <f t="shared" si="71"/>
        <v/>
      </c>
      <c r="CE154" s="47" t="str">
        <f>IF(AH154="","",IF(OR(AI154&lt;&gt;'Seasonal Tercile Tally'!$B$3,AM154&lt;&gt;'Seasonal Tercile Tally'!$B$4),"Other site/ season",IF(DT154=0,"Excluded: duplicate (later row)",IF(N154&lt;&gt;1,"Excluded: not sighted",IF(AC154&lt;&gt;1,"Excluded: not confirmed",IF(AD154&lt;&gt;1,"Excluded: not approved",IF(AP154="Contested","Excluded: contested",IF(OR(U154="",U154=0),"Excluded: no tercile",IF(CB154="","Counted (simple tally only — no weight)","Counted")))))))))</f>
        <v/>
      </c>
      <c r="CF154" s="49" t="str">
        <f>IF(AH154="","",IFERROR(INDEX('Prior Multipliers'!$C$6:$C$70,MATCH(LEFT(AH154,10),'Prior Multipliers'!$A$6:$A$70,0)),IFERROR(INDEX('Prior Multipliers'!$C$6:$C$70,MATCH(LEFT(AH154,6),'Prior Multipliers'!$A$6:$A$70,0)),IFERROR(INDEX('Prior Multipliers'!$C$6:$C$70,MATCH(LEFT(AH154,2),'Prior Multipliers'!$A$6:$A$70,0)),1))))</f>
        <v/>
      </c>
      <c r="CG154" s="49" t="str">
        <f>IF(CB154="","",IF(AND('Seasonal Tercile Tally'!$B$5=1,BT154="Rating-based"),CB154*CF154,CB154))</f>
        <v/>
      </c>
      <c r="CH154" s="47">
        <f t="shared" si="72"/>
        <v>0</v>
      </c>
      <c r="CI154" s="45"/>
      <c r="CJ154" s="42" t="str">
        <f t="shared" si="73"/>
        <v/>
      </c>
      <c r="CM154" s="42" t="str">
        <f t="shared" si="74"/>
        <v/>
      </c>
      <c r="CP154" s="46" t="str">
        <f t="shared" si="75"/>
        <v/>
      </c>
      <c r="CS154" s="46" t="str">
        <f t="shared" si="76"/>
        <v/>
      </c>
      <c r="CT154" s="42" t="str">
        <f t="shared" si="77"/>
        <v/>
      </c>
      <c r="CU154" s="42" t="str">
        <f t="shared" si="78"/>
        <v/>
      </c>
      <c r="CV154" s="42" t="str">
        <f t="shared" si="79"/>
        <v/>
      </c>
      <c r="DB154" s="45"/>
      <c r="DH154" s="42" t="str">
        <f t="shared" si="80"/>
        <v/>
      </c>
      <c r="DI154" s="43" t="str">
        <f t="shared" si="81"/>
        <v/>
      </c>
      <c r="DK154" s="46" t="str">
        <f t="shared" si="82"/>
        <v/>
      </c>
      <c r="DQ154" s="42" t="str">
        <f>IF(AH154="","",IFERROR(ROUND(100*('Weighting Options'!$D$7*IF(ISNUMBER(CA154),CA154/3,0)+'Weighting Options'!$D$8*MIN(N(BL154),3)/3+'Weighting Options'!$D$9*IF(AP154="Community/Plenary-endorsed",1,IF(AP154="FGD-validated only",0.75,IF(AP154="Sub-community-specific",0.5,IF(AP154="Provisional/emerging",0.25,0))))+'Weighting Options'!$D$10*IF(ISNUMBER(K154),K154/3,0)+'Weighting Options'!$D$11*IF(CC154="",0.5,IF(CC154="OK",1,0.25))+'Weighting Options'!$D$12*IF(DK154="",0.5,IF(DK154="Agrees",1,IF(DK154="Opposite",0,0.5)))+'Weighting Options'!$D$13*MIN(N(BG154),3)/3+'Weighting Options'!$D$14*IF(AE154=1,1,0))/SUM('Weighting Options'!$D$7:$D$14),0),""))</f>
        <v/>
      </c>
      <c r="DR154" s="44" t="str">
        <f>IF(AH154="","",IFERROR(INDEX('Weighting Options'!$D$20:$D$27,VALUE(LEFT(TRIM(BU154),1))),1))</f>
        <v/>
      </c>
      <c r="DS154" s="44" t="str">
        <f t="shared" si="83"/>
        <v/>
      </c>
      <c r="DT154" s="42" t="str">
        <f>IF(AH154="","",IF(COUNTIFS($AH$12:AH154,AH154,$AI$12:AI154,AI154,$AM$12:AM154,AM154)=1,1,0))</f>
        <v/>
      </c>
    </row>
    <row r="155" spans="16:124" ht="12.75" customHeight="1" x14ac:dyDescent="0.35">
      <c r="P155" s="41"/>
      <c r="Q155" s="41"/>
      <c r="R155" s="41"/>
      <c r="S155" s="41"/>
      <c r="AH155" s="40"/>
      <c r="AP155" s="40"/>
      <c r="AS155" s="41"/>
      <c r="AT155" s="41"/>
      <c r="AW155" t="str">
        <f t="shared" si="56"/>
        <v/>
      </c>
      <c r="AX155" t="str">
        <f t="shared" si="57"/>
        <v/>
      </c>
      <c r="AY155" t="str">
        <f t="shared" si="58"/>
        <v/>
      </c>
      <c r="AZ155" s="40"/>
      <c r="BL155" s="47" t="str">
        <f t="shared" si="59"/>
        <v/>
      </c>
      <c r="BM155" s="47" t="str">
        <f t="shared" si="60"/>
        <v/>
      </c>
      <c r="BN155" s="47" t="str">
        <f t="shared" si="61"/>
        <v/>
      </c>
      <c r="BO155" s="47" t="str">
        <f t="shared" si="62"/>
        <v/>
      </c>
      <c r="BP155" s="47" t="str">
        <f t="shared" si="63"/>
        <v/>
      </c>
      <c r="BQ155" s="48" t="str">
        <f t="shared" si="64"/>
        <v/>
      </c>
      <c r="BR155" s="48" t="str">
        <f t="shared" si="65"/>
        <v/>
      </c>
      <c r="BS155" s="48" t="str">
        <f t="shared" si="66"/>
        <v/>
      </c>
      <c r="BT155" s="47" t="str">
        <f t="shared" si="67"/>
        <v/>
      </c>
      <c r="CA155" s="47" t="str">
        <f t="shared" si="68"/>
        <v/>
      </c>
      <c r="CB155" s="47" t="str">
        <f t="shared" si="69"/>
        <v/>
      </c>
      <c r="CC155" s="47" t="str">
        <f t="shared" si="70"/>
        <v/>
      </c>
      <c r="CD155" s="47" t="str">
        <f t="shared" si="71"/>
        <v/>
      </c>
      <c r="CE155" s="47" t="str">
        <f>IF(AH155="","",IF(OR(AI155&lt;&gt;'Seasonal Tercile Tally'!$B$3,AM155&lt;&gt;'Seasonal Tercile Tally'!$B$4),"Other site/ season",IF(DT155=0,"Excluded: duplicate (later row)",IF(N155&lt;&gt;1,"Excluded: not sighted",IF(AC155&lt;&gt;1,"Excluded: not confirmed",IF(AD155&lt;&gt;1,"Excluded: not approved",IF(AP155="Contested","Excluded: contested",IF(OR(U155="",U155=0),"Excluded: no tercile",IF(CB155="","Counted (simple tally only — no weight)","Counted")))))))))</f>
        <v/>
      </c>
      <c r="CF155" s="49" t="str">
        <f>IF(AH155="","",IFERROR(INDEX('Prior Multipliers'!$C$6:$C$70,MATCH(LEFT(AH155,10),'Prior Multipliers'!$A$6:$A$70,0)),IFERROR(INDEX('Prior Multipliers'!$C$6:$C$70,MATCH(LEFT(AH155,6),'Prior Multipliers'!$A$6:$A$70,0)),IFERROR(INDEX('Prior Multipliers'!$C$6:$C$70,MATCH(LEFT(AH155,2),'Prior Multipliers'!$A$6:$A$70,0)),1))))</f>
        <v/>
      </c>
      <c r="CG155" s="49" t="str">
        <f>IF(CB155="","",IF(AND('Seasonal Tercile Tally'!$B$5=1,BT155="Rating-based"),CB155*CF155,CB155))</f>
        <v/>
      </c>
      <c r="CH155" s="47">
        <f t="shared" si="72"/>
        <v>0</v>
      </c>
      <c r="CI155" s="45"/>
      <c r="CJ155" s="42" t="str">
        <f t="shared" si="73"/>
        <v/>
      </c>
      <c r="CM155" s="42" t="str">
        <f t="shared" si="74"/>
        <v/>
      </c>
      <c r="CP155" s="46" t="str">
        <f t="shared" si="75"/>
        <v/>
      </c>
      <c r="CS155" s="46" t="str">
        <f t="shared" si="76"/>
        <v/>
      </c>
      <c r="CT155" s="42" t="str">
        <f t="shared" si="77"/>
        <v/>
      </c>
      <c r="CU155" s="42" t="str">
        <f t="shared" si="78"/>
        <v/>
      </c>
      <c r="CV155" s="42" t="str">
        <f t="shared" si="79"/>
        <v/>
      </c>
      <c r="DB155" s="45"/>
      <c r="DH155" s="42" t="str">
        <f t="shared" si="80"/>
        <v/>
      </c>
      <c r="DI155" s="43" t="str">
        <f t="shared" si="81"/>
        <v/>
      </c>
      <c r="DK155" s="46" t="str">
        <f t="shared" si="82"/>
        <v/>
      </c>
      <c r="DQ155" s="42" t="str">
        <f>IF(AH155="","",IFERROR(ROUND(100*('Weighting Options'!$D$7*IF(ISNUMBER(CA155),CA155/3,0)+'Weighting Options'!$D$8*MIN(N(BL155),3)/3+'Weighting Options'!$D$9*IF(AP155="Community/Plenary-endorsed",1,IF(AP155="FGD-validated only",0.75,IF(AP155="Sub-community-specific",0.5,IF(AP155="Provisional/emerging",0.25,0))))+'Weighting Options'!$D$10*IF(ISNUMBER(K155),K155/3,0)+'Weighting Options'!$D$11*IF(CC155="",0.5,IF(CC155="OK",1,0.25))+'Weighting Options'!$D$12*IF(DK155="",0.5,IF(DK155="Agrees",1,IF(DK155="Opposite",0,0.5)))+'Weighting Options'!$D$13*MIN(N(BG155),3)/3+'Weighting Options'!$D$14*IF(AE155=1,1,0))/SUM('Weighting Options'!$D$7:$D$14),0),""))</f>
        <v/>
      </c>
      <c r="DR155" s="44" t="str">
        <f>IF(AH155="","",IFERROR(INDEX('Weighting Options'!$D$20:$D$27,VALUE(LEFT(TRIM(BU155),1))),1))</f>
        <v/>
      </c>
      <c r="DS155" s="44" t="str">
        <f t="shared" si="83"/>
        <v/>
      </c>
      <c r="DT155" s="42" t="str">
        <f>IF(AH155="","",IF(COUNTIFS($AH$12:AH155,AH155,$AI$12:AI155,AI155,$AM$12:AM155,AM155)=1,1,0))</f>
        <v/>
      </c>
    </row>
    <row r="156" spans="16:124" ht="12.75" customHeight="1" x14ac:dyDescent="0.35">
      <c r="P156" s="41"/>
      <c r="Q156" s="41"/>
      <c r="R156" s="41"/>
      <c r="S156" s="41"/>
      <c r="AH156" s="40"/>
      <c r="AP156" s="40"/>
      <c r="AS156" s="41"/>
      <c r="AT156" s="41"/>
      <c r="AW156" t="str">
        <f t="shared" si="56"/>
        <v/>
      </c>
      <c r="AX156" t="str">
        <f t="shared" si="57"/>
        <v/>
      </c>
      <c r="AY156" t="str">
        <f t="shared" si="58"/>
        <v/>
      </c>
      <c r="AZ156" s="40"/>
      <c r="BL156" s="47" t="str">
        <f t="shared" si="59"/>
        <v/>
      </c>
      <c r="BM156" s="47" t="str">
        <f t="shared" si="60"/>
        <v/>
      </c>
      <c r="BN156" s="47" t="str">
        <f t="shared" si="61"/>
        <v/>
      </c>
      <c r="BO156" s="47" t="str">
        <f t="shared" si="62"/>
        <v/>
      </c>
      <c r="BP156" s="47" t="str">
        <f t="shared" si="63"/>
        <v/>
      </c>
      <c r="BQ156" s="48" t="str">
        <f t="shared" si="64"/>
        <v/>
      </c>
      <c r="BR156" s="48" t="str">
        <f t="shared" si="65"/>
        <v/>
      </c>
      <c r="BS156" s="48" t="str">
        <f t="shared" si="66"/>
        <v/>
      </c>
      <c r="BT156" s="47" t="str">
        <f t="shared" si="67"/>
        <v/>
      </c>
      <c r="CA156" s="47" t="str">
        <f t="shared" si="68"/>
        <v/>
      </c>
      <c r="CB156" s="47" t="str">
        <f t="shared" si="69"/>
        <v/>
      </c>
      <c r="CC156" s="47" t="str">
        <f t="shared" si="70"/>
        <v/>
      </c>
      <c r="CD156" s="47" t="str">
        <f t="shared" si="71"/>
        <v/>
      </c>
      <c r="CE156" s="47" t="str">
        <f>IF(AH156="","",IF(OR(AI156&lt;&gt;'Seasonal Tercile Tally'!$B$3,AM156&lt;&gt;'Seasonal Tercile Tally'!$B$4),"Other site/ season",IF(DT156=0,"Excluded: duplicate (later row)",IF(N156&lt;&gt;1,"Excluded: not sighted",IF(AC156&lt;&gt;1,"Excluded: not confirmed",IF(AD156&lt;&gt;1,"Excluded: not approved",IF(AP156="Contested","Excluded: contested",IF(OR(U156="",U156=0),"Excluded: no tercile",IF(CB156="","Counted (simple tally only — no weight)","Counted")))))))))</f>
        <v/>
      </c>
      <c r="CF156" s="49" t="str">
        <f>IF(AH156="","",IFERROR(INDEX('Prior Multipliers'!$C$6:$C$70,MATCH(LEFT(AH156,10),'Prior Multipliers'!$A$6:$A$70,0)),IFERROR(INDEX('Prior Multipliers'!$C$6:$C$70,MATCH(LEFT(AH156,6),'Prior Multipliers'!$A$6:$A$70,0)),IFERROR(INDEX('Prior Multipliers'!$C$6:$C$70,MATCH(LEFT(AH156,2),'Prior Multipliers'!$A$6:$A$70,0)),1))))</f>
        <v/>
      </c>
      <c r="CG156" s="49" t="str">
        <f>IF(CB156="","",IF(AND('Seasonal Tercile Tally'!$B$5=1,BT156="Rating-based"),CB156*CF156,CB156))</f>
        <v/>
      </c>
      <c r="CH156" s="47">
        <f t="shared" si="72"/>
        <v>0</v>
      </c>
      <c r="CI156" s="45"/>
      <c r="CJ156" s="42" t="str">
        <f t="shared" si="73"/>
        <v/>
      </c>
      <c r="CM156" s="42" t="str">
        <f t="shared" si="74"/>
        <v/>
      </c>
      <c r="CP156" s="46" t="str">
        <f t="shared" si="75"/>
        <v/>
      </c>
      <c r="CS156" s="46" t="str">
        <f t="shared" si="76"/>
        <v/>
      </c>
      <c r="CT156" s="42" t="str">
        <f t="shared" si="77"/>
        <v/>
      </c>
      <c r="CU156" s="42" t="str">
        <f t="shared" si="78"/>
        <v/>
      </c>
      <c r="CV156" s="42" t="str">
        <f t="shared" si="79"/>
        <v/>
      </c>
      <c r="DB156" s="45"/>
      <c r="DH156" s="42" t="str">
        <f t="shared" si="80"/>
        <v/>
      </c>
      <c r="DI156" s="43" t="str">
        <f t="shared" si="81"/>
        <v/>
      </c>
      <c r="DK156" s="46" t="str">
        <f t="shared" si="82"/>
        <v/>
      </c>
      <c r="DQ156" s="42" t="str">
        <f>IF(AH156="","",IFERROR(ROUND(100*('Weighting Options'!$D$7*IF(ISNUMBER(CA156),CA156/3,0)+'Weighting Options'!$D$8*MIN(N(BL156),3)/3+'Weighting Options'!$D$9*IF(AP156="Community/Plenary-endorsed",1,IF(AP156="FGD-validated only",0.75,IF(AP156="Sub-community-specific",0.5,IF(AP156="Provisional/emerging",0.25,0))))+'Weighting Options'!$D$10*IF(ISNUMBER(K156),K156/3,0)+'Weighting Options'!$D$11*IF(CC156="",0.5,IF(CC156="OK",1,0.25))+'Weighting Options'!$D$12*IF(DK156="",0.5,IF(DK156="Agrees",1,IF(DK156="Opposite",0,0.5)))+'Weighting Options'!$D$13*MIN(N(BG156),3)/3+'Weighting Options'!$D$14*IF(AE156=1,1,0))/SUM('Weighting Options'!$D$7:$D$14),0),""))</f>
        <v/>
      </c>
      <c r="DR156" s="44" t="str">
        <f>IF(AH156="","",IFERROR(INDEX('Weighting Options'!$D$20:$D$27,VALUE(LEFT(TRIM(BU156),1))),1))</f>
        <v/>
      </c>
      <c r="DS156" s="44" t="str">
        <f t="shared" si="83"/>
        <v/>
      </c>
      <c r="DT156" s="42" t="str">
        <f>IF(AH156="","",IF(COUNTIFS($AH$12:AH156,AH156,$AI$12:AI156,AI156,$AM$12:AM156,AM156)=1,1,0))</f>
        <v/>
      </c>
    </row>
    <row r="157" spans="16:124" ht="12.75" customHeight="1" x14ac:dyDescent="0.35">
      <c r="P157" s="41"/>
      <c r="Q157" s="41"/>
      <c r="R157" s="41"/>
      <c r="S157" s="41"/>
      <c r="AH157" s="40"/>
      <c r="AP157" s="40"/>
      <c r="AS157" s="41"/>
      <c r="AT157" s="41"/>
      <c r="AW157" t="str">
        <f t="shared" si="56"/>
        <v/>
      </c>
      <c r="AX157" t="str">
        <f t="shared" si="57"/>
        <v/>
      </c>
      <c r="AY157" t="str">
        <f t="shared" si="58"/>
        <v/>
      </c>
      <c r="AZ157" s="40"/>
      <c r="BL157" s="47" t="str">
        <f t="shared" si="59"/>
        <v/>
      </c>
      <c r="BM157" s="47" t="str">
        <f t="shared" si="60"/>
        <v/>
      </c>
      <c r="BN157" s="47" t="str">
        <f t="shared" si="61"/>
        <v/>
      </c>
      <c r="BO157" s="47" t="str">
        <f t="shared" si="62"/>
        <v/>
      </c>
      <c r="BP157" s="47" t="str">
        <f t="shared" si="63"/>
        <v/>
      </c>
      <c r="BQ157" s="48" t="str">
        <f t="shared" si="64"/>
        <v/>
      </c>
      <c r="BR157" s="48" t="str">
        <f t="shared" si="65"/>
        <v/>
      </c>
      <c r="BS157" s="48" t="str">
        <f t="shared" si="66"/>
        <v/>
      </c>
      <c r="BT157" s="47" t="str">
        <f t="shared" si="67"/>
        <v/>
      </c>
      <c r="CA157" s="47" t="str">
        <f t="shared" si="68"/>
        <v/>
      </c>
      <c r="CB157" s="47" t="str">
        <f t="shared" si="69"/>
        <v/>
      </c>
      <c r="CC157" s="47" t="str">
        <f t="shared" si="70"/>
        <v/>
      </c>
      <c r="CD157" s="47" t="str">
        <f t="shared" si="71"/>
        <v/>
      </c>
      <c r="CE157" s="47" t="str">
        <f>IF(AH157="","",IF(OR(AI157&lt;&gt;'Seasonal Tercile Tally'!$B$3,AM157&lt;&gt;'Seasonal Tercile Tally'!$B$4),"Other site/ season",IF(DT157=0,"Excluded: duplicate (later row)",IF(N157&lt;&gt;1,"Excluded: not sighted",IF(AC157&lt;&gt;1,"Excluded: not confirmed",IF(AD157&lt;&gt;1,"Excluded: not approved",IF(AP157="Contested","Excluded: contested",IF(OR(U157="",U157=0),"Excluded: no tercile",IF(CB157="","Counted (simple tally only — no weight)","Counted")))))))))</f>
        <v/>
      </c>
      <c r="CF157" s="49" t="str">
        <f>IF(AH157="","",IFERROR(INDEX('Prior Multipliers'!$C$6:$C$70,MATCH(LEFT(AH157,10),'Prior Multipliers'!$A$6:$A$70,0)),IFERROR(INDEX('Prior Multipliers'!$C$6:$C$70,MATCH(LEFT(AH157,6),'Prior Multipliers'!$A$6:$A$70,0)),IFERROR(INDEX('Prior Multipliers'!$C$6:$C$70,MATCH(LEFT(AH157,2),'Prior Multipliers'!$A$6:$A$70,0)),1))))</f>
        <v/>
      </c>
      <c r="CG157" s="49" t="str">
        <f>IF(CB157="","",IF(AND('Seasonal Tercile Tally'!$B$5=1,BT157="Rating-based"),CB157*CF157,CB157))</f>
        <v/>
      </c>
      <c r="CH157" s="47">
        <f t="shared" si="72"/>
        <v>0</v>
      </c>
      <c r="CI157" s="45"/>
      <c r="CJ157" s="42" t="str">
        <f t="shared" si="73"/>
        <v/>
      </c>
      <c r="CM157" s="42" t="str">
        <f t="shared" si="74"/>
        <v/>
      </c>
      <c r="CP157" s="46" t="str">
        <f t="shared" si="75"/>
        <v/>
      </c>
      <c r="CS157" s="46" t="str">
        <f t="shared" si="76"/>
        <v/>
      </c>
      <c r="CT157" s="42" t="str">
        <f t="shared" si="77"/>
        <v/>
      </c>
      <c r="CU157" s="42" t="str">
        <f t="shared" si="78"/>
        <v/>
      </c>
      <c r="CV157" s="42" t="str">
        <f t="shared" si="79"/>
        <v/>
      </c>
      <c r="DB157" s="45"/>
      <c r="DH157" s="42" t="str">
        <f t="shared" si="80"/>
        <v/>
      </c>
      <c r="DI157" s="43" t="str">
        <f t="shared" si="81"/>
        <v/>
      </c>
      <c r="DK157" s="46" t="str">
        <f t="shared" si="82"/>
        <v/>
      </c>
      <c r="DQ157" s="42" t="str">
        <f>IF(AH157="","",IFERROR(ROUND(100*('Weighting Options'!$D$7*IF(ISNUMBER(CA157),CA157/3,0)+'Weighting Options'!$D$8*MIN(N(BL157),3)/3+'Weighting Options'!$D$9*IF(AP157="Community/Plenary-endorsed",1,IF(AP157="FGD-validated only",0.75,IF(AP157="Sub-community-specific",0.5,IF(AP157="Provisional/emerging",0.25,0))))+'Weighting Options'!$D$10*IF(ISNUMBER(K157),K157/3,0)+'Weighting Options'!$D$11*IF(CC157="",0.5,IF(CC157="OK",1,0.25))+'Weighting Options'!$D$12*IF(DK157="",0.5,IF(DK157="Agrees",1,IF(DK157="Opposite",0,0.5)))+'Weighting Options'!$D$13*MIN(N(BG157),3)/3+'Weighting Options'!$D$14*IF(AE157=1,1,0))/SUM('Weighting Options'!$D$7:$D$14),0),""))</f>
        <v/>
      </c>
      <c r="DR157" s="44" t="str">
        <f>IF(AH157="","",IFERROR(INDEX('Weighting Options'!$D$20:$D$27,VALUE(LEFT(TRIM(BU157),1))),1))</f>
        <v/>
      </c>
      <c r="DS157" s="44" t="str">
        <f t="shared" si="83"/>
        <v/>
      </c>
      <c r="DT157" s="42" t="str">
        <f>IF(AH157="","",IF(COUNTIFS($AH$12:AH157,AH157,$AI$12:AI157,AI157,$AM$12:AM157,AM157)=1,1,0))</f>
        <v/>
      </c>
    </row>
    <row r="158" spans="16:124" ht="12.75" customHeight="1" x14ac:dyDescent="0.35">
      <c r="P158" s="41"/>
      <c r="Q158" s="41"/>
      <c r="R158" s="41"/>
      <c r="S158" s="41"/>
      <c r="AH158" s="40"/>
      <c r="AP158" s="40"/>
      <c r="AS158" s="41"/>
      <c r="AT158" s="41"/>
      <c r="AW158" t="str">
        <f t="shared" si="56"/>
        <v/>
      </c>
      <c r="AX158" t="str">
        <f t="shared" si="57"/>
        <v/>
      </c>
      <c r="AY158" t="str">
        <f t="shared" si="58"/>
        <v/>
      </c>
      <c r="AZ158" s="40"/>
      <c r="BL158" s="47" t="str">
        <f t="shared" si="59"/>
        <v/>
      </c>
      <c r="BM158" s="47" t="str">
        <f t="shared" si="60"/>
        <v/>
      </c>
      <c r="BN158" s="47" t="str">
        <f t="shared" si="61"/>
        <v/>
      </c>
      <c r="BO158" s="47" t="str">
        <f t="shared" si="62"/>
        <v/>
      </c>
      <c r="BP158" s="47" t="str">
        <f t="shared" si="63"/>
        <v/>
      </c>
      <c r="BQ158" s="48" t="str">
        <f t="shared" si="64"/>
        <v/>
      </c>
      <c r="BR158" s="48" t="str">
        <f t="shared" si="65"/>
        <v/>
      </c>
      <c r="BS158" s="48" t="str">
        <f t="shared" si="66"/>
        <v/>
      </c>
      <c r="BT158" s="47" t="str">
        <f t="shared" si="67"/>
        <v/>
      </c>
      <c r="CA158" s="47" t="str">
        <f t="shared" si="68"/>
        <v/>
      </c>
      <c r="CB158" s="47" t="str">
        <f t="shared" si="69"/>
        <v/>
      </c>
      <c r="CC158" s="47" t="str">
        <f t="shared" si="70"/>
        <v/>
      </c>
      <c r="CD158" s="47" t="str">
        <f t="shared" si="71"/>
        <v/>
      </c>
      <c r="CE158" s="47" t="str">
        <f>IF(AH158="","",IF(OR(AI158&lt;&gt;'Seasonal Tercile Tally'!$B$3,AM158&lt;&gt;'Seasonal Tercile Tally'!$B$4),"Other site/ season",IF(DT158=0,"Excluded: duplicate (later row)",IF(N158&lt;&gt;1,"Excluded: not sighted",IF(AC158&lt;&gt;1,"Excluded: not confirmed",IF(AD158&lt;&gt;1,"Excluded: not approved",IF(AP158="Contested","Excluded: contested",IF(OR(U158="",U158=0),"Excluded: no tercile",IF(CB158="","Counted (simple tally only — no weight)","Counted")))))))))</f>
        <v/>
      </c>
      <c r="CF158" s="49" t="str">
        <f>IF(AH158="","",IFERROR(INDEX('Prior Multipliers'!$C$6:$C$70,MATCH(LEFT(AH158,10),'Prior Multipliers'!$A$6:$A$70,0)),IFERROR(INDEX('Prior Multipliers'!$C$6:$C$70,MATCH(LEFT(AH158,6),'Prior Multipliers'!$A$6:$A$70,0)),IFERROR(INDEX('Prior Multipliers'!$C$6:$C$70,MATCH(LEFT(AH158,2),'Prior Multipliers'!$A$6:$A$70,0)),1))))</f>
        <v/>
      </c>
      <c r="CG158" s="49" t="str">
        <f>IF(CB158="","",IF(AND('Seasonal Tercile Tally'!$B$5=1,BT158="Rating-based"),CB158*CF158,CB158))</f>
        <v/>
      </c>
      <c r="CH158" s="47">
        <f t="shared" si="72"/>
        <v>0</v>
      </c>
      <c r="CI158" s="45"/>
      <c r="CJ158" s="42" t="str">
        <f t="shared" si="73"/>
        <v/>
      </c>
      <c r="CM158" s="42" t="str">
        <f t="shared" si="74"/>
        <v/>
      </c>
      <c r="CP158" s="46" t="str">
        <f t="shared" si="75"/>
        <v/>
      </c>
      <c r="CS158" s="46" t="str">
        <f t="shared" si="76"/>
        <v/>
      </c>
      <c r="CT158" s="42" t="str">
        <f t="shared" si="77"/>
        <v/>
      </c>
      <c r="CU158" s="42" t="str">
        <f t="shared" si="78"/>
        <v/>
      </c>
      <c r="CV158" s="42" t="str">
        <f t="shared" si="79"/>
        <v/>
      </c>
      <c r="DB158" s="45"/>
      <c r="DH158" s="42" t="str">
        <f t="shared" si="80"/>
        <v/>
      </c>
      <c r="DI158" s="43" t="str">
        <f t="shared" si="81"/>
        <v/>
      </c>
      <c r="DK158" s="46" t="str">
        <f t="shared" si="82"/>
        <v/>
      </c>
      <c r="DQ158" s="42" t="str">
        <f>IF(AH158="","",IFERROR(ROUND(100*('Weighting Options'!$D$7*IF(ISNUMBER(CA158),CA158/3,0)+'Weighting Options'!$D$8*MIN(N(BL158),3)/3+'Weighting Options'!$D$9*IF(AP158="Community/Plenary-endorsed",1,IF(AP158="FGD-validated only",0.75,IF(AP158="Sub-community-specific",0.5,IF(AP158="Provisional/emerging",0.25,0))))+'Weighting Options'!$D$10*IF(ISNUMBER(K158),K158/3,0)+'Weighting Options'!$D$11*IF(CC158="",0.5,IF(CC158="OK",1,0.25))+'Weighting Options'!$D$12*IF(DK158="",0.5,IF(DK158="Agrees",1,IF(DK158="Opposite",0,0.5)))+'Weighting Options'!$D$13*MIN(N(BG158),3)/3+'Weighting Options'!$D$14*IF(AE158=1,1,0))/SUM('Weighting Options'!$D$7:$D$14),0),""))</f>
        <v/>
      </c>
      <c r="DR158" s="44" t="str">
        <f>IF(AH158="","",IFERROR(INDEX('Weighting Options'!$D$20:$D$27,VALUE(LEFT(TRIM(BU158),1))),1))</f>
        <v/>
      </c>
      <c r="DS158" s="44" t="str">
        <f t="shared" si="83"/>
        <v/>
      </c>
      <c r="DT158" s="42" t="str">
        <f>IF(AH158="","",IF(COUNTIFS($AH$12:AH158,AH158,$AI$12:AI158,AI158,$AM$12:AM158,AM158)=1,1,0))</f>
        <v/>
      </c>
    </row>
    <row r="159" spans="16:124" ht="12.75" customHeight="1" x14ac:dyDescent="0.35">
      <c r="P159" s="41"/>
      <c r="Q159" s="41"/>
      <c r="R159" s="41"/>
      <c r="S159" s="41"/>
      <c r="AH159" s="40"/>
      <c r="AP159" s="40"/>
      <c r="AS159" s="41"/>
      <c r="AT159" s="41"/>
      <c r="AW159" t="str">
        <f t="shared" si="56"/>
        <v/>
      </c>
      <c r="AX159" t="str">
        <f t="shared" si="57"/>
        <v/>
      </c>
      <c r="AY159" t="str">
        <f t="shared" si="58"/>
        <v/>
      </c>
      <c r="AZ159" s="40"/>
      <c r="BL159" s="47" t="str">
        <f t="shared" si="59"/>
        <v/>
      </c>
      <c r="BM159" s="47" t="str">
        <f t="shared" si="60"/>
        <v/>
      </c>
      <c r="BN159" s="47" t="str">
        <f t="shared" si="61"/>
        <v/>
      </c>
      <c r="BO159" s="47" t="str">
        <f t="shared" si="62"/>
        <v/>
      </c>
      <c r="BP159" s="47" t="str">
        <f t="shared" si="63"/>
        <v/>
      </c>
      <c r="BQ159" s="48" t="str">
        <f t="shared" si="64"/>
        <v/>
      </c>
      <c r="BR159" s="48" t="str">
        <f t="shared" si="65"/>
        <v/>
      </c>
      <c r="BS159" s="48" t="str">
        <f t="shared" si="66"/>
        <v/>
      </c>
      <c r="BT159" s="47" t="str">
        <f t="shared" si="67"/>
        <v/>
      </c>
      <c r="CA159" s="47" t="str">
        <f t="shared" si="68"/>
        <v/>
      </c>
      <c r="CB159" s="47" t="str">
        <f t="shared" si="69"/>
        <v/>
      </c>
      <c r="CC159" s="47" t="str">
        <f t="shared" si="70"/>
        <v/>
      </c>
      <c r="CD159" s="47" t="str">
        <f t="shared" si="71"/>
        <v/>
      </c>
      <c r="CE159" s="47" t="str">
        <f>IF(AH159="","",IF(OR(AI159&lt;&gt;'Seasonal Tercile Tally'!$B$3,AM159&lt;&gt;'Seasonal Tercile Tally'!$B$4),"Other site/ season",IF(DT159=0,"Excluded: duplicate (later row)",IF(N159&lt;&gt;1,"Excluded: not sighted",IF(AC159&lt;&gt;1,"Excluded: not confirmed",IF(AD159&lt;&gt;1,"Excluded: not approved",IF(AP159="Contested","Excluded: contested",IF(OR(U159="",U159=0),"Excluded: no tercile",IF(CB159="","Counted (simple tally only — no weight)","Counted")))))))))</f>
        <v/>
      </c>
      <c r="CF159" s="49" t="str">
        <f>IF(AH159="","",IFERROR(INDEX('Prior Multipliers'!$C$6:$C$70,MATCH(LEFT(AH159,10),'Prior Multipliers'!$A$6:$A$70,0)),IFERROR(INDEX('Prior Multipliers'!$C$6:$C$70,MATCH(LEFT(AH159,6),'Prior Multipliers'!$A$6:$A$70,0)),IFERROR(INDEX('Prior Multipliers'!$C$6:$C$70,MATCH(LEFT(AH159,2),'Prior Multipliers'!$A$6:$A$70,0)),1))))</f>
        <v/>
      </c>
      <c r="CG159" s="49" t="str">
        <f>IF(CB159="","",IF(AND('Seasonal Tercile Tally'!$B$5=1,BT159="Rating-based"),CB159*CF159,CB159))</f>
        <v/>
      </c>
      <c r="CH159" s="47">
        <f t="shared" si="72"/>
        <v>0</v>
      </c>
      <c r="CI159" s="45"/>
      <c r="CJ159" s="42" t="str">
        <f t="shared" si="73"/>
        <v/>
      </c>
      <c r="CM159" s="42" t="str">
        <f t="shared" si="74"/>
        <v/>
      </c>
      <c r="CP159" s="46" t="str">
        <f t="shared" si="75"/>
        <v/>
      </c>
      <c r="CS159" s="46" t="str">
        <f t="shared" si="76"/>
        <v/>
      </c>
      <c r="CT159" s="42" t="str">
        <f t="shared" si="77"/>
        <v/>
      </c>
      <c r="CU159" s="42" t="str">
        <f t="shared" si="78"/>
        <v/>
      </c>
      <c r="CV159" s="42" t="str">
        <f t="shared" si="79"/>
        <v/>
      </c>
      <c r="DB159" s="45"/>
      <c r="DH159" s="42" t="str">
        <f t="shared" si="80"/>
        <v/>
      </c>
      <c r="DI159" s="43" t="str">
        <f t="shared" si="81"/>
        <v/>
      </c>
      <c r="DK159" s="46" t="str">
        <f t="shared" si="82"/>
        <v/>
      </c>
      <c r="DQ159" s="42" t="str">
        <f>IF(AH159="","",IFERROR(ROUND(100*('Weighting Options'!$D$7*IF(ISNUMBER(CA159),CA159/3,0)+'Weighting Options'!$D$8*MIN(N(BL159),3)/3+'Weighting Options'!$D$9*IF(AP159="Community/Plenary-endorsed",1,IF(AP159="FGD-validated only",0.75,IF(AP159="Sub-community-specific",0.5,IF(AP159="Provisional/emerging",0.25,0))))+'Weighting Options'!$D$10*IF(ISNUMBER(K159),K159/3,0)+'Weighting Options'!$D$11*IF(CC159="",0.5,IF(CC159="OK",1,0.25))+'Weighting Options'!$D$12*IF(DK159="",0.5,IF(DK159="Agrees",1,IF(DK159="Opposite",0,0.5)))+'Weighting Options'!$D$13*MIN(N(BG159),3)/3+'Weighting Options'!$D$14*IF(AE159=1,1,0))/SUM('Weighting Options'!$D$7:$D$14),0),""))</f>
        <v/>
      </c>
      <c r="DR159" s="44" t="str">
        <f>IF(AH159="","",IFERROR(INDEX('Weighting Options'!$D$20:$D$27,VALUE(LEFT(TRIM(BU159),1))),1))</f>
        <v/>
      </c>
      <c r="DS159" s="44" t="str">
        <f t="shared" si="83"/>
        <v/>
      </c>
      <c r="DT159" s="42" t="str">
        <f>IF(AH159="","",IF(COUNTIFS($AH$12:AH159,AH159,$AI$12:AI159,AI159,$AM$12:AM159,AM159)=1,1,0))</f>
        <v/>
      </c>
    </row>
    <row r="160" spans="16:124" ht="12.75" customHeight="1" x14ac:dyDescent="0.35">
      <c r="P160" s="41"/>
      <c r="Q160" s="41"/>
      <c r="R160" s="41"/>
      <c r="S160" s="41"/>
      <c r="AH160" s="40"/>
      <c r="AP160" s="40"/>
      <c r="AS160" s="41"/>
      <c r="AT160" s="41"/>
      <c r="AW160" t="str">
        <f t="shared" si="56"/>
        <v/>
      </c>
      <c r="AX160" t="str">
        <f t="shared" si="57"/>
        <v/>
      </c>
      <c r="AY160" t="str">
        <f t="shared" si="58"/>
        <v/>
      </c>
      <c r="AZ160" s="40"/>
      <c r="BL160" s="47" t="str">
        <f t="shared" si="59"/>
        <v/>
      </c>
      <c r="BM160" s="47" t="str">
        <f t="shared" si="60"/>
        <v/>
      </c>
      <c r="BN160" s="47" t="str">
        <f t="shared" si="61"/>
        <v/>
      </c>
      <c r="BO160" s="47" t="str">
        <f t="shared" si="62"/>
        <v/>
      </c>
      <c r="BP160" s="47" t="str">
        <f t="shared" si="63"/>
        <v/>
      </c>
      <c r="BQ160" s="48" t="str">
        <f t="shared" si="64"/>
        <v/>
      </c>
      <c r="BR160" s="48" t="str">
        <f t="shared" si="65"/>
        <v/>
      </c>
      <c r="BS160" s="48" t="str">
        <f t="shared" si="66"/>
        <v/>
      </c>
      <c r="BT160" s="47" t="str">
        <f t="shared" si="67"/>
        <v/>
      </c>
      <c r="CA160" s="47" t="str">
        <f t="shared" si="68"/>
        <v/>
      </c>
      <c r="CB160" s="47" t="str">
        <f t="shared" si="69"/>
        <v/>
      </c>
      <c r="CC160" s="47" t="str">
        <f t="shared" si="70"/>
        <v/>
      </c>
      <c r="CD160" s="47" t="str">
        <f t="shared" si="71"/>
        <v/>
      </c>
      <c r="CE160" s="47" t="str">
        <f>IF(AH160="","",IF(OR(AI160&lt;&gt;'Seasonal Tercile Tally'!$B$3,AM160&lt;&gt;'Seasonal Tercile Tally'!$B$4),"Other site/ season",IF(DT160=0,"Excluded: duplicate (later row)",IF(N160&lt;&gt;1,"Excluded: not sighted",IF(AC160&lt;&gt;1,"Excluded: not confirmed",IF(AD160&lt;&gt;1,"Excluded: not approved",IF(AP160="Contested","Excluded: contested",IF(OR(U160="",U160=0),"Excluded: no tercile",IF(CB160="","Counted (simple tally only — no weight)","Counted")))))))))</f>
        <v/>
      </c>
      <c r="CF160" s="49" t="str">
        <f>IF(AH160="","",IFERROR(INDEX('Prior Multipliers'!$C$6:$C$70,MATCH(LEFT(AH160,10),'Prior Multipliers'!$A$6:$A$70,0)),IFERROR(INDEX('Prior Multipliers'!$C$6:$C$70,MATCH(LEFT(AH160,6),'Prior Multipliers'!$A$6:$A$70,0)),IFERROR(INDEX('Prior Multipliers'!$C$6:$C$70,MATCH(LEFT(AH160,2),'Prior Multipliers'!$A$6:$A$70,0)),1))))</f>
        <v/>
      </c>
      <c r="CG160" s="49" t="str">
        <f>IF(CB160="","",IF(AND('Seasonal Tercile Tally'!$B$5=1,BT160="Rating-based"),CB160*CF160,CB160))</f>
        <v/>
      </c>
      <c r="CH160" s="47">
        <f t="shared" si="72"/>
        <v>0</v>
      </c>
      <c r="CI160" s="45"/>
      <c r="CJ160" s="42" t="str">
        <f t="shared" si="73"/>
        <v/>
      </c>
      <c r="CM160" s="42" t="str">
        <f t="shared" si="74"/>
        <v/>
      </c>
      <c r="CP160" s="46" t="str">
        <f t="shared" si="75"/>
        <v/>
      </c>
      <c r="CS160" s="46" t="str">
        <f t="shared" si="76"/>
        <v/>
      </c>
      <c r="CT160" s="42" t="str">
        <f t="shared" si="77"/>
        <v/>
      </c>
      <c r="CU160" s="42" t="str">
        <f t="shared" si="78"/>
        <v/>
      </c>
      <c r="CV160" s="42" t="str">
        <f t="shared" si="79"/>
        <v/>
      </c>
      <c r="DB160" s="45"/>
      <c r="DH160" s="42" t="str">
        <f t="shared" si="80"/>
        <v/>
      </c>
      <c r="DI160" s="43" t="str">
        <f t="shared" si="81"/>
        <v/>
      </c>
      <c r="DK160" s="46" t="str">
        <f t="shared" si="82"/>
        <v/>
      </c>
      <c r="DQ160" s="42" t="str">
        <f>IF(AH160="","",IFERROR(ROUND(100*('Weighting Options'!$D$7*IF(ISNUMBER(CA160),CA160/3,0)+'Weighting Options'!$D$8*MIN(N(BL160),3)/3+'Weighting Options'!$D$9*IF(AP160="Community/Plenary-endorsed",1,IF(AP160="FGD-validated only",0.75,IF(AP160="Sub-community-specific",0.5,IF(AP160="Provisional/emerging",0.25,0))))+'Weighting Options'!$D$10*IF(ISNUMBER(K160),K160/3,0)+'Weighting Options'!$D$11*IF(CC160="",0.5,IF(CC160="OK",1,0.25))+'Weighting Options'!$D$12*IF(DK160="",0.5,IF(DK160="Agrees",1,IF(DK160="Opposite",0,0.5)))+'Weighting Options'!$D$13*MIN(N(BG160),3)/3+'Weighting Options'!$D$14*IF(AE160=1,1,0))/SUM('Weighting Options'!$D$7:$D$14),0),""))</f>
        <v/>
      </c>
      <c r="DR160" s="44" t="str">
        <f>IF(AH160="","",IFERROR(INDEX('Weighting Options'!$D$20:$D$27,VALUE(LEFT(TRIM(BU160),1))),1))</f>
        <v/>
      </c>
      <c r="DS160" s="44" t="str">
        <f t="shared" si="83"/>
        <v/>
      </c>
      <c r="DT160" s="42" t="str">
        <f>IF(AH160="","",IF(COUNTIFS($AH$12:AH160,AH160,$AI$12:AI160,AI160,$AM$12:AM160,AM160)=1,1,0))</f>
        <v/>
      </c>
    </row>
    <row r="161" spans="16:124" ht="12.75" customHeight="1" x14ac:dyDescent="0.35">
      <c r="P161" s="41"/>
      <c r="Q161" s="41"/>
      <c r="R161" s="41"/>
      <c r="S161" s="41"/>
      <c r="AH161" s="40"/>
      <c r="AP161" s="40"/>
      <c r="AS161" s="41"/>
      <c r="AT161" s="41"/>
      <c r="AW161" t="str">
        <f t="shared" si="56"/>
        <v/>
      </c>
      <c r="AX161" t="str">
        <f t="shared" si="57"/>
        <v/>
      </c>
      <c r="AY161" t="str">
        <f t="shared" si="58"/>
        <v/>
      </c>
      <c r="AZ161" s="40"/>
      <c r="BL161" s="47" t="str">
        <f t="shared" si="59"/>
        <v/>
      </c>
      <c r="BM161" s="47" t="str">
        <f t="shared" si="60"/>
        <v/>
      </c>
      <c r="BN161" s="47" t="str">
        <f t="shared" si="61"/>
        <v/>
      </c>
      <c r="BO161" s="47" t="str">
        <f t="shared" si="62"/>
        <v/>
      </c>
      <c r="BP161" s="47" t="str">
        <f t="shared" si="63"/>
        <v/>
      </c>
      <c r="BQ161" s="48" t="str">
        <f t="shared" si="64"/>
        <v/>
      </c>
      <c r="BR161" s="48" t="str">
        <f t="shared" si="65"/>
        <v/>
      </c>
      <c r="BS161" s="48" t="str">
        <f t="shared" si="66"/>
        <v/>
      </c>
      <c r="BT161" s="47" t="str">
        <f t="shared" si="67"/>
        <v/>
      </c>
      <c r="CA161" s="47" t="str">
        <f t="shared" si="68"/>
        <v/>
      </c>
      <c r="CB161" s="47" t="str">
        <f t="shared" si="69"/>
        <v/>
      </c>
      <c r="CC161" s="47" t="str">
        <f t="shared" si="70"/>
        <v/>
      </c>
      <c r="CD161" s="47" t="str">
        <f t="shared" si="71"/>
        <v/>
      </c>
      <c r="CE161" s="47" t="str">
        <f>IF(AH161="","",IF(OR(AI161&lt;&gt;'Seasonal Tercile Tally'!$B$3,AM161&lt;&gt;'Seasonal Tercile Tally'!$B$4),"Other site/ season",IF(DT161=0,"Excluded: duplicate (later row)",IF(N161&lt;&gt;1,"Excluded: not sighted",IF(AC161&lt;&gt;1,"Excluded: not confirmed",IF(AD161&lt;&gt;1,"Excluded: not approved",IF(AP161="Contested","Excluded: contested",IF(OR(U161="",U161=0),"Excluded: no tercile",IF(CB161="","Counted (simple tally only — no weight)","Counted")))))))))</f>
        <v/>
      </c>
      <c r="CF161" s="49" t="str">
        <f>IF(AH161="","",IFERROR(INDEX('Prior Multipliers'!$C$6:$C$70,MATCH(LEFT(AH161,10),'Prior Multipliers'!$A$6:$A$70,0)),IFERROR(INDEX('Prior Multipliers'!$C$6:$C$70,MATCH(LEFT(AH161,6),'Prior Multipliers'!$A$6:$A$70,0)),IFERROR(INDEX('Prior Multipliers'!$C$6:$C$70,MATCH(LEFT(AH161,2),'Prior Multipliers'!$A$6:$A$70,0)),1))))</f>
        <v/>
      </c>
      <c r="CG161" s="49" t="str">
        <f>IF(CB161="","",IF(AND('Seasonal Tercile Tally'!$B$5=1,BT161="Rating-based"),CB161*CF161,CB161))</f>
        <v/>
      </c>
      <c r="CH161" s="47">
        <f t="shared" si="72"/>
        <v>0</v>
      </c>
      <c r="CI161" s="45"/>
      <c r="CJ161" s="42" t="str">
        <f t="shared" si="73"/>
        <v/>
      </c>
      <c r="CM161" s="42" t="str">
        <f t="shared" si="74"/>
        <v/>
      </c>
      <c r="CP161" s="46" t="str">
        <f t="shared" si="75"/>
        <v/>
      </c>
      <c r="CS161" s="46" t="str">
        <f t="shared" si="76"/>
        <v/>
      </c>
      <c r="CT161" s="42" t="str">
        <f t="shared" si="77"/>
        <v/>
      </c>
      <c r="CU161" s="42" t="str">
        <f t="shared" si="78"/>
        <v/>
      </c>
      <c r="CV161" s="42" t="str">
        <f t="shared" si="79"/>
        <v/>
      </c>
      <c r="DB161" s="45"/>
      <c r="DH161" s="42" t="str">
        <f t="shared" si="80"/>
        <v/>
      </c>
      <c r="DI161" s="43" t="str">
        <f t="shared" si="81"/>
        <v/>
      </c>
      <c r="DK161" s="46" t="str">
        <f t="shared" si="82"/>
        <v/>
      </c>
      <c r="DQ161" s="42" t="str">
        <f>IF(AH161="","",IFERROR(ROUND(100*('Weighting Options'!$D$7*IF(ISNUMBER(CA161),CA161/3,0)+'Weighting Options'!$D$8*MIN(N(BL161),3)/3+'Weighting Options'!$D$9*IF(AP161="Community/Plenary-endorsed",1,IF(AP161="FGD-validated only",0.75,IF(AP161="Sub-community-specific",0.5,IF(AP161="Provisional/emerging",0.25,0))))+'Weighting Options'!$D$10*IF(ISNUMBER(K161),K161/3,0)+'Weighting Options'!$D$11*IF(CC161="",0.5,IF(CC161="OK",1,0.25))+'Weighting Options'!$D$12*IF(DK161="",0.5,IF(DK161="Agrees",1,IF(DK161="Opposite",0,0.5)))+'Weighting Options'!$D$13*MIN(N(BG161),3)/3+'Weighting Options'!$D$14*IF(AE161=1,1,0))/SUM('Weighting Options'!$D$7:$D$14),0),""))</f>
        <v/>
      </c>
      <c r="DR161" s="44" t="str">
        <f>IF(AH161="","",IFERROR(INDEX('Weighting Options'!$D$20:$D$27,VALUE(LEFT(TRIM(BU161),1))),1))</f>
        <v/>
      </c>
      <c r="DS161" s="44" t="str">
        <f t="shared" si="83"/>
        <v/>
      </c>
      <c r="DT161" s="42" t="str">
        <f>IF(AH161="","",IF(COUNTIFS($AH$12:AH161,AH161,$AI$12:AI161,AI161,$AM$12:AM161,AM161)=1,1,0))</f>
        <v/>
      </c>
    </row>
    <row r="162" spans="16:124" ht="12.75" customHeight="1" x14ac:dyDescent="0.35">
      <c r="P162" s="41"/>
      <c r="Q162" s="41"/>
      <c r="R162" s="41"/>
      <c r="S162" s="41"/>
      <c r="AH162" s="40"/>
      <c r="AP162" s="40"/>
      <c r="AS162" s="41"/>
      <c r="AT162" s="41"/>
      <c r="AW162" t="str">
        <f t="shared" si="56"/>
        <v/>
      </c>
      <c r="AX162" t="str">
        <f t="shared" si="57"/>
        <v/>
      </c>
      <c r="AY162" t="str">
        <f t="shared" si="58"/>
        <v/>
      </c>
      <c r="AZ162" s="40"/>
      <c r="BL162" s="47" t="str">
        <f t="shared" si="59"/>
        <v/>
      </c>
      <c r="BM162" s="47" t="str">
        <f t="shared" si="60"/>
        <v/>
      </c>
      <c r="BN162" s="47" t="str">
        <f t="shared" si="61"/>
        <v/>
      </c>
      <c r="BO162" s="47" t="str">
        <f t="shared" si="62"/>
        <v/>
      </c>
      <c r="BP162" s="47" t="str">
        <f t="shared" si="63"/>
        <v/>
      </c>
      <c r="BQ162" s="48" t="str">
        <f t="shared" si="64"/>
        <v/>
      </c>
      <c r="BR162" s="48" t="str">
        <f t="shared" si="65"/>
        <v/>
      </c>
      <c r="BS162" s="48" t="str">
        <f t="shared" si="66"/>
        <v/>
      </c>
      <c r="BT162" s="47" t="str">
        <f t="shared" si="67"/>
        <v/>
      </c>
      <c r="CA162" s="47" t="str">
        <f t="shared" si="68"/>
        <v/>
      </c>
      <c r="CB162" s="47" t="str">
        <f t="shared" si="69"/>
        <v/>
      </c>
      <c r="CC162" s="47" t="str">
        <f t="shared" si="70"/>
        <v/>
      </c>
      <c r="CD162" s="47" t="str">
        <f t="shared" si="71"/>
        <v/>
      </c>
      <c r="CE162" s="47" t="str">
        <f>IF(AH162="","",IF(OR(AI162&lt;&gt;'Seasonal Tercile Tally'!$B$3,AM162&lt;&gt;'Seasonal Tercile Tally'!$B$4),"Other site/ season",IF(DT162=0,"Excluded: duplicate (later row)",IF(N162&lt;&gt;1,"Excluded: not sighted",IF(AC162&lt;&gt;1,"Excluded: not confirmed",IF(AD162&lt;&gt;1,"Excluded: not approved",IF(AP162="Contested","Excluded: contested",IF(OR(U162="",U162=0),"Excluded: no tercile",IF(CB162="","Counted (simple tally only — no weight)","Counted")))))))))</f>
        <v/>
      </c>
      <c r="CF162" s="49" t="str">
        <f>IF(AH162="","",IFERROR(INDEX('Prior Multipliers'!$C$6:$C$70,MATCH(LEFT(AH162,10),'Prior Multipliers'!$A$6:$A$70,0)),IFERROR(INDEX('Prior Multipliers'!$C$6:$C$70,MATCH(LEFT(AH162,6),'Prior Multipliers'!$A$6:$A$70,0)),IFERROR(INDEX('Prior Multipliers'!$C$6:$C$70,MATCH(LEFT(AH162,2),'Prior Multipliers'!$A$6:$A$70,0)),1))))</f>
        <v/>
      </c>
      <c r="CG162" s="49" t="str">
        <f>IF(CB162="","",IF(AND('Seasonal Tercile Tally'!$B$5=1,BT162="Rating-based"),CB162*CF162,CB162))</f>
        <v/>
      </c>
      <c r="CH162" s="47">
        <f t="shared" si="72"/>
        <v>0</v>
      </c>
      <c r="CI162" s="45"/>
      <c r="CJ162" s="42" t="str">
        <f t="shared" si="73"/>
        <v/>
      </c>
      <c r="CM162" s="42" t="str">
        <f t="shared" si="74"/>
        <v/>
      </c>
      <c r="CP162" s="46" t="str">
        <f t="shared" si="75"/>
        <v/>
      </c>
      <c r="CS162" s="46" t="str">
        <f t="shared" si="76"/>
        <v/>
      </c>
      <c r="CT162" s="42" t="str">
        <f t="shared" si="77"/>
        <v/>
      </c>
      <c r="CU162" s="42" t="str">
        <f t="shared" si="78"/>
        <v/>
      </c>
      <c r="CV162" s="42" t="str">
        <f t="shared" si="79"/>
        <v/>
      </c>
      <c r="DB162" s="45"/>
      <c r="DH162" s="42" t="str">
        <f t="shared" si="80"/>
        <v/>
      </c>
      <c r="DI162" s="43" t="str">
        <f t="shared" si="81"/>
        <v/>
      </c>
      <c r="DK162" s="46" t="str">
        <f t="shared" si="82"/>
        <v/>
      </c>
      <c r="DQ162" s="42" t="str">
        <f>IF(AH162="","",IFERROR(ROUND(100*('Weighting Options'!$D$7*IF(ISNUMBER(CA162),CA162/3,0)+'Weighting Options'!$D$8*MIN(N(BL162),3)/3+'Weighting Options'!$D$9*IF(AP162="Community/Plenary-endorsed",1,IF(AP162="FGD-validated only",0.75,IF(AP162="Sub-community-specific",0.5,IF(AP162="Provisional/emerging",0.25,0))))+'Weighting Options'!$D$10*IF(ISNUMBER(K162),K162/3,0)+'Weighting Options'!$D$11*IF(CC162="",0.5,IF(CC162="OK",1,0.25))+'Weighting Options'!$D$12*IF(DK162="",0.5,IF(DK162="Agrees",1,IF(DK162="Opposite",0,0.5)))+'Weighting Options'!$D$13*MIN(N(BG162),3)/3+'Weighting Options'!$D$14*IF(AE162=1,1,0))/SUM('Weighting Options'!$D$7:$D$14),0),""))</f>
        <v/>
      </c>
      <c r="DR162" s="44" t="str">
        <f>IF(AH162="","",IFERROR(INDEX('Weighting Options'!$D$20:$D$27,VALUE(LEFT(TRIM(BU162),1))),1))</f>
        <v/>
      </c>
      <c r="DS162" s="44" t="str">
        <f t="shared" si="83"/>
        <v/>
      </c>
      <c r="DT162" s="42" t="str">
        <f>IF(AH162="","",IF(COUNTIFS($AH$12:AH162,AH162,$AI$12:AI162,AI162,$AM$12:AM162,AM162)=1,1,0))</f>
        <v/>
      </c>
    </row>
    <row r="163" spans="16:124" ht="12.75" customHeight="1" x14ac:dyDescent="0.35">
      <c r="P163" s="41"/>
      <c r="Q163" s="41"/>
      <c r="R163" s="41"/>
      <c r="S163" s="41"/>
      <c r="AH163" s="40"/>
      <c r="AP163" s="40"/>
      <c r="AS163" s="41"/>
      <c r="AT163" s="41"/>
      <c r="AW163" t="str">
        <f t="shared" si="56"/>
        <v/>
      </c>
      <c r="AX163" t="str">
        <f t="shared" si="57"/>
        <v/>
      </c>
      <c r="AY163" t="str">
        <f t="shared" si="58"/>
        <v/>
      </c>
      <c r="AZ163" s="40"/>
      <c r="BL163" s="47" t="str">
        <f t="shared" si="59"/>
        <v/>
      </c>
      <c r="BM163" s="47" t="str">
        <f t="shared" si="60"/>
        <v/>
      </c>
      <c r="BN163" s="47" t="str">
        <f t="shared" si="61"/>
        <v/>
      </c>
      <c r="BO163" s="47" t="str">
        <f t="shared" si="62"/>
        <v/>
      </c>
      <c r="BP163" s="47" t="str">
        <f t="shared" si="63"/>
        <v/>
      </c>
      <c r="BQ163" s="48" t="str">
        <f t="shared" si="64"/>
        <v/>
      </c>
      <c r="BR163" s="48" t="str">
        <f t="shared" si="65"/>
        <v/>
      </c>
      <c r="BS163" s="48" t="str">
        <f t="shared" si="66"/>
        <v/>
      </c>
      <c r="BT163" s="47" t="str">
        <f t="shared" si="67"/>
        <v/>
      </c>
      <c r="CA163" s="47" t="str">
        <f t="shared" si="68"/>
        <v/>
      </c>
      <c r="CB163" s="47" t="str">
        <f t="shared" si="69"/>
        <v/>
      </c>
      <c r="CC163" s="47" t="str">
        <f t="shared" si="70"/>
        <v/>
      </c>
      <c r="CD163" s="47" t="str">
        <f t="shared" si="71"/>
        <v/>
      </c>
      <c r="CE163" s="47" t="str">
        <f>IF(AH163="","",IF(OR(AI163&lt;&gt;'Seasonal Tercile Tally'!$B$3,AM163&lt;&gt;'Seasonal Tercile Tally'!$B$4),"Other site/ season",IF(DT163=0,"Excluded: duplicate (later row)",IF(N163&lt;&gt;1,"Excluded: not sighted",IF(AC163&lt;&gt;1,"Excluded: not confirmed",IF(AD163&lt;&gt;1,"Excluded: not approved",IF(AP163="Contested","Excluded: contested",IF(OR(U163="",U163=0),"Excluded: no tercile",IF(CB163="","Counted (simple tally only — no weight)","Counted")))))))))</f>
        <v/>
      </c>
      <c r="CF163" s="49" t="str">
        <f>IF(AH163="","",IFERROR(INDEX('Prior Multipliers'!$C$6:$C$70,MATCH(LEFT(AH163,10),'Prior Multipliers'!$A$6:$A$70,0)),IFERROR(INDEX('Prior Multipliers'!$C$6:$C$70,MATCH(LEFT(AH163,6),'Prior Multipliers'!$A$6:$A$70,0)),IFERROR(INDEX('Prior Multipliers'!$C$6:$C$70,MATCH(LEFT(AH163,2),'Prior Multipliers'!$A$6:$A$70,0)),1))))</f>
        <v/>
      </c>
      <c r="CG163" s="49" t="str">
        <f>IF(CB163="","",IF(AND('Seasonal Tercile Tally'!$B$5=1,BT163="Rating-based"),CB163*CF163,CB163))</f>
        <v/>
      </c>
      <c r="CH163" s="47">
        <f t="shared" si="72"/>
        <v>0</v>
      </c>
      <c r="CI163" s="45"/>
      <c r="CJ163" s="42" t="str">
        <f t="shared" si="73"/>
        <v/>
      </c>
      <c r="CM163" s="42" t="str">
        <f t="shared" si="74"/>
        <v/>
      </c>
      <c r="CP163" s="46" t="str">
        <f t="shared" si="75"/>
        <v/>
      </c>
      <c r="CS163" s="46" t="str">
        <f t="shared" si="76"/>
        <v/>
      </c>
      <c r="CT163" s="42" t="str">
        <f t="shared" si="77"/>
        <v/>
      </c>
      <c r="CU163" s="42" t="str">
        <f t="shared" si="78"/>
        <v/>
      </c>
      <c r="CV163" s="42" t="str">
        <f t="shared" si="79"/>
        <v/>
      </c>
      <c r="DB163" s="45"/>
      <c r="DH163" s="42" t="str">
        <f t="shared" si="80"/>
        <v/>
      </c>
      <c r="DI163" s="43" t="str">
        <f t="shared" si="81"/>
        <v/>
      </c>
      <c r="DK163" s="46" t="str">
        <f t="shared" si="82"/>
        <v/>
      </c>
      <c r="DQ163" s="42" t="str">
        <f>IF(AH163="","",IFERROR(ROUND(100*('Weighting Options'!$D$7*IF(ISNUMBER(CA163),CA163/3,0)+'Weighting Options'!$D$8*MIN(N(BL163),3)/3+'Weighting Options'!$D$9*IF(AP163="Community/Plenary-endorsed",1,IF(AP163="FGD-validated only",0.75,IF(AP163="Sub-community-specific",0.5,IF(AP163="Provisional/emerging",0.25,0))))+'Weighting Options'!$D$10*IF(ISNUMBER(K163),K163/3,0)+'Weighting Options'!$D$11*IF(CC163="",0.5,IF(CC163="OK",1,0.25))+'Weighting Options'!$D$12*IF(DK163="",0.5,IF(DK163="Agrees",1,IF(DK163="Opposite",0,0.5)))+'Weighting Options'!$D$13*MIN(N(BG163),3)/3+'Weighting Options'!$D$14*IF(AE163=1,1,0))/SUM('Weighting Options'!$D$7:$D$14),0),""))</f>
        <v/>
      </c>
      <c r="DR163" s="44" t="str">
        <f>IF(AH163="","",IFERROR(INDEX('Weighting Options'!$D$20:$D$27,VALUE(LEFT(TRIM(BU163),1))),1))</f>
        <v/>
      </c>
      <c r="DS163" s="44" t="str">
        <f t="shared" si="83"/>
        <v/>
      </c>
      <c r="DT163" s="42" t="str">
        <f>IF(AH163="","",IF(COUNTIFS($AH$12:AH163,AH163,$AI$12:AI163,AI163,$AM$12:AM163,AM163)=1,1,0))</f>
        <v/>
      </c>
    </row>
    <row r="164" spans="16:124" ht="12.75" customHeight="1" x14ac:dyDescent="0.35">
      <c r="P164" s="41"/>
      <c r="Q164" s="41"/>
      <c r="R164" s="41"/>
      <c r="S164" s="41"/>
      <c r="AH164" s="40"/>
      <c r="AP164" s="40"/>
      <c r="AS164" s="41"/>
      <c r="AT164" s="41"/>
      <c r="AW164" t="str">
        <f t="shared" si="56"/>
        <v/>
      </c>
      <c r="AX164" t="str">
        <f t="shared" si="57"/>
        <v/>
      </c>
      <c r="AY164" t="str">
        <f t="shared" si="58"/>
        <v/>
      </c>
      <c r="AZ164" s="40"/>
      <c r="BL164" s="47" t="str">
        <f t="shared" si="59"/>
        <v/>
      </c>
      <c r="BM164" s="47" t="str">
        <f t="shared" si="60"/>
        <v/>
      </c>
      <c r="BN164" s="47" t="str">
        <f t="shared" si="61"/>
        <v/>
      </c>
      <c r="BO164" s="47" t="str">
        <f t="shared" si="62"/>
        <v/>
      </c>
      <c r="BP164" s="47" t="str">
        <f t="shared" si="63"/>
        <v/>
      </c>
      <c r="BQ164" s="48" t="str">
        <f t="shared" si="64"/>
        <v/>
      </c>
      <c r="BR164" s="48" t="str">
        <f t="shared" si="65"/>
        <v/>
      </c>
      <c r="BS164" s="48" t="str">
        <f t="shared" si="66"/>
        <v/>
      </c>
      <c r="BT164" s="47" t="str">
        <f t="shared" si="67"/>
        <v/>
      </c>
      <c r="CA164" s="47" t="str">
        <f t="shared" si="68"/>
        <v/>
      </c>
      <c r="CB164" s="47" t="str">
        <f t="shared" si="69"/>
        <v/>
      </c>
      <c r="CC164" s="47" t="str">
        <f t="shared" si="70"/>
        <v/>
      </c>
      <c r="CD164" s="47" t="str">
        <f t="shared" si="71"/>
        <v/>
      </c>
      <c r="CE164" s="47" t="str">
        <f>IF(AH164="","",IF(OR(AI164&lt;&gt;'Seasonal Tercile Tally'!$B$3,AM164&lt;&gt;'Seasonal Tercile Tally'!$B$4),"Other site/ season",IF(DT164=0,"Excluded: duplicate (later row)",IF(N164&lt;&gt;1,"Excluded: not sighted",IF(AC164&lt;&gt;1,"Excluded: not confirmed",IF(AD164&lt;&gt;1,"Excluded: not approved",IF(AP164="Contested","Excluded: contested",IF(OR(U164="",U164=0),"Excluded: no tercile",IF(CB164="","Counted (simple tally only — no weight)","Counted")))))))))</f>
        <v/>
      </c>
      <c r="CF164" s="49" t="str">
        <f>IF(AH164="","",IFERROR(INDEX('Prior Multipliers'!$C$6:$C$70,MATCH(LEFT(AH164,10),'Prior Multipliers'!$A$6:$A$70,0)),IFERROR(INDEX('Prior Multipliers'!$C$6:$C$70,MATCH(LEFT(AH164,6),'Prior Multipliers'!$A$6:$A$70,0)),IFERROR(INDEX('Prior Multipliers'!$C$6:$C$70,MATCH(LEFT(AH164,2),'Prior Multipliers'!$A$6:$A$70,0)),1))))</f>
        <v/>
      </c>
      <c r="CG164" s="49" t="str">
        <f>IF(CB164="","",IF(AND('Seasonal Tercile Tally'!$B$5=1,BT164="Rating-based"),CB164*CF164,CB164))</f>
        <v/>
      </c>
      <c r="CH164" s="47">
        <f t="shared" si="72"/>
        <v>0</v>
      </c>
      <c r="CI164" s="45"/>
      <c r="CJ164" s="42" t="str">
        <f t="shared" si="73"/>
        <v/>
      </c>
      <c r="CM164" s="42" t="str">
        <f t="shared" si="74"/>
        <v/>
      </c>
      <c r="CP164" s="46" t="str">
        <f t="shared" si="75"/>
        <v/>
      </c>
      <c r="CS164" s="46" t="str">
        <f t="shared" si="76"/>
        <v/>
      </c>
      <c r="CT164" s="42" t="str">
        <f t="shared" si="77"/>
        <v/>
      </c>
      <c r="CU164" s="42" t="str">
        <f t="shared" si="78"/>
        <v/>
      </c>
      <c r="CV164" s="42" t="str">
        <f t="shared" si="79"/>
        <v/>
      </c>
      <c r="DB164" s="45"/>
      <c r="DH164" s="42" t="str">
        <f t="shared" si="80"/>
        <v/>
      </c>
      <c r="DI164" s="43" t="str">
        <f t="shared" si="81"/>
        <v/>
      </c>
      <c r="DK164" s="46" t="str">
        <f t="shared" si="82"/>
        <v/>
      </c>
      <c r="DQ164" s="42" t="str">
        <f>IF(AH164="","",IFERROR(ROUND(100*('Weighting Options'!$D$7*IF(ISNUMBER(CA164),CA164/3,0)+'Weighting Options'!$D$8*MIN(N(BL164),3)/3+'Weighting Options'!$D$9*IF(AP164="Community/Plenary-endorsed",1,IF(AP164="FGD-validated only",0.75,IF(AP164="Sub-community-specific",0.5,IF(AP164="Provisional/emerging",0.25,0))))+'Weighting Options'!$D$10*IF(ISNUMBER(K164),K164/3,0)+'Weighting Options'!$D$11*IF(CC164="",0.5,IF(CC164="OK",1,0.25))+'Weighting Options'!$D$12*IF(DK164="",0.5,IF(DK164="Agrees",1,IF(DK164="Opposite",0,0.5)))+'Weighting Options'!$D$13*MIN(N(BG164),3)/3+'Weighting Options'!$D$14*IF(AE164=1,1,0))/SUM('Weighting Options'!$D$7:$D$14),0),""))</f>
        <v/>
      </c>
      <c r="DR164" s="44" t="str">
        <f>IF(AH164="","",IFERROR(INDEX('Weighting Options'!$D$20:$D$27,VALUE(LEFT(TRIM(BU164),1))),1))</f>
        <v/>
      </c>
      <c r="DS164" s="44" t="str">
        <f t="shared" si="83"/>
        <v/>
      </c>
      <c r="DT164" s="42" t="str">
        <f>IF(AH164="","",IF(COUNTIFS($AH$12:AH164,AH164,$AI$12:AI164,AI164,$AM$12:AM164,AM164)=1,1,0))</f>
        <v/>
      </c>
    </row>
    <row r="165" spans="16:124" ht="12.75" customHeight="1" x14ac:dyDescent="0.35">
      <c r="P165" s="41"/>
      <c r="Q165" s="41"/>
      <c r="R165" s="41"/>
      <c r="S165" s="41"/>
      <c r="AH165" s="40"/>
      <c r="AP165" s="40"/>
      <c r="AS165" s="41"/>
      <c r="AT165" s="41"/>
      <c r="AW165" t="str">
        <f t="shared" si="56"/>
        <v/>
      </c>
      <c r="AX165" t="str">
        <f t="shared" si="57"/>
        <v/>
      </c>
      <c r="AY165" t="str">
        <f t="shared" si="58"/>
        <v/>
      </c>
      <c r="AZ165" s="40"/>
      <c r="BL165" s="47" t="str">
        <f t="shared" si="59"/>
        <v/>
      </c>
      <c r="BM165" s="47" t="str">
        <f t="shared" si="60"/>
        <v/>
      </c>
      <c r="BN165" s="47" t="str">
        <f t="shared" si="61"/>
        <v/>
      </c>
      <c r="BO165" s="47" t="str">
        <f t="shared" si="62"/>
        <v/>
      </c>
      <c r="BP165" s="47" t="str">
        <f t="shared" si="63"/>
        <v/>
      </c>
      <c r="BQ165" s="48" t="str">
        <f t="shared" si="64"/>
        <v/>
      </c>
      <c r="BR165" s="48" t="str">
        <f t="shared" si="65"/>
        <v/>
      </c>
      <c r="BS165" s="48" t="str">
        <f t="shared" si="66"/>
        <v/>
      </c>
      <c r="BT165" s="47" t="str">
        <f t="shared" si="67"/>
        <v/>
      </c>
      <c r="CA165" s="47" t="str">
        <f t="shared" si="68"/>
        <v/>
      </c>
      <c r="CB165" s="47" t="str">
        <f t="shared" si="69"/>
        <v/>
      </c>
      <c r="CC165" s="47" t="str">
        <f t="shared" si="70"/>
        <v/>
      </c>
      <c r="CD165" s="47" t="str">
        <f t="shared" si="71"/>
        <v/>
      </c>
      <c r="CE165" s="47" t="str">
        <f>IF(AH165="","",IF(OR(AI165&lt;&gt;'Seasonal Tercile Tally'!$B$3,AM165&lt;&gt;'Seasonal Tercile Tally'!$B$4),"Other site/ season",IF(DT165=0,"Excluded: duplicate (later row)",IF(N165&lt;&gt;1,"Excluded: not sighted",IF(AC165&lt;&gt;1,"Excluded: not confirmed",IF(AD165&lt;&gt;1,"Excluded: not approved",IF(AP165="Contested","Excluded: contested",IF(OR(U165="",U165=0),"Excluded: no tercile",IF(CB165="","Counted (simple tally only — no weight)","Counted")))))))))</f>
        <v/>
      </c>
      <c r="CF165" s="49" t="str">
        <f>IF(AH165="","",IFERROR(INDEX('Prior Multipliers'!$C$6:$C$70,MATCH(LEFT(AH165,10),'Prior Multipliers'!$A$6:$A$70,0)),IFERROR(INDEX('Prior Multipliers'!$C$6:$C$70,MATCH(LEFT(AH165,6),'Prior Multipliers'!$A$6:$A$70,0)),IFERROR(INDEX('Prior Multipliers'!$C$6:$C$70,MATCH(LEFT(AH165,2),'Prior Multipliers'!$A$6:$A$70,0)),1))))</f>
        <v/>
      </c>
      <c r="CG165" s="49" t="str">
        <f>IF(CB165="","",IF(AND('Seasonal Tercile Tally'!$B$5=1,BT165="Rating-based"),CB165*CF165,CB165))</f>
        <v/>
      </c>
      <c r="CH165" s="47">
        <f t="shared" si="72"/>
        <v>0</v>
      </c>
      <c r="CI165" s="45"/>
      <c r="CJ165" s="42" t="str">
        <f t="shared" si="73"/>
        <v/>
      </c>
      <c r="CM165" s="42" t="str">
        <f t="shared" si="74"/>
        <v/>
      </c>
      <c r="CP165" s="46" t="str">
        <f t="shared" si="75"/>
        <v/>
      </c>
      <c r="CS165" s="46" t="str">
        <f t="shared" si="76"/>
        <v/>
      </c>
      <c r="CT165" s="42" t="str">
        <f t="shared" si="77"/>
        <v/>
      </c>
      <c r="CU165" s="42" t="str">
        <f t="shared" si="78"/>
        <v/>
      </c>
      <c r="CV165" s="42" t="str">
        <f t="shared" si="79"/>
        <v/>
      </c>
      <c r="DB165" s="45"/>
      <c r="DH165" s="42" t="str">
        <f t="shared" si="80"/>
        <v/>
      </c>
      <c r="DI165" s="43" t="str">
        <f t="shared" si="81"/>
        <v/>
      </c>
      <c r="DK165" s="46" t="str">
        <f t="shared" si="82"/>
        <v/>
      </c>
      <c r="DQ165" s="42" t="str">
        <f>IF(AH165="","",IFERROR(ROUND(100*('Weighting Options'!$D$7*IF(ISNUMBER(CA165),CA165/3,0)+'Weighting Options'!$D$8*MIN(N(BL165),3)/3+'Weighting Options'!$D$9*IF(AP165="Community/Plenary-endorsed",1,IF(AP165="FGD-validated only",0.75,IF(AP165="Sub-community-specific",0.5,IF(AP165="Provisional/emerging",0.25,0))))+'Weighting Options'!$D$10*IF(ISNUMBER(K165),K165/3,0)+'Weighting Options'!$D$11*IF(CC165="",0.5,IF(CC165="OK",1,0.25))+'Weighting Options'!$D$12*IF(DK165="",0.5,IF(DK165="Agrees",1,IF(DK165="Opposite",0,0.5)))+'Weighting Options'!$D$13*MIN(N(BG165),3)/3+'Weighting Options'!$D$14*IF(AE165=1,1,0))/SUM('Weighting Options'!$D$7:$D$14),0),""))</f>
        <v/>
      </c>
      <c r="DR165" s="44" t="str">
        <f>IF(AH165="","",IFERROR(INDEX('Weighting Options'!$D$20:$D$27,VALUE(LEFT(TRIM(BU165),1))),1))</f>
        <v/>
      </c>
      <c r="DS165" s="44" t="str">
        <f t="shared" si="83"/>
        <v/>
      </c>
      <c r="DT165" s="42" t="str">
        <f>IF(AH165="","",IF(COUNTIFS($AH$12:AH165,AH165,$AI$12:AI165,AI165,$AM$12:AM165,AM165)=1,1,0))</f>
        <v/>
      </c>
    </row>
    <row r="166" spans="16:124" ht="12.75" customHeight="1" x14ac:dyDescent="0.35">
      <c r="P166" s="41"/>
      <c r="Q166" s="41"/>
      <c r="R166" s="41"/>
      <c r="S166" s="41"/>
      <c r="AH166" s="40"/>
      <c r="AP166" s="40"/>
      <c r="AS166" s="41"/>
      <c r="AT166" s="41"/>
      <c r="AW166" t="str">
        <f t="shared" si="56"/>
        <v/>
      </c>
      <c r="AX166" t="str">
        <f t="shared" si="57"/>
        <v/>
      </c>
      <c r="AY166" t="str">
        <f t="shared" si="58"/>
        <v/>
      </c>
      <c r="AZ166" s="40"/>
      <c r="BL166" s="47" t="str">
        <f t="shared" si="59"/>
        <v/>
      </c>
      <c r="BM166" s="47" t="str">
        <f t="shared" si="60"/>
        <v/>
      </c>
      <c r="BN166" s="47" t="str">
        <f t="shared" si="61"/>
        <v/>
      </c>
      <c r="BO166" s="47" t="str">
        <f t="shared" si="62"/>
        <v/>
      </c>
      <c r="BP166" s="47" t="str">
        <f t="shared" si="63"/>
        <v/>
      </c>
      <c r="BQ166" s="48" t="str">
        <f t="shared" si="64"/>
        <v/>
      </c>
      <c r="BR166" s="48" t="str">
        <f t="shared" si="65"/>
        <v/>
      </c>
      <c r="BS166" s="48" t="str">
        <f t="shared" si="66"/>
        <v/>
      </c>
      <c r="BT166" s="47" t="str">
        <f t="shared" si="67"/>
        <v/>
      </c>
      <c r="CA166" s="47" t="str">
        <f t="shared" si="68"/>
        <v/>
      </c>
      <c r="CB166" s="47" t="str">
        <f t="shared" si="69"/>
        <v/>
      </c>
      <c r="CC166" s="47" t="str">
        <f t="shared" si="70"/>
        <v/>
      </c>
      <c r="CD166" s="47" t="str">
        <f t="shared" si="71"/>
        <v/>
      </c>
      <c r="CE166" s="47" t="str">
        <f>IF(AH166="","",IF(OR(AI166&lt;&gt;'Seasonal Tercile Tally'!$B$3,AM166&lt;&gt;'Seasonal Tercile Tally'!$B$4),"Other site/ season",IF(DT166=0,"Excluded: duplicate (later row)",IF(N166&lt;&gt;1,"Excluded: not sighted",IF(AC166&lt;&gt;1,"Excluded: not confirmed",IF(AD166&lt;&gt;1,"Excluded: not approved",IF(AP166="Contested","Excluded: contested",IF(OR(U166="",U166=0),"Excluded: no tercile",IF(CB166="","Counted (simple tally only — no weight)","Counted")))))))))</f>
        <v/>
      </c>
      <c r="CF166" s="49" t="str">
        <f>IF(AH166="","",IFERROR(INDEX('Prior Multipliers'!$C$6:$C$70,MATCH(LEFT(AH166,10),'Prior Multipliers'!$A$6:$A$70,0)),IFERROR(INDEX('Prior Multipliers'!$C$6:$C$70,MATCH(LEFT(AH166,6),'Prior Multipliers'!$A$6:$A$70,0)),IFERROR(INDEX('Prior Multipliers'!$C$6:$C$70,MATCH(LEFT(AH166,2),'Prior Multipliers'!$A$6:$A$70,0)),1))))</f>
        <v/>
      </c>
      <c r="CG166" s="49" t="str">
        <f>IF(CB166="","",IF(AND('Seasonal Tercile Tally'!$B$5=1,BT166="Rating-based"),CB166*CF166,CB166))</f>
        <v/>
      </c>
      <c r="CH166" s="47">
        <f t="shared" si="72"/>
        <v>0</v>
      </c>
      <c r="CI166" s="45"/>
      <c r="CJ166" s="42" t="str">
        <f t="shared" si="73"/>
        <v/>
      </c>
      <c r="CM166" s="42" t="str">
        <f t="shared" si="74"/>
        <v/>
      </c>
      <c r="CP166" s="46" t="str">
        <f t="shared" si="75"/>
        <v/>
      </c>
      <c r="CS166" s="46" t="str">
        <f t="shared" si="76"/>
        <v/>
      </c>
      <c r="CT166" s="42" t="str">
        <f t="shared" si="77"/>
        <v/>
      </c>
      <c r="CU166" s="42" t="str">
        <f t="shared" si="78"/>
        <v/>
      </c>
      <c r="CV166" s="42" t="str">
        <f t="shared" si="79"/>
        <v/>
      </c>
      <c r="DB166" s="45"/>
      <c r="DH166" s="42" t="str">
        <f t="shared" si="80"/>
        <v/>
      </c>
      <c r="DI166" s="43" t="str">
        <f t="shared" si="81"/>
        <v/>
      </c>
      <c r="DK166" s="46" t="str">
        <f t="shared" si="82"/>
        <v/>
      </c>
      <c r="DQ166" s="42" t="str">
        <f>IF(AH166="","",IFERROR(ROUND(100*('Weighting Options'!$D$7*IF(ISNUMBER(CA166),CA166/3,0)+'Weighting Options'!$D$8*MIN(N(BL166),3)/3+'Weighting Options'!$D$9*IF(AP166="Community/Plenary-endorsed",1,IF(AP166="FGD-validated only",0.75,IF(AP166="Sub-community-specific",0.5,IF(AP166="Provisional/emerging",0.25,0))))+'Weighting Options'!$D$10*IF(ISNUMBER(K166),K166/3,0)+'Weighting Options'!$D$11*IF(CC166="",0.5,IF(CC166="OK",1,0.25))+'Weighting Options'!$D$12*IF(DK166="",0.5,IF(DK166="Agrees",1,IF(DK166="Opposite",0,0.5)))+'Weighting Options'!$D$13*MIN(N(BG166),3)/3+'Weighting Options'!$D$14*IF(AE166=1,1,0))/SUM('Weighting Options'!$D$7:$D$14),0),""))</f>
        <v/>
      </c>
      <c r="DR166" s="44" t="str">
        <f>IF(AH166="","",IFERROR(INDEX('Weighting Options'!$D$20:$D$27,VALUE(LEFT(TRIM(BU166),1))),1))</f>
        <v/>
      </c>
      <c r="DS166" s="44" t="str">
        <f t="shared" si="83"/>
        <v/>
      </c>
      <c r="DT166" s="42" t="str">
        <f>IF(AH166="","",IF(COUNTIFS($AH$12:AH166,AH166,$AI$12:AI166,AI166,$AM$12:AM166,AM166)=1,1,0))</f>
        <v/>
      </c>
    </row>
    <row r="167" spans="16:124" ht="12.75" customHeight="1" x14ac:dyDescent="0.35">
      <c r="P167" s="41"/>
      <c r="Q167" s="41"/>
      <c r="R167" s="41"/>
      <c r="S167" s="41"/>
      <c r="AH167" s="40"/>
      <c r="AP167" s="40"/>
      <c r="AS167" s="41"/>
      <c r="AT167" s="41"/>
      <c r="AW167" t="str">
        <f t="shared" si="56"/>
        <v/>
      </c>
      <c r="AX167" t="str">
        <f t="shared" si="57"/>
        <v/>
      </c>
      <c r="AY167" t="str">
        <f t="shared" si="58"/>
        <v/>
      </c>
      <c r="AZ167" s="40"/>
      <c r="BL167" s="47" t="str">
        <f t="shared" si="59"/>
        <v/>
      </c>
      <c r="BM167" s="47" t="str">
        <f t="shared" si="60"/>
        <v/>
      </c>
      <c r="BN167" s="47" t="str">
        <f t="shared" si="61"/>
        <v/>
      </c>
      <c r="BO167" s="47" t="str">
        <f t="shared" si="62"/>
        <v/>
      </c>
      <c r="BP167" s="47" t="str">
        <f t="shared" si="63"/>
        <v/>
      </c>
      <c r="BQ167" s="48" t="str">
        <f t="shared" si="64"/>
        <v/>
      </c>
      <c r="BR167" s="48" t="str">
        <f t="shared" si="65"/>
        <v/>
      </c>
      <c r="BS167" s="48" t="str">
        <f t="shared" si="66"/>
        <v/>
      </c>
      <c r="BT167" s="47" t="str">
        <f t="shared" si="67"/>
        <v/>
      </c>
      <c r="CA167" s="47" t="str">
        <f t="shared" si="68"/>
        <v/>
      </c>
      <c r="CB167" s="47" t="str">
        <f t="shared" si="69"/>
        <v/>
      </c>
      <c r="CC167" s="47" t="str">
        <f t="shared" si="70"/>
        <v/>
      </c>
      <c r="CD167" s="47" t="str">
        <f t="shared" si="71"/>
        <v/>
      </c>
      <c r="CE167" s="47" t="str">
        <f>IF(AH167="","",IF(OR(AI167&lt;&gt;'Seasonal Tercile Tally'!$B$3,AM167&lt;&gt;'Seasonal Tercile Tally'!$B$4),"Other site/ season",IF(DT167=0,"Excluded: duplicate (later row)",IF(N167&lt;&gt;1,"Excluded: not sighted",IF(AC167&lt;&gt;1,"Excluded: not confirmed",IF(AD167&lt;&gt;1,"Excluded: not approved",IF(AP167="Contested","Excluded: contested",IF(OR(U167="",U167=0),"Excluded: no tercile",IF(CB167="","Counted (simple tally only — no weight)","Counted")))))))))</f>
        <v/>
      </c>
      <c r="CF167" s="49" t="str">
        <f>IF(AH167="","",IFERROR(INDEX('Prior Multipliers'!$C$6:$C$70,MATCH(LEFT(AH167,10),'Prior Multipliers'!$A$6:$A$70,0)),IFERROR(INDEX('Prior Multipliers'!$C$6:$C$70,MATCH(LEFT(AH167,6),'Prior Multipliers'!$A$6:$A$70,0)),IFERROR(INDEX('Prior Multipliers'!$C$6:$C$70,MATCH(LEFT(AH167,2),'Prior Multipliers'!$A$6:$A$70,0)),1))))</f>
        <v/>
      </c>
      <c r="CG167" s="49" t="str">
        <f>IF(CB167="","",IF(AND('Seasonal Tercile Tally'!$B$5=1,BT167="Rating-based"),CB167*CF167,CB167))</f>
        <v/>
      </c>
      <c r="CH167" s="47">
        <f t="shared" si="72"/>
        <v>0</v>
      </c>
      <c r="CI167" s="45"/>
      <c r="CJ167" s="42" t="str">
        <f t="shared" si="73"/>
        <v/>
      </c>
      <c r="CM167" s="42" t="str">
        <f t="shared" si="74"/>
        <v/>
      </c>
      <c r="CP167" s="46" t="str">
        <f t="shared" si="75"/>
        <v/>
      </c>
      <c r="CS167" s="46" t="str">
        <f t="shared" si="76"/>
        <v/>
      </c>
      <c r="CT167" s="42" t="str">
        <f t="shared" si="77"/>
        <v/>
      </c>
      <c r="CU167" s="42" t="str">
        <f t="shared" si="78"/>
        <v/>
      </c>
      <c r="CV167" s="42" t="str">
        <f t="shared" si="79"/>
        <v/>
      </c>
      <c r="DB167" s="45"/>
      <c r="DH167" s="42" t="str">
        <f t="shared" si="80"/>
        <v/>
      </c>
      <c r="DI167" s="43" t="str">
        <f t="shared" si="81"/>
        <v/>
      </c>
      <c r="DK167" s="46" t="str">
        <f t="shared" si="82"/>
        <v/>
      </c>
      <c r="DQ167" s="42" t="str">
        <f>IF(AH167="","",IFERROR(ROUND(100*('Weighting Options'!$D$7*IF(ISNUMBER(CA167),CA167/3,0)+'Weighting Options'!$D$8*MIN(N(BL167),3)/3+'Weighting Options'!$D$9*IF(AP167="Community/Plenary-endorsed",1,IF(AP167="FGD-validated only",0.75,IF(AP167="Sub-community-specific",0.5,IF(AP167="Provisional/emerging",0.25,0))))+'Weighting Options'!$D$10*IF(ISNUMBER(K167),K167/3,0)+'Weighting Options'!$D$11*IF(CC167="",0.5,IF(CC167="OK",1,0.25))+'Weighting Options'!$D$12*IF(DK167="",0.5,IF(DK167="Agrees",1,IF(DK167="Opposite",0,0.5)))+'Weighting Options'!$D$13*MIN(N(BG167),3)/3+'Weighting Options'!$D$14*IF(AE167=1,1,0))/SUM('Weighting Options'!$D$7:$D$14),0),""))</f>
        <v/>
      </c>
      <c r="DR167" s="44" t="str">
        <f>IF(AH167="","",IFERROR(INDEX('Weighting Options'!$D$20:$D$27,VALUE(LEFT(TRIM(BU167),1))),1))</f>
        <v/>
      </c>
      <c r="DS167" s="44" t="str">
        <f t="shared" si="83"/>
        <v/>
      </c>
      <c r="DT167" s="42" t="str">
        <f>IF(AH167="","",IF(COUNTIFS($AH$12:AH167,AH167,$AI$12:AI167,AI167,$AM$12:AM167,AM167)=1,1,0))</f>
        <v/>
      </c>
    </row>
    <row r="168" spans="16:124" ht="12.75" customHeight="1" x14ac:dyDescent="0.35">
      <c r="P168" s="41"/>
      <c r="Q168" s="41"/>
      <c r="R168" s="41"/>
      <c r="S168" s="41"/>
      <c r="AH168" s="40"/>
      <c r="AP168" s="40"/>
      <c r="AS168" s="41"/>
      <c r="AT168" s="41"/>
      <c r="AW168" t="str">
        <f t="shared" si="56"/>
        <v/>
      </c>
      <c r="AX168" t="str">
        <f t="shared" si="57"/>
        <v/>
      </c>
      <c r="AY168" t="str">
        <f t="shared" si="58"/>
        <v/>
      </c>
      <c r="AZ168" s="40"/>
      <c r="BL168" s="47" t="str">
        <f t="shared" si="59"/>
        <v/>
      </c>
      <c r="BM168" s="47" t="str">
        <f t="shared" si="60"/>
        <v/>
      </c>
      <c r="BN168" s="47" t="str">
        <f t="shared" si="61"/>
        <v/>
      </c>
      <c r="BO168" s="47" t="str">
        <f t="shared" si="62"/>
        <v/>
      </c>
      <c r="BP168" s="47" t="str">
        <f t="shared" si="63"/>
        <v/>
      </c>
      <c r="BQ168" s="48" t="str">
        <f t="shared" si="64"/>
        <v/>
      </c>
      <c r="BR168" s="48" t="str">
        <f t="shared" si="65"/>
        <v/>
      </c>
      <c r="BS168" s="48" t="str">
        <f t="shared" si="66"/>
        <v/>
      </c>
      <c r="BT168" s="47" t="str">
        <f t="shared" si="67"/>
        <v/>
      </c>
      <c r="CA168" s="47" t="str">
        <f t="shared" si="68"/>
        <v/>
      </c>
      <c r="CB168" s="47" t="str">
        <f t="shared" si="69"/>
        <v/>
      </c>
      <c r="CC168" s="47" t="str">
        <f t="shared" si="70"/>
        <v/>
      </c>
      <c r="CD168" s="47" t="str">
        <f t="shared" si="71"/>
        <v/>
      </c>
      <c r="CE168" s="47" t="str">
        <f>IF(AH168="","",IF(OR(AI168&lt;&gt;'Seasonal Tercile Tally'!$B$3,AM168&lt;&gt;'Seasonal Tercile Tally'!$B$4),"Other site/ season",IF(DT168=0,"Excluded: duplicate (later row)",IF(N168&lt;&gt;1,"Excluded: not sighted",IF(AC168&lt;&gt;1,"Excluded: not confirmed",IF(AD168&lt;&gt;1,"Excluded: not approved",IF(AP168="Contested","Excluded: contested",IF(OR(U168="",U168=0),"Excluded: no tercile",IF(CB168="","Counted (simple tally only — no weight)","Counted")))))))))</f>
        <v/>
      </c>
      <c r="CF168" s="49" t="str">
        <f>IF(AH168="","",IFERROR(INDEX('Prior Multipliers'!$C$6:$C$70,MATCH(LEFT(AH168,10),'Prior Multipliers'!$A$6:$A$70,0)),IFERROR(INDEX('Prior Multipliers'!$C$6:$C$70,MATCH(LEFT(AH168,6),'Prior Multipliers'!$A$6:$A$70,0)),IFERROR(INDEX('Prior Multipliers'!$C$6:$C$70,MATCH(LEFT(AH168,2),'Prior Multipliers'!$A$6:$A$70,0)),1))))</f>
        <v/>
      </c>
      <c r="CG168" s="49" t="str">
        <f>IF(CB168="","",IF(AND('Seasonal Tercile Tally'!$B$5=1,BT168="Rating-based"),CB168*CF168,CB168))</f>
        <v/>
      </c>
      <c r="CH168" s="47">
        <f t="shared" si="72"/>
        <v>0</v>
      </c>
      <c r="CI168" s="45"/>
      <c r="CJ168" s="42" t="str">
        <f t="shared" si="73"/>
        <v/>
      </c>
      <c r="CM168" s="42" t="str">
        <f t="shared" si="74"/>
        <v/>
      </c>
      <c r="CP168" s="46" t="str">
        <f t="shared" si="75"/>
        <v/>
      </c>
      <c r="CS168" s="46" t="str">
        <f t="shared" si="76"/>
        <v/>
      </c>
      <c r="CT168" s="42" t="str">
        <f t="shared" si="77"/>
        <v/>
      </c>
      <c r="CU168" s="42" t="str">
        <f t="shared" si="78"/>
        <v/>
      </c>
      <c r="CV168" s="42" t="str">
        <f t="shared" si="79"/>
        <v/>
      </c>
      <c r="DB168" s="45"/>
      <c r="DH168" s="42" t="str">
        <f t="shared" si="80"/>
        <v/>
      </c>
      <c r="DI168" s="43" t="str">
        <f t="shared" si="81"/>
        <v/>
      </c>
      <c r="DK168" s="46" t="str">
        <f t="shared" si="82"/>
        <v/>
      </c>
      <c r="DQ168" s="42" t="str">
        <f>IF(AH168="","",IFERROR(ROUND(100*('Weighting Options'!$D$7*IF(ISNUMBER(CA168),CA168/3,0)+'Weighting Options'!$D$8*MIN(N(BL168),3)/3+'Weighting Options'!$D$9*IF(AP168="Community/Plenary-endorsed",1,IF(AP168="FGD-validated only",0.75,IF(AP168="Sub-community-specific",0.5,IF(AP168="Provisional/emerging",0.25,0))))+'Weighting Options'!$D$10*IF(ISNUMBER(K168),K168/3,0)+'Weighting Options'!$D$11*IF(CC168="",0.5,IF(CC168="OK",1,0.25))+'Weighting Options'!$D$12*IF(DK168="",0.5,IF(DK168="Agrees",1,IF(DK168="Opposite",0,0.5)))+'Weighting Options'!$D$13*MIN(N(BG168),3)/3+'Weighting Options'!$D$14*IF(AE168=1,1,0))/SUM('Weighting Options'!$D$7:$D$14),0),""))</f>
        <v/>
      </c>
      <c r="DR168" s="44" t="str">
        <f>IF(AH168="","",IFERROR(INDEX('Weighting Options'!$D$20:$D$27,VALUE(LEFT(TRIM(BU168),1))),1))</f>
        <v/>
      </c>
      <c r="DS168" s="44" t="str">
        <f t="shared" si="83"/>
        <v/>
      </c>
      <c r="DT168" s="42" t="str">
        <f>IF(AH168="","",IF(COUNTIFS($AH$12:AH168,AH168,$AI$12:AI168,AI168,$AM$12:AM168,AM168)=1,1,0))</f>
        <v/>
      </c>
    </row>
    <row r="169" spans="16:124" ht="12.75" customHeight="1" x14ac:dyDescent="0.35">
      <c r="P169" s="41"/>
      <c r="Q169" s="41"/>
      <c r="R169" s="41"/>
      <c r="S169" s="41"/>
      <c r="AH169" s="40"/>
      <c r="AP169" s="40"/>
      <c r="AS169" s="41"/>
      <c r="AT169" s="41"/>
      <c r="AW169" t="str">
        <f t="shared" si="56"/>
        <v/>
      </c>
      <c r="AX169" t="str">
        <f t="shared" si="57"/>
        <v/>
      </c>
      <c r="AY169" t="str">
        <f t="shared" si="58"/>
        <v/>
      </c>
      <c r="AZ169" s="40"/>
      <c r="BL169" s="47" t="str">
        <f t="shared" si="59"/>
        <v/>
      </c>
      <c r="BM169" s="47" t="str">
        <f t="shared" si="60"/>
        <v/>
      </c>
      <c r="BN169" s="47" t="str">
        <f t="shared" si="61"/>
        <v/>
      </c>
      <c r="BO169" s="47" t="str">
        <f t="shared" si="62"/>
        <v/>
      </c>
      <c r="BP169" s="47" t="str">
        <f t="shared" si="63"/>
        <v/>
      </c>
      <c r="BQ169" s="48" t="str">
        <f t="shared" si="64"/>
        <v/>
      </c>
      <c r="BR169" s="48" t="str">
        <f t="shared" si="65"/>
        <v/>
      </c>
      <c r="BS169" s="48" t="str">
        <f t="shared" si="66"/>
        <v/>
      </c>
      <c r="BT169" s="47" t="str">
        <f t="shared" si="67"/>
        <v/>
      </c>
      <c r="CA169" s="47" t="str">
        <f t="shared" si="68"/>
        <v/>
      </c>
      <c r="CB169" s="47" t="str">
        <f t="shared" si="69"/>
        <v/>
      </c>
      <c r="CC169" s="47" t="str">
        <f t="shared" si="70"/>
        <v/>
      </c>
      <c r="CD169" s="47" t="str">
        <f t="shared" si="71"/>
        <v/>
      </c>
      <c r="CE169" s="47" t="str">
        <f>IF(AH169="","",IF(OR(AI169&lt;&gt;'Seasonal Tercile Tally'!$B$3,AM169&lt;&gt;'Seasonal Tercile Tally'!$B$4),"Other site/ season",IF(DT169=0,"Excluded: duplicate (later row)",IF(N169&lt;&gt;1,"Excluded: not sighted",IF(AC169&lt;&gt;1,"Excluded: not confirmed",IF(AD169&lt;&gt;1,"Excluded: not approved",IF(AP169="Contested","Excluded: contested",IF(OR(U169="",U169=0),"Excluded: no tercile",IF(CB169="","Counted (simple tally only — no weight)","Counted")))))))))</f>
        <v/>
      </c>
      <c r="CF169" s="49" t="str">
        <f>IF(AH169="","",IFERROR(INDEX('Prior Multipliers'!$C$6:$C$70,MATCH(LEFT(AH169,10),'Prior Multipliers'!$A$6:$A$70,0)),IFERROR(INDEX('Prior Multipliers'!$C$6:$C$70,MATCH(LEFT(AH169,6),'Prior Multipliers'!$A$6:$A$70,0)),IFERROR(INDEX('Prior Multipliers'!$C$6:$C$70,MATCH(LEFT(AH169,2),'Prior Multipliers'!$A$6:$A$70,0)),1))))</f>
        <v/>
      </c>
      <c r="CG169" s="49" t="str">
        <f>IF(CB169="","",IF(AND('Seasonal Tercile Tally'!$B$5=1,BT169="Rating-based"),CB169*CF169,CB169))</f>
        <v/>
      </c>
      <c r="CH169" s="47">
        <f t="shared" si="72"/>
        <v>0</v>
      </c>
      <c r="CI169" s="45"/>
      <c r="CJ169" s="42" t="str">
        <f t="shared" si="73"/>
        <v/>
      </c>
      <c r="CM169" s="42" t="str">
        <f t="shared" si="74"/>
        <v/>
      </c>
      <c r="CP169" s="46" t="str">
        <f t="shared" si="75"/>
        <v/>
      </c>
      <c r="CS169" s="46" t="str">
        <f t="shared" si="76"/>
        <v/>
      </c>
      <c r="CT169" s="42" t="str">
        <f t="shared" si="77"/>
        <v/>
      </c>
      <c r="CU169" s="42" t="str">
        <f t="shared" si="78"/>
        <v/>
      </c>
      <c r="CV169" s="42" t="str">
        <f t="shared" si="79"/>
        <v/>
      </c>
      <c r="DB169" s="45"/>
      <c r="DH169" s="42" t="str">
        <f t="shared" si="80"/>
        <v/>
      </c>
      <c r="DI169" s="43" t="str">
        <f t="shared" si="81"/>
        <v/>
      </c>
      <c r="DK169" s="46" t="str">
        <f t="shared" si="82"/>
        <v/>
      </c>
      <c r="DQ169" s="42" t="str">
        <f>IF(AH169="","",IFERROR(ROUND(100*('Weighting Options'!$D$7*IF(ISNUMBER(CA169),CA169/3,0)+'Weighting Options'!$D$8*MIN(N(BL169),3)/3+'Weighting Options'!$D$9*IF(AP169="Community/Plenary-endorsed",1,IF(AP169="FGD-validated only",0.75,IF(AP169="Sub-community-specific",0.5,IF(AP169="Provisional/emerging",0.25,0))))+'Weighting Options'!$D$10*IF(ISNUMBER(K169),K169/3,0)+'Weighting Options'!$D$11*IF(CC169="",0.5,IF(CC169="OK",1,0.25))+'Weighting Options'!$D$12*IF(DK169="",0.5,IF(DK169="Agrees",1,IF(DK169="Opposite",0,0.5)))+'Weighting Options'!$D$13*MIN(N(BG169),3)/3+'Weighting Options'!$D$14*IF(AE169=1,1,0))/SUM('Weighting Options'!$D$7:$D$14),0),""))</f>
        <v/>
      </c>
      <c r="DR169" s="44" t="str">
        <f>IF(AH169="","",IFERROR(INDEX('Weighting Options'!$D$20:$D$27,VALUE(LEFT(TRIM(BU169),1))),1))</f>
        <v/>
      </c>
      <c r="DS169" s="44" t="str">
        <f t="shared" si="83"/>
        <v/>
      </c>
      <c r="DT169" s="42" t="str">
        <f>IF(AH169="","",IF(COUNTIFS($AH$12:AH169,AH169,$AI$12:AI169,AI169,$AM$12:AM169,AM169)=1,1,0))</f>
        <v/>
      </c>
    </row>
    <row r="170" spans="16:124" ht="12.75" customHeight="1" x14ac:dyDescent="0.35">
      <c r="P170" s="41"/>
      <c r="Q170" s="41"/>
      <c r="R170" s="41"/>
      <c r="S170" s="41"/>
      <c r="AH170" s="40"/>
      <c r="AP170" s="40"/>
      <c r="AS170" s="41"/>
      <c r="AT170" s="41"/>
      <c r="AW170" t="str">
        <f t="shared" si="56"/>
        <v/>
      </c>
      <c r="AX170" t="str">
        <f t="shared" si="57"/>
        <v/>
      </c>
      <c r="AY170" t="str">
        <f t="shared" si="58"/>
        <v/>
      </c>
      <c r="AZ170" s="40"/>
      <c r="BL170" s="47" t="str">
        <f t="shared" si="59"/>
        <v/>
      </c>
      <c r="BM170" s="47" t="str">
        <f t="shared" si="60"/>
        <v/>
      </c>
      <c r="BN170" s="47" t="str">
        <f t="shared" si="61"/>
        <v/>
      </c>
      <c r="BO170" s="47" t="str">
        <f t="shared" si="62"/>
        <v/>
      </c>
      <c r="BP170" s="47" t="str">
        <f t="shared" si="63"/>
        <v/>
      </c>
      <c r="BQ170" s="48" t="str">
        <f t="shared" si="64"/>
        <v/>
      </c>
      <c r="BR170" s="48" t="str">
        <f t="shared" si="65"/>
        <v/>
      </c>
      <c r="BS170" s="48" t="str">
        <f t="shared" si="66"/>
        <v/>
      </c>
      <c r="BT170" s="47" t="str">
        <f t="shared" si="67"/>
        <v/>
      </c>
      <c r="CA170" s="47" t="str">
        <f t="shared" si="68"/>
        <v/>
      </c>
      <c r="CB170" s="47" t="str">
        <f t="shared" si="69"/>
        <v/>
      </c>
      <c r="CC170" s="47" t="str">
        <f t="shared" si="70"/>
        <v/>
      </c>
      <c r="CD170" s="47" t="str">
        <f t="shared" si="71"/>
        <v/>
      </c>
      <c r="CE170" s="47" t="str">
        <f>IF(AH170="","",IF(OR(AI170&lt;&gt;'Seasonal Tercile Tally'!$B$3,AM170&lt;&gt;'Seasonal Tercile Tally'!$B$4),"Other site/ season",IF(DT170=0,"Excluded: duplicate (later row)",IF(N170&lt;&gt;1,"Excluded: not sighted",IF(AC170&lt;&gt;1,"Excluded: not confirmed",IF(AD170&lt;&gt;1,"Excluded: not approved",IF(AP170="Contested","Excluded: contested",IF(OR(U170="",U170=0),"Excluded: no tercile",IF(CB170="","Counted (simple tally only — no weight)","Counted")))))))))</f>
        <v/>
      </c>
      <c r="CF170" s="49" t="str">
        <f>IF(AH170="","",IFERROR(INDEX('Prior Multipliers'!$C$6:$C$70,MATCH(LEFT(AH170,10),'Prior Multipliers'!$A$6:$A$70,0)),IFERROR(INDEX('Prior Multipliers'!$C$6:$C$70,MATCH(LEFT(AH170,6),'Prior Multipliers'!$A$6:$A$70,0)),IFERROR(INDEX('Prior Multipliers'!$C$6:$C$70,MATCH(LEFT(AH170,2),'Prior Multipliers'!$A$6:$A$70,0)),1))))</f>
        <v/>
      </c>
      <c r="CG170" s="49" t="str">
        <f>IF(CB170="","",IF(AND('Seasonal Tercile Tally'!$B$5=1,BT170="Rating-based"),CB170*CF170,CB170))</f>
        <v/>
      </c>
      <c r="CH170" s="47">
        <f t="shared" si="72"/>
        <v>0</v>
      </c>
      <c r="CI170" s="45"/>
      <c r="CJ170" s="42" t="str">
        <f t="shared" si="73"/>
        <v/>
      </c>
      <c r="CM170" s="42" t="str">
        <f t="shared" si="74"/>
        <v/>
      </c>
      <c r="CP170" s="46" t="str">
        <f t="shared" si="75"/>
        <v/>
      </c>
      <c r="CS170" s="46" t="str">
        <f t="shared" si="76"/>
        <v/>
      </c>
      <c r="CT170" s="42" t="str">
        <f t="shared" si="77"/>
        <v/>
      </c>
      <c r="CU170" s="42" t="str">
        <f t="shared" si="78"/>
        <v/>
      </c>
      <c r="CV170" s="42" t="str">
        <f t="shared" si="79"/>
        <v/>
      </c>
      <c r="DB170" s="45"/>
      <c r="DH170" s="42" t="str">
        <f t="shared" si="80"/>
        <v/>
      </c>
      <c r="DI170" s="43" t="str">
        <f t="shared" si="81"/>
        <v/>
      </c>
      <c r="DK170" s="46" t="str">
        <f t="shared" si="82"/>
        <v/>
      </c>
      <c r="DQ170" s="42" t="str">
        <f>IF(AH170="","",IFERROR(ROUND(100*('Weighting Options'!$D$7*IF(ISNUMBER(CA170),CA170/3,0)+'Weighting Options'!$D$8*MIN(N(BL170),3)/3+'Weighting Options'!$D$9*IF(AP170="Community/Plenary-endorsed",1,IF(AP170="FGD-validated only",0.75,IF(AP170="Sub-community-specific",0.5,IF(AP170="Provisional/emerging",0.25,0))))+'Weighting Options'!$D$10*IF(ISNUMBER(K170),K170/3,0)+'Weighting Options'!$D$11*IF(CC170="",0.5,IF(CC170="OK",1,0.25))+'Weighting Options'!$D$12*IF(DK170="",0.5,IF(DK170="Agrees",1,IF(DK170="Opposite",0,0.5)))+'Weighting Options'!$D$13*MIN(N(BG170),3)/3+'Weighting Options'!$D$14*IF(AE170=1,1,0))/SUM('Weighting Options'!$D$7:$D$14),0),""))</f>
        <v/>
      </c>
      <c r="DR170" s="44" t="str">
        <f>IF(AH170="","",IFERROR(INDEX('Weighting Options'!$D$20:$D$27,VALUE(LEFT(TRIM(BU170),1))),1))</f>
        <v/>
      </c>
      <c r="DS170" s="44" t="str">
        <f t="shared" si="83"/>
        <v/>
      </c>
      <c r="DT170" s="42" t="str">
        <f>IF(AH170="","",IF(COUNTIFS($AH$12:AH170,AH170,$AI$12:AI170,AI170,$AM$12:AM170,AM170)=1,1,0))</f>
        <v/>
      </c>
    </row>
    <row r="171" spans="16:124" ht="12.75" customHeight="1" x14ac:dyDescent="0.35">
      <c r="P171" s="41"/>
      <c r="Q171" s="41"/>
      <c r="R171" s="41"/>
      <c r="S171" s="41"/>
      <c r="AH171" s="40"/>
      <c r="AP171" s="40"/>
      <c r="AS171" s="41"/>
      <c r="AT171" s="41"/>
      <c r="AW171" t="str">
        <f t="shared" si="56"/>
        <v/>
      </c>
      <c r="AX171" t="str">
        <f t="shared" si="57"/>
        <v/>
      </c>
      <c r="AY171" t="str">
        <f t="shared" si="58"/>
        <v/>
      </c>
      <c r="AZ171" s="40"/>
      <c r="BL171" s="47" t="str">
        <f t="shared" si="59"/>
        <v/>
      </c>
      <c r="BM171" s="47" t="str">
        <f t="shared" si="60"/>
        <v/>
      </c>
      <c r="BN171" s="47" t="str">
        <f t="shared" si="61"/>
        <v/>
      </c>
      <c r="BO171" s="47" t="str">
        <f t="shared" si="62"/>
        <v/>
      </c>
      <c r="BP171" s="47" t="str">
        <f t="shared" si="63"/>
        <v/>
      </c>
      <c r="BQ171" s="48" t="str">
        <f t="shared" si="64"/>
        <v/>
      </c>
      <c r="BR171" s="48" t="str">
        <f t="shared" si="65"/>
        <v/>
      </c>
      <c r="BS171" s="48" t="str">
        <f t="shared" si="66"/>
        <v/>
      </c>
      <c r="BT171" s="47" t="str">
        <f t="shared" si="67"/>
        <v/>
      </c>
      <c r="CA171" s="47" t="str">
        <f t="shared" si="68"/>
        <v/>
      </c>
      <c r="CB171" s="47" t="str">
        <f t="shared" si="69"/>
        <v/>
      </c>
      <c r="CC171" s="47" t="str">
        <f t="shared" si="70"/>
        <v/>
      </c>
      <c r="CD171" s="47" t="str">
        <f t="shared" si="71"/>
        <v/>
      </c>
      <c r="CE171" s="47" t="str">
        <f>IF(AH171="","",IF(OR(AI171&lt;&gt;'Seasonal Tercile Tally'!$B$3,AM171&lt;&gt;'Seasonal Tercile Tally'!$B$4),"Other site/ season",IF(DT171=0,"Excluded: duplicate (later row)",IF(N171&lt;&gt;1,"Excluded: not sighted",IF(AC171&lt;&gt;1,"Excluded: not confirmed",IF(AD171&lt;&gt;1,"Excluded: not approved",IF(AP171="Contested","Excluded: contested",IF(OR(U171="",U171=0),"Excluded: no tercile",IF(CB171="","Counted (simple tally only — no weight)","Counted")))))))))</f>
        <v/>
      </c>
      <c r="CF171" s="49" t="str">
        <f>IF(AH171="","",IFERROR(INDEX('Prior Multipliers'!$C$6:$C$70,MATCH(LEFT(AH171,10),'Prior Multipliers'!$A$6:$A$70,0)),IFERROR(INDEX('Prior Multipliers'!$C$6:$C$70,MATCH(LEFT(AH171,6),'Prior Multipliers'!$A$6:$A$70,0)),IFERROR(INDEX('Prior Multipliers'!$C$6:$C$70,MATCH(LEFT(AH171,2),'Prior Multipliers'!$A$6:$A$70,0)),1))))</f>
        <v/>
      </c>
      <c r="CG171" s="49" t="str">
        <f>IF(CB171="","",IF(AND('Seasonal Tercile Tally'!$B$5=1,BT171="Rating-based"),CB171*CF171,CB171))</f>
        <v/>
      </c>
      <c r="CH171" s="47">
        <f t="shared" si="72"/>
        <v>0</v>
      </c>
      <c r="CI171" s="45"/>
      <c r="CJ171" s="42" t="str">
        <f t="shared" si="73"/>
        <v/>
      </c>
      <c r="CM171" s="42" t="str">
        <f t="shared" si="74"/>
        <v/>
      </c>
      <c r="CP171" s="46" t="str">
        <f t="shared" si="75"/>
        <v/>
      </c>
      <c r="CS171" s="46" t="str">
        <f t="shared" si="76"/>
        <v/>
      </c>
      <c r="CT171" s="42" t="str">
        <f t="shared" si="77"/>
        <v/>
      </c>
      <c r="CU171" s="42" t="str">
        <f t="shared" si="78"/>
        <v/>
      </c>
      <c r="CV171" s="42" t="str">
        <f t="shared" si="79"/>
        <v/>
      </c>
      <c r="DB171" s="45"/>
      <c r="DH171" s="42" t="str">
        <f t="shared" si="80"/>
        <v/>
      </c>
      <c r="DI171" s="43" t="str">
        <f t="shared" si="81"/>
        <v/>
      </c>
      <c r="DK171" s="46" t="str">
        <f t="shared" si="82"/>
        <v/>
      </c>
      <c r="DQ171" s="42" t="str">
        <f>IF(AH171="","",IFERROR(ROUND(100*('Weighting Options'!$D$7*IF(ISNUMBER(CA171),CA171/3,0)+'Weighting Options'!$D$8*MIN(N(BL171),3)/3+'Weighting Options'!$D$9*IF(AP171="Community/Plenary-endorsed",1,IF(AP171="FGD-validated only",0.75,IF(AP171="Sub-community-specific",0.5,IF(AP171="Provisional/emerging",0.25,0))))+'Weighting Options'!$D$10*IF(ISNUMBER(K171),K171/3,0)+'Weighting Options'!$D$11*IF(CC171="",0.5,IF(CC171="OK",1,0.25))+'Weighting Options'!$D$12*IF(DK171="",0.5,IF(DK171="Agrees",1,IF(DK171="Opposite",0,0.5)))+'Weighting Options'!$D$13*MIN(N(BG171),3)/3+'Weighting Options'!$D$14*IF(AE171=1,1,0))/SUM('Weighting Options'!$D$7:$D$14),0),""))</f>
        <v/>
      </c>
      <c r="DR171" s="44" t="str">
        <f>IF(AH171="","",IFERROR(INDEX('Weighting Options'!$D$20:$D$27,VALUE(LEFT(TRIM(BU171),1))),1))</f>
        <v/>
      </c>
      <c r="DS171" s="44" t="str">
        <f t="shared" si="83"/>
        <v/>
      </c>
      <c r="DT171" s="42" t="str">
        <f>IF(AH171="","",IF(COUNTIFS($AH$12:AH171,AH171,$AI$12:AI171,AI171,$AM$12:AM171,AM171)=1,1,0))</f>
        <v/>
      </c>
    </row>
    <row r="172" spans="16:124" ht="12.75" customHeight="1" x14ac:dyDescent="0.35">
      <c r="P172" s="41"/>
      <c r="Q172" s="41"/>
      <c r="R172" s="41"/>
      <c r="S172" s="41"/>
      <c r="AH172" s="40"/>
      <c r="AP172" s="40"/>
      <c r="AS172" s="41"/>
      <c r="AT172" s="41"/>
      <c r="AW172" t="str">
        <f t="shared" si="56"/>
        <v/>
      </c>
      <c r="AX172" t="str">
        <f t="shared" si="57"/>
        <v/>
      </c>
      <c r="AY172" t="str">
        <f t="shared" si="58"/>
        <v/>
      </c>
      <c r="AZ172" s="40"/>
      <c r="BL172" s="47" t="str">
        <f t="shared" si="59"/>
        <v/>
      </c>
      <c r="BM172" s="47" t="str">
        <f t="shared" si="60"/>
        <v/>
      </c>
      <c r="BN172" s="47" t="str">
        <f t="shared" si="61"/>
        <v/>
      </c>
      <c r="BO172" s="47" t="str">
        <f t="shared" si="62"/>
        <v/>
      </c>
      <c r="BP172" s="47" t="str">
        <f t="shared" si="63"/>
        <v/>
      </c>
      <c r="BQ172" s="48" t="str">
        <f t="shared" si="64"/>
        <v/>
      </c>
      <c r="BR172" s="48" t="str">
        <f t="shared" si="65"/>
        <v/>
      </c>
      <c r="BS172" s="48" t="str">
        <f t="shared" si="66"/>
        <v/>
      </c>
      <c r="BT172" s="47" t="str">
        <f t="shared" si="67"/>
        <v/>
      </c>
      <c r="CA172" s="47" t="str">
        <f t="shared" si="68"/>
        <v/>
      </c>
      <c r="CB172" s="47" t="str">
        <f t="shared" si="69"/>
        <v/>
      </c>
      <c r="CC172" s="47" t="str">
        <f t="shared" si="70"/>
        <v/>
      </c>
      <c r="CD172" s="47" t="str">
        <f t="shared" si="71"/>
        <v/>
      </c>
      <c r="CE172" s="47" t="str">
        <f>IF(AH172="","",IF(OR(AI172&lt;&gt;'Seasonal Tercile Tally'!$B$3,AM172&lt;&gt;'Seasonal Tercile Tally'!$B$4),"Other site/ season",IF(DT172=0,"Excluded: duplicate (later row)",IF(N172&lt;&gt;1,"Excluded: not sighted",IF(AC172&lt;&gt;1,"Excluded: not confirmed",IF(AD172&lt;&gt;1,"Excluded: not approved",IF(AP172="Contested","Excluded: contested",IF(OR(U172="",U172=0),"Excluded: no tercile",IF(CB172="","Counted (simple tally only — no weight)","Counted")))))))))</f>
        <v/>
      </c>
      <c r="CF172" s="49" t="str">
        <f>IF(AH172="","",IFERROR(INDEX('Prior Multipliers'!$C$6:$C$70,MATCH(LEFT(AH172,10),'Prior Multipliers'!$A$6:$A$70,0)),IFERROR(INDEX('Prior Multipliers'!$C$6:$C$70,MATCH(LEFT(AH172,6),'Prior Multipliers'!$A$6:$A$70,0)),IFERROR(INDEX('Prior Multipliers'!$C$6:$C$70,MATCH(LEFT(AH172,2),'Prior Multipliers'!$A$6:$A$70,0)),1))))</f>
        <v/>
      </c>
      <c r="CG172" s="49" t="str">
        <f>IF(CB172="","",IF(AND('Seasonal Tercile Tally'!$B$5=1,BT172="Rating-based"),CB172*CF172,CB172))</f>
        <v/>
      </c>
      <c r="CH172" s="47">
        <f t="shared" si="72"/>
        <v>0</v>
      </c>
      <c r="CI172" s="45"/>
      <c r="CJ172" s="42" t="str">
        <f t="shared" si="73"/>
        <v/>
      </c>
      <c r="CM172" s="42" t="str">
        <f t="shared" si="74"/>
        <v/>
      </c>
      <c r="CP172" s="46" t="str">
        <f t="shared" si="75"/>
        <v/>
      </c>
      <c r="CS172" s="46" t="str">
        <f t="shared" si="76"/>
        <v/>
      </c>
      <c r="CT172" s="42" t="str">
        <f t="shared" si="77"/>
        <v/>
      </c>
      <c r="CU172" s="42" t="str">
        <f t="shared" si="78"/>
        <v/>
      </c>
      <c r="CV172" s="42" t="str">
        <f t="shared" si="79"/>
        <v/>
      </c>
      <c r="DB172" s="45"/>
      <c r="DH172" s="42" t="str">
        <f t="shared" si="80"/>
        <v/>
      </c>
      <c r="DI172" s="43" t="str">
        <f t="shared" si="81"/>
        <v/>
      </c>
      <c r="DK172" s="46" t="str">
        <f t="shared" si="82"/>
        <v/>
      </c>
      <c r="DQ172" s="42" t="str">
        <f>IF(AH172="","",IFERROR(ROUND(100*('Weighting Options'!$D$7*IF(ISNUMBER(CA172),CA172/3,0)+'Weighting Options'!$D$8*MIN(N(BL172),3)/3+'Weighting Options'!$D$9*IF(AP172="Community/Plenary-endorsed",1,IF(AP172="FGD-validated only",0.75,IF(AP172="Sub-community-specific",0.5,IF(AP172="Provisional/emerging",0.25,0))))+'Weighting Options'!$D$10*IF(ISNUMBER(K172),K172/3,0)+'Weighting Options'!$D$11*IF(CC172="",0.5,IF(CC172="OK",1,0.25))+'Weighting Options'!$D$12*IF(DK172="",0.5,IF(DK172="Agrees",1,IF(DK172="Opposite",0,0.5)))+'Weighting Options'!$D$13*MIN(N(BG172),3)/3+'Weighting Options'!$D$14*IF(AE172=1,1,0))/SUM('Weighting Options'!$D$7:$D$14),0),""))</f>
        <v/>
      </c>
      <c r="DR172" s="44" t="str">
        <f>IF(AH172="","",IFERROR(INDEX('Weighting Options'!$D$20:$D$27,VALUE(LEFT(TRIM(BU172),1))),1))</f>
        <v/>
      </c>
      <c r="DS172" s="44" t="str">
        <f t="shared" si="83"/>
        <v/>
      </c>
      <c r="DT172" s="42" t="str">
        <f>IF(AH172="","",IF(COUNTIFS($AH$12:AH172,AH172,$AI$12:AI172,AI172,$AM$12:AM172,AM172)=1,1,0))</f>
        <v/>
      </c>
    </row>
    <row r="173" spans="16:124" ht="12.75" customHeight="1" x14ac:dyDescent="0.35">
      <c r="P173" s="41"/>
      <c r="Q173" s="41"/>
      <c r="R173" s="41"/>
      <c r="S173" s="41"/>
      <c r="AH173" s="40"/>
      <c r="AP173" s="40"/>
      <c r="AS173" s="41"/>
      <c r="AT173" s="41"/>
      <c r="AW173" t="str">
        <f t="shared" si="56"/>
        <v/>
      </c>
      <c r="AX173" t="str">
        <f t="shared" si="57"/>
        <v/>
      </c>
      <c r="AY173" t="str">
        <f t="shared" si="58"/>
        <v/>
      </c>
      <c r="AZ173" s="40"/>
      <c r="BL173" s="47" t="str">
        <f t="shared" si="59"/>
        <v/>
      </c>
      <c r="BM173" s="47" t="str">
        <f t="shared" si="60"/>
        <v/>
      </c>
      <c r="BN173" s="47" t="str">
        <f t="shared" si="61"/>
        <v/>
      </c>
      <c r="BO173" s="47" t="str">
        <f t="shared" si="62"/>
        <v/>
      </c>
      <c r="BP173" s="47" t="str">
        <f t="shared" si="63"/>
        <v/>
      </c>
      <c r="BQ173" s="48" t="str">
        <f t="shared" si="64"/>
        <v/>
      </c>
      <c r="BR173" s="48" t="str">
        <f t="shared" si="65"/>
        <v/>
      </c>
      <c r="BS173" s="48" t="str">
        <f t="shared" si="66"/>
        <v/>
      </c>
      <c r="BT173" s="47" t="str">
        <f t="shared" si="67"/>
        <v/>
      </c>
      <c r="CA173" s="47" t="str">
        <f t="shared" si="68"/>
        <v/>
      </c>
      <c r="CB173" s="47" t="str">
        <f t="shared" si="69"/>
        <v/>
      </c>
      <c r="CC173" s="47" t="str">
        <f t="shared" si="70"/>
        <v/>
      </c>
      <c r="CD173" s="47" t="str">
        <f t="shared" si="71"/>
        <v/>
      </c>
      <c r="CE173" s="47" t="str">
        <f>IF(AH173="","",IF(OR(AI173&lt;&gt;'Seasonal Tercile Tally'!$B$3,AM173&lt;&gt;'Seasonal Tercile Tally'!$B$4),"Other site/ season",IF(DT173=0,"Excluded: duplicate (later row)",IF(N173&lt;&gt;1,"Excluded: not sighted",IF(AC173&lt;&gt;1,"Excluded: not confirmed",IF(AD173&lt;&gt;1,"Excluded: not approved",IF(AP173="Contested","Excluded: contested",IF(OR(U173="",U173=0),"Excluded: no tercile",IF(CB173="","Counted (simple tally only — no weight)","Counted")))))))))</f>
        <v/>
      </c>
      <c r="CF173" s="49" t="str">
        <f>IF(AH173="","",IFERROR(INDEX('Prior Multipliers'!$C$6:$C$70,MATCH(LEFT(AH173,10),'Prior Multipliers'!$A$6:$A$70,0)),IFERROR(INDEX('Prior Multipliers'!$C$6:$C$70,MATCH(LEFT(AH173,6),'Prior Multipliers'!$A$6:$A$70,0)),IFERROR(INDEX('Prior Multipliers'!$C$6:$C$70,MATCH(LEFT(AH173,2),'Prior Multipliers'!$A$6:$A$70,0)),1))))</f>
        <v/>
      </c>
      <c r="CG173" s="49" t="str">
        <f>IF(CB173="","",IF(AND('Seasonal Tercile Tally'!$B$5=1,BT173="Rating-based"),CB173*CF173,CB173))</f>
        <v/>
      </c>
      <c r="CH173" s="47">
        <f t="shared" si="72"/>
        <v>0</v>
      </c>
      <c r="CI173" s="45"/>
      <c r="CJ173" s="42" t="str">
        <f t="shared" si="73"/>
        <v/>
      </c>
      <c r="CM173" s="42" t="str">
        <f t="shared" si="74"/>
        <v/>
      </c>
      <c r="CP173" s="46" t="str">
        <f t="shared" si="75"/>
        <v/>
      </c>
      <c r="CS173" s="46" t="str">
        <f t="shared" si="76"/>
        <v/>
      </c>
      <c r="CT173" s="42" t="str">
        <f t="shared" si="77"/>
        <v/>
      </c>
      <c r="CU173" s="42" t="str">
        <f t="shared" si="78"/>
        <v/>
      </c>
      <c r="CV173" s="42" t="str">
        <f t="shared" si="79"/>
        <v/>
      </c>
      <c r="DB173" s="45"/>
      <c r="DH173" s="42" t="str">
        <f t="shared" si="80"/>
        <v/>
      </c>
      <c r="DI173" s="43" t="str">
        <f t="shared" si="81"/>
        <v/>
      </c>
      <c r="DK173" s="46" t="str">
        <f t="shared" si="82"/>
        <v/>
      </c>
      <c r="DQ173" s="42" t="str">
        <f>IF(AH173="","",IFERROR(ROUND(100*('Weighting Options'!$D$7*IF(ISNUMBER(CA173),CA173/3,0)+'Weighting Options'!$D$8*MIN(N(BL173),3)/3+'Weighting Options'!$D$9*IF(AP173="Community/Plenary-endorsed",1,IF(AP173="FGD-validated only",0.75,IF(AP173="Sub-community-specific",0.5,IF(AP173="Provisional/emerging",0.25,0))))+'Weighting Options'!$D$10*IF(ISNUMBER(K173),K173/3,0)+'Weighting Options'!$D$11*IF(CC173="",0.5,IF(CC173="OK",1,0.25))+'Weighting Options'!$D$12*IF(DK173="",0.5,IF(DK173="Agrees",1,IF(DK173="Opposite",0,0.5)))+'Weighting Options'!$D$13*MIN(N(BG173),3)/3+'Weighting Options'!$D$14*IF(AE173=1,1,0))/SUM('Weighting Options'!$D$7:$D$14),0),""))</f>
        <v/>
      </c>
      <c r="DR173" s="44" t="str">
        <f>IF(AH173="","",IFERROR(INDEX('Weighting Options'!$D$20:$D$27,VALUE(LEFT(TRIM(BU173),1))),1))</f>
        <v/>
      </c>
      <c r="DS173" s="44" t="str">
        <f t="shared" si="83"/>
        <v/>
      </c>
      <c r="DT173" s="42" t="str">
        <f>IF(AH173="","",IF(COUNTIFS($AH$12:AH173,AH173,$AI$12:AI173,AI173,$AM$12:AM173,AM173)=1,1,0))</f>
        <v/>
      </c>
    </row>
    <row r="174" spans="16:124" ht="12.75" customHeight="1" x14ac:dyDescent="0.35">
      <c r="P174" s="41"/>
      <c r="Q174" s="41"/>
      <c r="R174" s="41"/>
      <c r="S174" s="41"/>
      <c r="AH174" s="40"/>
      <c r="AP174" s="40"/>
      <c r="AS174" s="41"/>
      <c r="AT174" s="41"/>
      <c r="AW174" t="str">
        <f t="shared" si="56"/>
        <v/>
      </c>
      <c r="AX174" t="str">
        <f t="shared" si="57"/>
        <v/>
      </c>
      <c r="AY174" t="str">
        <f t="shared" si="58"/>
        <v/>
      </c>
      <c r="AZ174" s="40"/>
      <c r="BL174" s="47" t="str">
        <f t="shared" si="59"/>
        <v/>
      </c>
      <c r="BM174" s="47" t="str">
        <f t="shared" si="60"/>
        <v/>
      </c>
      <c r="BN174" s="47" t="str">
        <f t="shared" si="61"/>
        <v/>
      </c>
      <c r="BO174" s="47" t="str">
        <f t="shared" si="62"/>
        <v/>
      </c>
      <c r="BP174" s="47" t="str">
        <f t="shared" si="63"/>
        <v/>
      </c>
      <c r="BQ174" s="48" t="str">
        <f t="shared" si="64"/>
        <v/>
      </c>
      <c r="BR174" s="48" t="str">
        <f t="shared" si="65"/>
        <v/>
      </c>
      <c r="BS174" s="48" t="str">
        <f t="shared" si="66"/>
        <v/>
      </c>
      <c r="BT174" s="47" t="str">
        <f t="shared" si="67"/>
        <v/>
      </c>
      <c r="CA174" s="47" t="str">
        <f t="shared" si="68"/>
        <v/>
      </c>
      <c r="CB174" s="47" t="str">
        <f t="shared" si="69"/>
        <v/>
      </c>
      <c r="CC174" s="47" t="str">
        <f t="shared" si="70"/>
        <v/>
      </c>
      <c r="CD174" s="47" t="str">
        <f t="shared" si="71"/>
        <v/>
      </c>
      <c r="CE174" s="47" t="str">
        <f>IF(AH174="","",IF(OR(AI174&lt;&gt;'Seasonal Tercile Tally'!$B$3,AM174&lt;&gt;'Seasonal Tercile Tally'!$B$4),"Other site/ season",IF(DT174=0,"Excluded: duplicate (later row)",IF(N174&lt;&gt;1,"Excluded: not sighted",IF(AC174&lt;&gt;1,"Excluded: not confirmed",IF(AD174&lt;&gt;1,"Excluded: not approved",IF(AP174="Contested","Excluded: contested",IF(OR(U174="",U174=0),"Excluded: no tercile",IF(CB174="","Counted (simple tally only — no weight)","Counted")))))))))</f>
        <v/>
      </c>
      <c r="CF174" s="49" t="str">
        <f>IF(AH174="","",IFERROR(INDEX('Prior Multipliers'!$C$6:$C$70,MATCH(LEFT(AH174,10),'Prior Multipliers'!$A$6:$A$70,0)),IFERROR(INDEX('Prior Multipliers'!$C$6:$C$70,MATCH(LEFT(AH174,6),'Prior Multipliers'!$A$6:$A$70,0)),IFERROR(INDEX('Prior Multipliers'!$C$6:$C$70,MATCH(LEFT(AH174,2),'Prior Multipliers'!$A$6:$A$70,0)),1))))</f>
        <v/>
      </c>
      <c r="CG174" s="49" t="str">
        <f>IF(CB174="","",IF(AND('Seasonal Tercile Tally'!$B$5=1,BT174="Rating-based"),CB174*CF174,CB174))</f>
        <v/>
      </c>
      <c r="CH174" s="47">
        <f t="shared" si="72"/>
        <v>0</v>
      </c>
      <c r="CI174" s="45"/>
      <c r="CJ174" s="42" t="str">
        <f t="shared" si="73"/>
        <v/>
      </c>
      <c r="CM174" s="42" t="str">
        <f t="shared" si="74"/>
        <v/>
      </c>
      <c r="CP174" s="46" t="str">
        <f t="shared" si="75"/>
        <v/>
      </c>
      <c r="CS174" s="46" t="str">
        <f t="shared" si="76"/>
        <v/>
      </c>
      <c r="CT174" s="42" t="str">
        <f t="shared" si="77"/>
        <v/>
      </c>
      <c r="CU174" s="42" t="str">
        <f t="shared" si="78"/>
        <v/>
      </c>
      <c r="CV174" s="42" t="str">
        <f t="shared" si="79"/>
        <v/>
      </c>
      <c r="DB174" s="45"/>
      <c r="DH174" s="42" t="str">
        <f t="shared" si="80"/>
        <v/>
      </c>
      <c r="DI174" s="43" t="str">
        <f t="shared" si="81"/>
        <v/>
      </c>
      <c r="DK174" s="46" t="str">
        <f t="shared" si="82"/>
        <v/>
      </c>
      <c r="DQ174" s="42" t="str">
        <f>IF(AH174="","",IFERROR(ROUND(100*('Weighting Options'!$D$7*IF(ISNUMBER(CA174),CA174/3,0)+'Weighting Options'!$D$8*MIN(N(BL174),3)/3+'Weighting Options'!$D$9*IF(AP174="Community/Plenary-endorsed",1,IF(AP174="FGD-validated only",0.75,IF(AP174="Sub-community-specific",0.5,IF(AP174="Provisional/emerging",0.25,0))))+'Weighting Options'!$D$10*IF(ISNUMBER(K174),K174/3,0)+'Weighting Options'!$D$11*IF(CC174="",0.5,IF(CC174="OK",1,0.25))+'Weighting Options'!$D$12*IF(DK174="",0.5,IF(DK174="Agrees",1,IF(DK174="Opposite",0,0.5)))+'Weighting Options'!$D$13*MIN(N(BG174),3)/3+'Weighting Options'!$D$14*IF(AE174=1,1,0))/SUM('Weighting Options'!$D$7:$D$14),0),""))</f>
        <v/>
      </c>
      <c r="DR174" s="44" t="str">
        <f>IF(AH174="","",IFERROR(INDEX('Weighting Options'!$D$20:$D$27,VALUE(LEFT(TRIM(BU174),1))),1))</f>
        <v/>
      </c>
      <c r="DS174" s="44" t="str">
        <f t="shared" si="83"/>
        <v/>
      </c>
      <c r="DT174" s="42" t="str">
        <f>IF(AH174="","",IF(COUNTIFS($AH$12:AH174,AH174,$AI$12:AI174,AI174,$AM$12:AM174,AM174)=1,1,0))</f>
        <v/>
      </c>
    </row>
    <row r="175" spans="16:124" ht="12.75" customHeight="1" x14ac:dyDescent="0.35">
      <c r="P175" s="41"/>
      <c r="Q175" s="41"/>
      <c r="R175" s="41"/>
      <c r="S175" s="41"/>
      <c r="AH175" s="40"/>
      <c r="AP175" s="40"/>
      <c r="AS175" s="41"/>
      <c r="AT175" s="41"/>
      <c r="AW175" t="str">
        <f t="shared" si="56"/>
        <v/>
      </c>
      <c r="AX175" t="str">
        <f t="shared" si="57"/>
        <v/>
      </c>
      <c r="AY175" t="str">
        <f t="shared" si="58"/>
        <v/>
      </c>
      <c r="AZ175" s="40"/>
      <c r="BL175" s="47" t="str">
        <f t="shared" si="59"/>
        <v/>
      </c>
      <c r="BM175" s="47" t="str">
        <f t="shared" si="60"/>
        <v/>
      </c>
      <c r="BN175" s="47" t="str">
        <f t="shared" si="61"/>
        <v/>
      </c>
      <c r="BO175" s="47" t="str">
        <f t="shared" si="62"/>
        <v/>
      </c>
      <c r="BP175" s="47" t="str">
        <f t="shared" si="63"/>
        <v/>
      </c>
      <c r="BQ175" s="48" t="str">
        <f t="shared" si="64"/>
        <v/>
      </c>
      <c r="BR175" s="48" t="str">
        <f t="shared" si="65"/>
        <v/>
      </c>
      <c r="BS175" s="48" t="str">
        <f t="shared" si="66"/>
        <v/>
      </c>
      <c r="BT175" s="47" t="str">
        <f t="shared" si="67"/>
        <v/>
      </c>
      <c r="CA175" s="47" t="str">
        <f t="shared" si="68"/>
        <v/>
      </c>
      <c r="CB175" s="47" t="str">
        <f t="shared" si="69"/>
        <v/>
      </c>
      <c r="CC175" s="47" t="str">
        <f t="shared" si="70"/>
        <v/>
      </c>
      <c r="CD175" s="47" t="str">
        <f t="shared" si="71"/>
        <v/>
      </c>
      <c r="CE175" s="47" t="str">
        <f>IF(AH175="","",IF(OR(AI175&lt;&gt;'Seasonal Tercile Tally'!$B$3,AM175&lt;&gt;'Seasonal Tercile Tally'!$B$4),"Other site/ season",IF(DT175=0,"Excluded: duplicate (later row)",IF(N175&lt;&gt;1,"Excluded: not sighted",IF(AC175&lt;&gt;1,"Excluded: not confirmed",IF(AD175&lt;&gt;1,"Excluded: not approved",IF(AP175="Contested","Excluded: contested",IF(OR(U175="",U175=0),"Excluded: no tercile",IF(CB175="","Counted (simple tally only — no weight)","Counted")))))))))</f>
        <v/>
      </c>
      <c r="CF175" s="49" t="str">
        <f>IF(AH175="","",IFERROR(INDEX('Prior Multipliers'!$C$6:$C$70,MATCH(LEFT(AH175,10),'Prior Multipliers'!$A$6:$A$70,0)),IFERROR(INDEX('Prior Multipliers'!$C$6:$C$70,MATCH(LEFT(AH175,6),'Prior Multipliers'!$A$6:$A$70,0)),IFERROR(INDEX('Prior Multipliers'!$C$6:$C$70,MATCH(LEFT(AH175,2),'Prior Multipliers'!$A$6:$A$70,0)),1))))</f>
        <v/>
      </c>
      <c r="CG175" s="49" t="str">
        <f>IF(CB175="","",IF(AND('Seasonal Tercile Tally'!$B$5=1,BT175="Rating-based"),CB175*CF175,CB175))</f>
        <v/>
      </c>
      <c r="CH175" s="47">
        <f t="shared" si="72"/>
        <v>0</v>
      </c>
      <c r="CI175" s="45"/>
      <c r="CJ175" s="42" t="str">
        <f t="shared" si="73"/>
        <v/>
      </c>
      <c r="CM175" s="42" t="str">
        <f t="shared" si="74"/>
        <v/>
      </c>
      <c r="CP175" s="46" t="str">
        <f t="shared" si="75"/>
        <v/>
      </c>
      <c r="CS175" s="46" t="str">
        <f t="shared" si="76"/>
        <v/>
      </c>
      <c r="CT175" s="42" t="str">
        <f t="shared" si="77"/>
        <v/>
      </c>
      <c r="CU175" s="42" t="str">
        <f t="shared" si="78"/>
        <v/>
      </c>
      <c r="CV175" s="42" t="str">
        <f t="shared" si="79"/>
        <v/>
      </c>
      <c r="DB175" s="45"/>
      <c r="DH175" s="42" t="str">
        <f t="shared" si="80"/>
        <v/>
      </c>
      <c r="DI175" s="43" t="str">
        <f t="shared" si="81"/>
        <v/>
      </c>
      <c r="DK175" s="46" t="str">
        <f t="shared" si="82"/>
        <v/>
      </c>
      <c r="DQ175" s="42" t="str">
        <f>IF(AH175="","",IFERROR(ROUND(100*('Weighting Options'!$D$7*IF(ISNUMBER(CA175),CA175/3,0)+'Weighting Options'!$D$8*MIN(N(BL175),3)/3+'Weighting Options'!$D$9*IF(AP175="Community/Plenary-endorsed",1,IF(AP175="FGD-validated only",0.75,IF(AP175="Sub-community-specific",0.5,IF(AP175="Provisional/emerging",0.25,0))))+'Weighting Options'!$D$10*IF(ISNUMBER(K175),K175/3,0)+'Weighting Options'!$D$11*IF(CC175="",0.5,IF(CC175="OK",1,0.25))+'Weighting Options'!$D$12*IF(DK175="",0.5,IF(DK175="Agrees",1,IF(DK175="Opposite",0,0.5)))+'Weighting Options'!$D$13*MIN(N(BG175),3)/3+'Weighting Options'!$D$14*IF(AE175=1,1,0))/SUM('Weighting Options'!$D$7:$D$14),0),""))</f>
        <v/>
      </c>
      <c r="DR175" s="44" t="str">
        <f>IF(AH175="","",IFERROR(INDEX('Weighting Options'!$D$20:$D$27,VALUE(LEFT(TRIM(BU175),1))),1))</f>
        <v/>
      </c>
      <c r="DS175" s="44" t="str">
        <f t="shared" si="83"/>
        <v/>
      </c>
      <c r="DT175" s="42" t="str">
        <f>IF(AH175="","",IF(COUNTIFS($AH$12:AH175,AH175,$AI$12:AI175,AI175,$AM$12:AM175,AM175)=1,1,0))</f>
        <v/>
      </c>
    </row>
    <row r="176" spans="16:124" ht="12.75" customHeight="1" x14ac:dyDescent="0.35">
      <c r="P176" s="41"/>
      <c r="Q176" s="41"/>
      <c r="R176" s="41"/>
      <c r="S176" s="41"/>
      <c r="AH176" s="40"/>
      <c r="AP176" s="40"/>
      <c r="AS176" s="41"/>
      <c r="AT176" s="41"/>
      <c r="AW176" t="str">
        <f t="shared" si="56"/>
        <v/>
      </c>
      <c r="AX176" t="str">
        <f t="shared" si="57"/>
        <v/>
      </c>
      <c r="AY176" t="str">
        <f t="shared" si="58"/>
        <v/>
      </c>
      <c r="AZ176" s="40"/>
      <c r="BL176" s="47" t="str">
        <f t="shared" si="59"/>
        <v/>
      </c>
      <c r="BM176" s="47" t="str">
        <f t="shared" si="60"/>
        <v/>
      </c>
      <c r="BN176" s="47" t="str">
        <f t="shared" si="61"/>
        <v/>
      </c>
      <c r="BO176" s="47" t="str">
        <f t="shared" si="62"/>
        <v/>
      </c>
      <c r="BP176" s="47" t="str">
        <f t="shared" si="63"/>
        <v/>
      </c>
      <c r="BQ176" s="48" t="str">
        <f t="shared" si="64"/>
        <v/>
      </c>
      <c r="BR176" s="48" t="str">
        <f t="shared" si="65"/>
        <v/>
      </c>
      <c r="BS176" s="48" t="str">
        <f t="shared" si="66"/>
        <v/>
      </c>
      <c r="BT176" s="47" t="str">
        <f t="shared" si="67"/>
        <v/>
      </c>
      <c r="CA176" s="47" t="str">
        <f t="shared" si="68"/>
        <v/>
      </c>
      <c r="CB176" s="47" t="str">
        <f t="shared" si="69"/>
        <v/>
      </c>
      <c r="CC176" s="47" t="str">
        <f t="shared" si="70"/>
        <v/>
      </c>
      <c r="CD176" s="47" t="str">
        <f t="shared" si="71"/>
        <v/>
      </c>
      <c r="CE176" s="47" t="str">
        <f>IF(AH176="","",IF(OR(AI176&lt;&gt;'Seasonal Tercile Tally'!$B$3,AM176&lt;&gt;'Seasonal Tercile Tally'!$B$4),"Other site/ season",IF(DT176=0,"Excluded: duplicate (later row)",IF(N176&lt;&gt;1,"Excluded: not sighted",IF(AC176&lt;&gt;1,"Excluded: not confirmed",IF(AD176&lt;&gt;1,"Excluded: not approved",IF(AP176="Contested","Excluded: contested",IF(OR(U176="",U176=0),"Excluded: no tercile",IF(CB176="","Counted (simple tally only — no weight)","Counted")))))))))</f>
        <v/>
      </c>
      <c r="CF176" s="49" t="str">
        <f>IF(AH176="","",IFERROR(INDEX('Prior Multipliers'!$C$6:$C$70,MATCH(LEFT(AH176,10),'Prior Multipliers'!$A$6:$A$70,0)),IFERROR(INDEX('Prior Multipliers'!$C$6:$C$70,MATCH(LEFT(AH176,6),'Prior Multipliers'!$A$6:$A$70,0)),IFERROR(INDEX('Prior Multipliers'!$C$6:$C$70,MATCH(LEFT(AH176,2),'Prior Multipliers'!$A$6:$A$70,0)),1))))</f>
        <v/>
      </c>
      <c r="CG176" s="49" t="str">
        <f>IF(CB176="","",IF(AND('Seasonal Tercile Tally'!$B$5=1,BT176="Rating-based"),CB176*CF176,CB176))</f>
        <v/>
      </c>
      <c r="CH176" s="47">
        <f t="shared" si="72"/>
        <v>0</v>
      </c>
      <c r="CI176" s="45"/>
      <c r="CJ176" s="42" t="str">
        <f t="shared" si="73"/>
        <v/>
      </c>
      <c r="CM176" s="42" t="str">
        <f t="shared" si="74"/>
        <v/>
      </c>
      <c r="CP176" s="46" t="str">
        <f t="shared" si="75"/>
        <v/>
      </c>
      <c r="CS176" s="46" t="str">
        <f t="shared" si="76"/>
        <v/>
      </c>
      <c r="CT176" s="42" t="str">
        <f t="shared" si="77"/>
        <v/>
      </c>
      <c r="CU176" s="42" t="str">
        <f t="shared" si="78"/>
        <v/>
      </c>
      <c r="CV176" s="42" t="str">
        <f t="shared" si="79"/>
        <v/>
      </c>
      <c r="DB176" s="45"/>
      <c r="DH176" s="42" t="str">
        <f t="shared" si="80"/>
        <v/>
      </c>
      <c r="DI176" s="43" t="str">
        <f t="shared" si="81"/>
        <v/>
      </c>
      <c r="DK176" s="46" t="str">
        <f t="shared" si="82"/>
        <v/>
      </c>
      <c r="DQ176" s="42" t="str">
        <f>IF(AH176="","",IFERROR(ROUND(100*('Weighting Options'!$D$7*IF(ISNUMBER(CA176),CA176/3,0)+'Weighting Options'!$D$8*MIN(N(BL176),3)/3+'Weighting Options'!$D$9*IF(AP176="Community/Plenary-endorsed",1,IF(AP176="FGD-validated only",0.75,IF(AP176="Sub-community-specific",0.5,IF(AP176="Provisional/emerging",0.25,0))))+'Weighting Options'!$D$10*IF(ISNUMBER(K176),K176/3,0)+'Weighting Options'!$D$11*IF(CC176="",0.5,IF(CC176="OK",1,0.25))+'Weighting Options'!$D$12*IF(DK176="",0.5,IF(DK176="Agrees",1,IF(DK176="Opposite",0,0.5)))+'Weighting Options'!$D$13*MIN(N(BG176),3)/3+'Weighting Options'!$D$14*IF(AE176=1,1,0))/SUM('Weighting Options'!$D$7:$D$14),0),""))</f>
        <v/>
      </c>
      <c r="DR176" s="44" t="str">
        <f>IF(AH176="","",IFERROR(INDEX('Weighting Options'!$D$20:$D$27,VALUE(LEFT(TRIM(BU176),1))),1))</f>
        <v/>
      </c>
      <c r="DS176" s="44" t="str">
        <f t="shared" si="83"/>
        <v/>
      </c>
      <c r="DT176" s="42" t="str">
        <f>IF(AH176="","",IF(COUNTIFS($AH$12:AH176,AH176,$AI$12:AI176,AI176,$AM$12:AM176,AM176)=1,1,0))</f>
        <v/>
      </c>
    </row>
    <row r="177" spans="16:124" ht="12.75" customHeight="1" x14ac:dyDescent="0.35">
      <c r="P177" s="41"/>
      <c r="Q177" s="41"/>
      <c r="R177" s="41"/>
      <c r="S177" s="41"/>
      <c r="AH177" s="40"/>
      <c r="AP177" s="40"/>
      <c r="AS177" s="41"/>
      <c r="AT177" s="41"/>
      <c r="AW177" t="str">
        <f t="shared" si="56"/>
        <v/>
      </c>
      <c r="AX177" t="str">
        <f t="shared" si="57"/>
        <v/>
      </c>
      <c r="AY177" t="str">
        <f t="shared" si="58"/>
        <v/>
      </c>
      <c r="AZ177" s="40"/>
      <c r="BL177" s="47" t="str">
        <f t="shared" si="59"/>
        <v/>
      </c>
      <c r="BM177" s="47" t="str">
        <f t="shared" si="60"/>
        <v/>
      </c>
      <c r="BN177" s="47" t="str">
        <f t="shared" si="61"/>
        <v/>
      </c>
      <c r="BO177" s="47" t="str">
        <f t="shared" si="62"/>
        <v/>
      </c>
      <c r="BP177" s="47" t="str">
        <f t="shared" si="63"/>
        <v/>
      </c>
      <c r="BQ177" s="48" t="str">
        <f t="shared" si="64"/>
        <v/>
      </c>
      <c r="BR177" s="48" t="str">
        <f t="shared" si="65"/>
        <v/>
      </c>
      <c r="BS177" s="48" t="str">
        <f t="shared" si="66"/>
        <v/>
      </c>
      <c r="BT177" s="47" t="str">
        <f t="shared" si="67"/>
        <v/>
      </c>
      <c r="CA177" s="47" t="str">
        <f t="shared" si="68"/>
        <v/>
      </c>
      <c r="CB177" s="47" t="str">
        <f t="shared" si="69"/>
        <v/>
      </c>
      <c r="CC177" s="47" t="str">
        <f t="shared" si="70"/>
        <v/>
      </c>
      <c r="CD177" s="47" t="str">
        <f t="shared" si="71"/>
        <v/>
      </c>
      <c r="CE177" s="47" t="str">
        <f>IF(AH177="","",IF(OR(AI177&lt;&gt;'Seasonal Tercile Tally'!$B$3,AM177&lt;&gt;'Seasonal Tercile Tally'!$B$4),"Other site/ season",IF(DT177=0,"Excluded: duplicate (later row)",IF(N177&lt;&gt;1,"Excluded: not sighted",IF(AC177&lt;&gt;1,"Excluded: not confirmed",IF(AD177&lt;&gt;1,"Excluded: not approved",IF(AP177="Contested","Excluded: contested",IF(OR(U177="",U177=0),"Excluded: no tercile",IF(CB177="","Counted (simple tally only — no weight)","Counted")))))))))</f>
        <v/>
      </c>
      <c r="CF177" s="49" t="str">
        <f>IF(AH177="","",IFERROR(INDEX('Prior Multipliers'!$C$6:$C$70,MATCH(LEFT(AH177,10),'Prior Multipliers'!$A$6:$A$70,0)),IFERROR(INDEX('Prior Multipliers'!$C$6:$C$70,MATCH(LEFT(AH177,6),'Prior Multipliers'!$A$6:$A$70,0)),IFERROR(INDEX('Prior Multipliers'!$C$6:$C$70,MATCH(LEFT(AH177,2),'Prior Multipliers'!$A$6:$A$70,0)),1))))</f>
        <v/>
      </c>
      <c r="CG177" s="49" t="str">
        <f>IF(CB177="","",IF(AND('Seasonal Tercile Tally'!$B$5=1,BT177="Rating-based"),CB177*CF177,CB177))</f>
        <v/>
      </c>
      <c r="CH177" s="47">
        <f t="shared" si="72"/>
        <v>0</v>
      </c>
      <c r="CI177" s="45"/>
      <c r="CJ177" s="42" t="str">
        <f t="shared" si="73"/>
        <v/>
      </c>
      <c r="CM177" s="42" t="str">
        <f t="shared" si="74"/>
        <v/>
      </c>
      <c r="CP177" s="46" t="str">
        <f t="shared" si="75"/>
        <v/>
      </c>
      <c r="CS177" s="46" t="str">
        <f t="shared" si="76"/>
        <v/>
      </c>
      <c r="CT177" s="42" t="str">
        <f t="shared" si="77"/>
        <v/>
      </c>
      <c r="CU177" s="42" t="str">
        <f t="shared" si="78"/>
        <v/>
      </c>
      <c r="CV177" s="42" t="str">
        <f t="shared" si="79"/>
        <v/>
      </c>
      <c r="DB177" s="45"/>
      <c r="DH177" s="42" t="str">
        <f t="shared" si="80"/>
        <v/>
      </c>
      <c r="DI177" s="43" t="str">
        <f t="shared" si="81"/>
        <v/>
      </c>
      <c r="DK177" s="46" t="str">
        <f t="shared" si="82"/>
        <v/>
      </c>
      <c r="DQ177" s="42" t="str">
        <f>IF(AH177="","",IFERROR(ROUND(100*('Weighting Options'!$D$7*IF(ISNUMBER(CA177),CA177/3,0)+'Weighting Options'!$D$8*MIN(N(BL177),3)/3+'Weighting Options'!$D$9*IF(AP177="Community/Plenary-endorsed",1,IF(AP177="FGD-validated only",0.75,IF(AP177="Sub-community-specific",0.5,IF(AP177="Provisional/emerging",0.25,0))))+'Weighting Options'!$D$10*IF(ISNUMBER(K177),K177/3,0)+'Weighting Options'!$D$11*IF(CC177="",0.5,IF(CC177="OK",1,0.25))+'Weighting Options'!$D$12*IF(DK177="",0.5,IF(DK177="Agrees",1,IF(DK177="Opposite",0,0.5)))+'Weighting Options'!$D$13*MIN(N(BG177),3)/3+'Weighting Options'!$D$14*IF(AE177=1,1,0))/SUM('Weighting Options'!$D$7:$D$14),0),""))</f>
        <v/>
      </c>
      <c r="DR177" s="44" t="str">
        <f>IF(AH177="","",IFERROR(INDEX('Weighting Options'!$D$20:$D$27,VALUE(LEFT(TRIM(BU177),1))),1))</f>
        <v/>
      </c>
      <c r="DS177" s="44" t="str">
        <f t="shared" si="83"/>
        <v/>
      </c>
      <c r="DT177" s="42" t="str">
        <f>IF(AH177="","",IF(COUNTIFS($AH$12:AH177,AH177,$AI$12:AI177,AI177,$AM$12:AM177,AM177)=1,1,0))</f>
        <v/>
      </c>
    </row>
    <row r="178" spans="16:124" ht="12.75" customHeight="1" x14ac:dyDescent="0.35">
      <c r="P178" s="41"/>
      <c r="Q178" s="41"/>
      <c r="R178" s="41"/>
      <c r="S178" s="41"/>
      <c r="AH178" s="40"/>
      <c r="AP178" s="40"/>
      <c r="AS178" s="41"/>
      <c r="AT178" s="41"/>
      <c r="AW178" t="str">
        <f t="shared" si="56"/>
        <v/>
      </c>
      <c r="AX178" t="str">
        <f t="shared" si="57"/>
        <v/>
      </c>
      <c r="AY178" t="str">
        <f t="shared" si="58"/>
        <v/>
      </c>
      <c r="AZ178" s="40"/>
      <c r="BL178" s="47" t="str">
        <f t="shared" si="59"/>
        <v/>
      </c>
      <c r="BM178" s="47" t="str">
        <f t="shared" si="60"/>
        <v/>
      </c>
      <c r="BN178" s="47" t="str">
        <f t="shared" si="61"/>
        <v/>
      </c>
      <c r="BO178" s="47" t="str">
        <f t="shared" si="62"/>
        <v/>
      </c>
      <c r="BP178" s="47" t="str">
        <f t="shared" si="63"/>
        <v/>
      </c>
      <c r="BQ178" s="48" t="str">
        <f t="shared" si="64"/>
        <v/>
      </c>
      <c r="BR178" s="48" t="str">
        <f t="shared" si="65"/>
        <v/>
      </c>
      <c r="BS178" s="48" t="str">
        <f t="shared" si="66"/>
        <v/>
      </c>
      <c r="BT178" s="47" t="str">
        <f t="shared" si="67"/>
        <v/>
      </c>
      <c r="CA178" s="47" t="str">
        <f t="shared" si="68"/>
        <v/>
      </c>
      <c r="CB178" s="47" t="str">
        <f t="shared" si="69"/>
        <v/>
      </c>
      <c r="CC178" s="47" t="str">
        <f t="shared" si="70"/>
        <v/>
      </c>
      <c r="CD178" s="47" t="str">
        <f t="shared" si="71"/>
        <v/>
      </c>
      <c r="CE178" s="47" t="str">
        <f>IF(AH178="","",IF(OR(AI178&lt;&gt;'Seasonal Tercile Tally'!$B$3,AM178&lt;&gt;'Seasonal Tercile Tally'!$B$4),"Other site/ season",IF(DT178=0,"Excluded: duplicate (later row)",IF(N178&lt;&gt;1,"Excluded: not sighted",IF(AC178&lt;&gt;1,"Excluded: not confirmed",IF(AD178&lt;&gt;1,"Excluded: not approved",IF(AP178="Contested","Excluded: contested",IF(OR(U178="",U178=0),"Excluded: no tercile",IF(CB178="","Counted (simple tally only — no weight)","Counted")))))))))</f>
        <v/>
      </c>
      <c r="CF178" s="49" t="str">
        <f>IF(AH178="","",IFERROR(INDEX('Prior Multipliers'!$C$6:$C$70,MATCH(LEFT(AH178,10),'Prior Multipliers'!$A$6:$A$70,0)),IFERROR(INDEX('Prior Multipliers'!$C$6:$C$70,MATCH(LEFT(AH178,6),'Prior Multipliers'!$A$6:$A$70,0)),IFERROR(INDEX('Prior Multipliers'!$C$6:$C$70,MATCH(LEFT(AH178,2),'Prior Multipliers'!$A$6:$A$70,0)),1))))</f>
        <v/>
      </c>
      <c r="CG178" s="49" t="str">
        <f>IF(CB178="","",IF(AND('Seasonal Tercile Tally'!$B$5=1,BT178="Rating-based"),CB178*CF178,CB178))</f>
        <v/>
      </c>
      <c r="CH178" s="47">
        <f t="shared" si="72"/>
        <v>0</v>
      </c>
      <c r="CI178" s="45"/>
      <c r="CJ178" s="42" t="str">
        <f t="shared" si="73"/>
        <v/>
      </c>
      <c r="CM178" s="42" t="str">
        <f t="shared" si="74"/>
        <v/>
      </c>
      <c r="CP178" s="46" t="str">
        <f t="shared" si="75"/>
        <v/>
      </c>
      <c r="CS178" s="46" t="str">
        <f t="shared" si="76"/>
        <v/>
      </c>
      <c r="CT178" s="42" t="str">
        <f t="shared" si="77"/>
        <v/>
      </c>
      <c r="CU178" s="42" t="str">
        <f t="shared" si="78"/>
        <v/>
      </c>
      <c r="CV178" s="42" t="str">
        <f t="shared" si="79"/>
        <v/>
      </c>
      <c r="DB178" s="45"/>
      <c r="DH178" s="42" t="str">
        <f t="shared" si="80"/>
        <v/>
      </c>
      <c r="DI178" s="43" t="str">
        <f t="shared" si="81"/>
        <v/>
      </c>
      <c r="DK178" s="46" t="str">
        <f t="shared" si="82"/>
        <v/>
      </c>
      <c r="DQ178" s="42" t="str">
        <f>IF(AH178="","",IFERROR(ROUND(100*('Weighting Options'!$D$7*IF(ISNUMBER(CA178),CA178/3,0)+'Weighting Options'!$D$8*MIN(N(BL178),3)/3+'Weighting Options'!$D$9*IF(AP178="Community/Plenary-endorsed",1,IF(AP178="FGD-validated only",0.75,IF(AP178="Sub-community-specific",0.5,IF(AP178="Provisional/emerging",0.25,0))))+'Weighting Options'!$D$10*IF(ISNUMBER(K178),K178/3,0)+'Weighting Options'!$D$11*IF(CC178="",0.5,IF(CC178="OK",1,0.25))+'Weighting Options'!$D$12*IF(DK178="",0.5,IF(DK178="Agrees",1,IF(DK178="Opposite",0,0.5)))+'Weighting Options'!$D$13*MIN(N(BG178),3)/3+'Weighting Options'!$D$14*IF(AE178=1,1,0))/SUM('Weighting Options'!$D$7:$D$14),0),""))</f>
        <v/>
      </c>
      <c r="DR178" s="44" t="str">
        <f>IF(AH178="","",IFERROR(INDEX('Weighting Options'!$D$20:$D$27,VALUE(LEFT(TRIM(BU178),1))),1))</f>
        <v/>
      </c>
      <c r="DS178" s="44" t="str">
        <f t="shared" si="83"/>
        <v/>
      </c>
      <c r="DT178" s="42" t="str">
        <f>IF(AH178="","",IF(COUNTIFS($AH$12:AH178,AH178,$AI$12:AI178,AI178,$AM$12:AM178,AM178)=1,1,0))</f>
        <v/>
      </c>
    </row>
    <row r="179" spans="16:124" ht="12.75" customHeight="1" x14ac:dyDescent="0.35">
      <c r="P179" s="41"/>
      <c r="Q179" s="41"/>
      <c r="R179" s="41"/>
      <c r="S179" s="41"/>
      <c r="AH179" s="40"/>
      <c r="AP179" s="40"/>
      <c r="AS179" s="41"/>
      <c r="AT179" s="41"/>
      <c r="AW179" t="str">
        <f t="shared" si="56"/>
        <v/>
      </c>
      <c r="AX179" t="str">
        <f t="shared" si="57"/>
        <v/>
      </c>
      <c r="AY179" t="str">
        <f t="shared" si="58"/>
        <v/>
      </c>
      <c r="AZ179" s="40"/>
      <c r="BL179" s="47" t="str">
        <f t="shared" si="59"/>
        <v/>
      </c>
      <c r="BM179" s="47" t="str">
        <f t="shared" si="60"/>
        <v/>
      </c>
      <c r="BN179" s="47" t="str">
        <f t="shared" si="61"/>
        <v/>
      </c>
      <c r="BO179" s="47" t="str">
        <f t="shared" si="62"/>
        <v/>
      </c>
      <c r="BP179" s="47" t="str">
        <f t="shared" si="63"/>
        <v/>
      </c>
      <c r="BQ179" s="48" t="str">
        <f t="shared" si="64"/>
        <v/>
      </c>
      <c r="BR179" s="48" t="str">
        <f t="shared" si="65"/>
        <v/>
      </c>
      <c r="BS179" s="48" t="str">
        <f t="shared" si="66"/>
        <v/>
      </c>
      <c r="BT179" s="47" t="str">
        <f t="shared" si="67"/>
        <v/>
      </c>
      <c r="CA179" s="47" t="str">
        <f t="shared" si="68"/>
        <v/>
      </c>
      <c r="CB179" s="47" t="str">
        <f t="shared" si="69"/>
        <v/>
      </c>
      <c r="CC179" s="47" t="str">
        <f t="shared" si="70"/>
        <v/>
      </c>
      <c r="CD179" s="47" t="str">
        <f t="shared" si="71"/>
        <v/>
      </c>
      <c r="CE179" s="47" t="str">
        <f>IF(AH179="","",IF(OR(AI179&lt;&gt;'Seasonal Tercile Tally'!$B$3,AM179&lt;&gt;'Seasonal Tercile Tally'!$B$4),"Other site/ season",IF(DT179=0,"Excluded: duplicate (later row)",IF(N179&lt;&gt;1,"Excluded: not sighted",IF(AC179&lt;&gt;1,"Excluded: not confirmed",IF(AD179&lt;&gt;1,"Excluded: not approved",IF(AP179="Contested","Excluded: contested",IF(OR(U179="",U179=0),"Excluded: no tercile",IF(CB179="","Counted (simple tally only — no weight)","Counted")))))))))</f>
        <v/>
      </c>
      <c r="CF179" s="49" t="str">
        <f>IF(AH179="","",IFERROR(INDEX('Prior Multipliers'!$C$6:$C$70,MATCH(LEFT(AH179,10),'Prior Multipliers'!$A$6:$A$70,0)),IFERROR(INDEX('Prior Multipliers'!$C$6:$C$70,MATCH(LEFT(AH179,6),'Prior Multipliers'!$A$6:$A$70,0)),IFERROR(INDEX('Prior Multipliers'!$C$6:$C$70,MATCH(LEFT(AH179,2),'Prior Multipliers'!$A$6:$A$70,0)),1))))</f>
        <v/>
      </c>
      <c r="CG179" s="49" t="str">
        <f>IF(CB179="","",IF(AND('Seasonal Tercile Tally'!$B$5=1,BT179="Rating-based"),CB179*CF179,CB179))</f>
        <v/>
      </c>
      <c r="CH179" s="47">
        <f t="shared" si="72"/>
        <v>0</v>
      </c>
      <c r="CI179" s="45"/>
      <c r="CJ179" s="42" t="str">
        <f t="shared" si="73"/>
        <v/>
      </c>
      <c r="CM179" s="42" t="str">
        <f t="shared" si="74"/>
        <v/>
      </c>
      <c r="CP179" s="46" t="str">
        <f t="shared" si="75"/>
        <v/>
      </c>
      <c r="CS179" s="46" t="str">
        <f t="shared" si="76"/>
        <v/>
      </c>
      <c r="CT179" s="42" t="str">
        <f t="shared" si="77"/>
        <v/>
      </c>
      <c r="CU179" s="42" t="str">
        <f t="shared" si="78"/>
        <v/>
      </c>
      <c r="CV179" s="42" t="str">
        <f t="shared" si="79"/>
        <v/>
      </c>
      <c r="DB179" s="45"/>
      <c r="DH179" s="42" t="str">
        <f t="shared" si="80"/>
        <v/>
      </c>
      <c r="DI179" s="43" t="str">
        <f t="shared" si="81"/>
        <v/>
      </c>
      <c r="DK179" s="46" t="str">
        <f t="shared" si="82"/>
        <v/>
      </c>
      <c r="DQ179" s="42" t="str">
        <f>IF(AH179="","",IFERROR(ROUND(100*('Weighting Options'!$D$7*IF(ISNUMBER(CA179),CA179/3,0)+'Weighting Options'!$D$8*MIN(N(BL179),3)/3+'Weighting Options'!$D$9*IF(AP179="Community/Plenary-endorsed",1,IF(AP179="FGD-validated only",0.75,IF(AP179="Sub-community-specific",0.5,IF(AP179="Provisional/emerging",0.25,0))))+'Weighting Options'!$D$10*IF(ISNUMBER(K179),K179/3,0)+'Weighting Options'!$D$11*IF(CC179="",0.5,IF(CC179="OK",1,0.25))+'Weighting Options'!$D$12*IF(DK179="",0.5,IF(DK179="Agrees",1,IF(DK179="Opposite",0,0.5)))+'Weighting Options'!$D$13*MIN(N(BG179),3)/3+'Weighting Options'!$D$14*IF(AE179=1,1,0))/SUM('Weighting Options'!$D$7:$D$14),0),""))</f>
        <v/>
      </c>
      <c r="DR179" s="44" t="str">
        <f>IF(AH179="","",IFERROR(INDEX('Weighting Options'!$D$20:$D$27,VALUE(LEFT(TRIM(BU179),1))),1))</f>
        <v/>
      </c>
      <c r="DS179" s="44" t="str">
        <f t="shared" si="83"/>
        <v/>
      </c>
      <c r="DT179" s="42" t="str">
        <f>IF(AH179="","",IF(COUNTIFS($AH$12:AH179,AH179,$AI$12:AI179,AI179,$AM$12:AM179,AM179)=1,1,0))</f>
        <v/>
      </c>
    </row>
    <row r="180" spans="16:124" ht="12.75" customHeight="1" x14ac:dyDescent="0.35">
      <c r="P180" s="41"/>
      <c r="Q180" s="41"/>
      <c r="R180" s="41"/>
      <c r="S180" s="41"/>
      <c r="AH180" s="40"/>
      <c r="AP180" s="40"/>
      <c r="AS180" s="41"/>
      <c r="AT180" s="41"/>
      <c r="AW180" t="str">
        <f t="shared" si="56"/>
        <v/>
      </c>
      <c r="AX180" t="str">
        <f t="shared" si="57"/>
        <v/>
      </c>
      <c r="AY180" t="str">
        <f t="shared" si="58"/>
        <v/>
      </c>
      <c r="AZ180" s="40"/>
      <c r="BL180" s="47" t="str">
        <f t="shared" si="59"/>
        <v/>
      </c>
      <c r="BM180" s="47" t="str">
        <f t="shared" si="60"/>
        <v/>
      </c>
      <c r="BN180" s="47" t="str">
        <f t="shared" si="61"/>
        <v/>
      </c>
      <c r="BO180" s="47" t="str">
        <f t="shared" si="62"/>
        <v/>
      </c>
      <c r="BP180" s="47" t="str">
        <f t="shared" si="63"/>
        <v/>
      </c>
      <c r="BQ180" s="48" t="str">
        <f t="shared" si="64"/>
        <v/>
      </c>
      <c r="BR180" s="48" t="str">
        <f t="shared" si="65"/>
        <v/>
      </c>
      <c r="BS180" s="48" t="str">
        <f t="shared" si="66"/>
        <v/>
      </c>
      <c r="BT180" s="47" t="str">
        <f t="shared" si="67"/>
        <v/>
      </c>
      <c r="CA180" s="47" t="str">
        <f t="shared" si="68"/>
        <v/>
      </c>
      <c r="CB180" s="47" t="str">
        <f t="shared" si="69"/>
        <v/>
      </c>
      <c r="CC180" s="47" t="str">
        <f t="shared" si="70"/>
        <v/>
      </c>
      <c r="CD180" s="47" t="str">
        <f t="shared" si="71"/>
        <v/>
      </c>
      <c r="CE180" s="47" t="str">
        <f>IF(AH180="","",IF(OR(AI180&lt;&gt;'Seasonal Tercile Tally'!$B$3,AM180&lt;&gt;'Seasonal Tercile Tally'!$B$4),"Other site/ season",IF(DT180=0,"Excluded: duplicate (later row)",IF(N180&lt;&gt;1,"Excluded: not sighted",IF(AC180&lt;&gt;1,"Excluded: not confirmed",IF(AD180&lt;&gt;1,"Excluded: not approved",IF(AP180="Contested","Excluded: contested",IF(OR(U180="",U180=0),"Excluded: no tercile",IF(CB180="","Counted (simple tally only — no weight)","Counted")))))))))</f>
        <v/>
      </c>
      <c r="CF180" s="49" t="str">
        <f>IF(AH180="","",IFERROR(INDEX('Prior Multipliers'!$C$6:$C$70,MATCH(LEFT(AH180,10),'Prior Multipliers'!$A$6:$A$70,0)),IFERROR(INDEX('Prior Multipliers'!$C$6:$C$70,MATCH(LEFT(AH180,6),'Prior Multipliers'!$A$6:$A$70,0)),IFERROR(INDEX('Prior Multipliers'!$C$6:$C$70,MATCH(LEFT(AH180,2),'Prior Multipliers'!$A$6:$A$70,0)),1))))</f>
        <v/>
      </c>
      <c r="CG180" s="49" t="str">
        <f>IF(CB180="","",IF(AND('Seasonal Tercile Tally'!$B$5=1,BT180="Rating-based"),CB180*CF180,CB180))</f>
        <v/>
      </c>
      <c r="CH180" s="47">
        <f t="shared" si="72"/>
        <v>0</v>
      </c>
      <c r="CI180" s="45"/>
      <c r="CJ180" s="42" t="str">
        <f t="shared" si="73"/>
        <v/>
      </c>
      <c r="CM180" s="42" t="str">
        <f t="shared" si="74"/>
        <v/>
      </c>
      <c r="CP180" s="46" t="str">
        <f t="shared" si="75"/>
        <v/>
      </c>
      <c r="CS180" s="46" t="str">
        <f t="shared" si="76"/>
        <v/>
      </c>
      <c r="CT180" s="42" t="str">
        <f t="shared" si="77"/>
        <v/>
      </c>
      <c r="CU180" s="42" t="str">
        <f t="shared" si="78"/>
        <v/>
      </c>
      <c r="CV180" s="42" t="str">
        <f t="shared" si="79"/>
        <v/>
      </c>
      <c r="DB180" s="45"/>
      <c r="DH180" s="42" t="str">
        <f t="shared" si="80"/>
        <v/>
      </c>
      <c r="DI180" s="43" t="str">
        <f t="shared" si="81"/>
        <v/>
      </c>
      <c r="DK180" s="46" t="str">
        <f t="shared" si="82"/>
        <v/>
      </c>
      <c r="DQ180" s="42" t="str">
        <f>IF(AH180="","",IFERROR(ROUND(100*('Weighting Options'!$D$7*IF(ISNUMBER(CA180),CA180/3,0)+'Weighting Options'!$D$8*MIN(N(BL180),3)/3+'Weighting Options'!$D$9*IF(AP180="Community/Plenary-endorsed",1,IF(AP180="FGD-validated only",0.75,IF(AP180="Sub-community-specific",0.5,IF(AP180="Provisional/emerging",0.25,0))))+'Weighting Options'!$D$10*IF(ISNUMBER(K180),K180/3,0)+'Weighting Options'!$D$11*IF(CC180="",0.5,IF(CC180="OK",1,0.25))+'Weighting Options'!$D$12*IF(DK180="",0.5,IF(DK180="Agrees",1,IF(DK180="Opposite",0,0.5)))+'Weighting Options'!$D$13*MIN(N(BG180),3)/3+'Weighting Options'!$D$14*IF(AE180=1,1,0))/SUM('Weighting Options'!$D$7:$D$14),0),""))</f>
        <v/>
      </c>
      <c r="DR180" s="44" t="str">
        <f>IF(AH180="","",IFERROR(INDEX('Weighting Options'!$D$20:$D$27,VALUE(LEFT(TRIM(BU180),1))),1))</f>
        <v/>
      </c>
      <c r="DS180" s="44" t="str">
        <f t="shared" si="83"/>
        <v/>
      </c>
      <c r="DT180" s="42" t="str">
        <f>IF(AH180="","",IF(COUNTIFS($AH$12:AH180,AH180,$AI$12:AI180,AI180,$AM$12:AM180,AM180)=1,1,0))</f>
        <v/>
      </c>
    </row>
    <row r="181" spans="16:124" ht="12.75" customHeight="1" x14ac:dyDescent="0.35">
      <c r="P181" s="41"/>
      <c r="Q181" s="41"/>
      <c r="R181" s="41"/>
      <c r="S181" s="41"/>
      <c r="AH181" s="40"/>
      <c r="AP181" s="40"/>
      <c r="AS181" s="41"/>
      <c r="AT181" s="41"/>
      <c r="AW181" t="str">
        <f t="shared" si="56"/>
        <v/>
      </c>
      <c r="AX181" t="str">
        <f t="shared" si="57"/>
        <v/>
      </c>
      <c r="AY181" t="str">
        <f t="shared" si="58"/>
        <v/>
      </c>
      <c r="AZ181" s="40"/>
      <c r="BL181" s="47" t="str">
        <f t="shared" si="59"/>
        <v/>
      </c>
      <c r="BM181" s="47" t="str">
        <f t="shared" si="60"/>
        <v/>
      </c>
      <c r="BN181" s="47" t="str">
        <f t="shared" si="61"/>
        <v/>
      </c>
      <c r="BO181" s="47" t="str">
        <f t="shared" si="62"/>
        <v/>
      </c>
      <c r="BP181" s="47" t="str">
        <f t="shared" si="63"/>
        <v/>
      </c>
      <c r="BQ181" s="48" t="str">
        <f t="shared" si="64"/>
        <v/>
      </c>
      <c r="BR181" s="48" t="str">
        <f t="shared" si="65"/>
        <v/>
      </c>
      <c r="BS181" s="48" t="str">
        <f t="shared" si="66"/>
        <v/>
      </c>
      <c r="BT181" s="47" t="str">
        <f t="shared" si="67"/>
        <v/>
      </c>
      <c r="CA181" s="47" t="str">
        <f t="shared" si="68"/>
        <v/>
      </c>
      <c r="CB181" s="47" t="str">
        <f t="shared" si="69"/>
        <v/>
      </c>
      <c r="CC181" s="47" t="str">
        <f t="shared" si="70"/>
        <v/>
      </c>
      <c r="CD181" s="47" t="str">
        <f t="shared" si="71"/>
        <v/>
      </c>
      <c r="CE181" s="47" t="str">
        <f>IF(AH181="","",IF(OR(AI181&lt;&gt;'Seasonal Tercile Tally'!$B$3,AM181&lt;&gt;'Seasonal Tercile Tally'!$B$4),"Other site/ season",IF(DT181=0,"Excluded: duplicate (later row)",IF(N181&lt;&gt;1,"Excluded: not sighted",IF(AC181&lt;&gt;1,"Excluded: not confirmed",IF(AD181&lt;&gt;1,"Excluded: not approved",IF(AP181="Contested","Excluded: contested",IF(OR(U181="",U181=0),"Excluded: no tercile",IF(CB181="","Counted (simple tally only — no weight)","Counted")))))))))</f>
        <v/>
      </c>
      <c r="CF181" s="49" t="str">
        <f>IF(AH181="","",IFERROR(INDEX('Prior Multipliers'!$C$6:$C$70,MATCH(LEFT(AH181,10),'Prior Multipliers'!$A$6:$A$70,0)),IFERROR(INDEX('Prior Multipliers'!$C$6:$C$70,MATCH(LEFT(AH181,6),'Prior Multipliers'!$A$6:$A$70,0)),IFERROR(INDEX('Prior Multipliers'!$C$6:$C$70,MATCH(LEFT(AH181,2),'Prior Multipliers'!$A$6:$A$70,0)),1))))</f>
        <v/>
      </c>
      <c r="CG181" s="49" t="str">
        <f>IF(CB181="","",IF(AND('Seasonal Tercile Tally'!$B$5=1,BT181="Rating-based"),CB181*CF181,CB181))</f>
        <v/>
      </c>
      <c r="CH181" s="47">
        <f t="shared" si="72"/>
        <v>0</v>
      </c>
      <c r="CI181" s="45"/>
      <c r="CJ181" s="42" t="str">
        <f t="shared" si="73"/>
        <v/>
      </c>
      <c r="CM181" s="42" t="str">
        <f t="shared" si="74"/>
        <v/>
      </c>
      <c r="CP181" s="46" t="str">
        <f t="shared" si="75"/>
        <v/>
      </c>
      <c r="CS181" s="46" t="str">
        <f t="shared" si="76"/>
        <v/>
      </c>
      <c r="CT181" s="42" t="str">
        <f t="shared" si="77"/>
        <v/>
      </c>
      <c r="CU181" s="42" t="str">
        <f t="shared" si="78"/>
        <v/>
      </c>
      <c r="CV181" s="42" t="str">
        <f t="shared" si="79"/>
        <v/>
      </c>
      <c r="DB181" s="45"/>
      <c r="DH181" s="42" t="str">
        <f t="shared" si="80"/>
        <v/>
      </c>
      <c r="DI181" s="43" t="str">
        <f t="shared" si="81"/>
        <v/>
      </c>
      <c r="DK181" s="46" t="str">
        <f t="shared" si="82"/>
        <v/>
      </c>
      <c r="DQ181" s="42" t="str">
        <f>IF(AH181="","",IFERROR(ROUND(100*('Weighting Options'!$D$7*IF(ISNUMBER(CA181),CA181/3,0)+'Weighting Options'!$D$8*MIN(N(BL181),3)/3+'Weighting Options'!$D$9*IF(AP181="Community/Plenary-endorsed",1,IF(AP181="FGD-validated only",0.75,IF(AP181="Sub-community-specific",0.5,IF(AP181="Provisional/emerging",0.25,0))))+'Weighting Options'!$D$10*IF(ISNUMBER(K181),K181/3,0)+'Weighting Options'!$D$11*IF(CC181="",0.5,IF(CC181="OK",1,0.25))+'Weighting Options'!$D$12*IF(DK181="",0.5,IF(DK181="Agrees",1,IF(DK181="Opposite",0,0.5)))+'Weighting Options'!$D$13*MIN(N(BG181),3)/3+'Weighting Options'!$D$14*IF(AE181=1,1,0))/SUM('Weighting Options'!$D$7:$D$14),0),""))</f>
        <v/>
      </c>
      <c r="DR181" s="44" t="str">
        <f>IF(AH181="","",IFERROR(INDEX('Weighting Options'!$D$20:$D$27,VALUE(LEFT(TRIM(BU181),1))),1))</f>
        <v/>
      </c>
      <c r="DS181" s="44" t="str">
        <f t="shared" si="83"/>
        <v/>
      </c>
      <c r="DT181" s="42" t="str">
        <f>IF(AH181="","",IF(COUNTIFS($AH$12:AH181,AH181,$AI$12:AI181,AI181,$AM$12:AM181,AM181)=1,1,0))</f>
        <v/>
      </c>
    </row>
    <row r="182" spans="16:124" ht="12.75" customHeight="1" x14ac:dyDescent="0.35">
      <c r="P182" s="41"/>
      <c r="Q182" s="41"/>
      <c r="R182" s="41"/>
      <c r="S182" s="41"/>
      <c r="AH182" s="40"/>
      <c r="AP182" s="40"/>
      <c r="AS182" s="41"/>
      <c r="AT182" s="41"/>
      <c r="AW182" t="str">
        <f t="shared" si="56"/>
        <v/>
      </c>
      <c r="AX182" t="str">
        <f t="shared" si="57"/>
        <v/>
      </c>
      <c r="AY182" t="str">
        <f t="shared" si="58"/>
        <v/>
      </c>
      <c r="AZ182" s="40"/>
      <c r="BL182" s="47" t="str">
        <f t="shared" si="59"/>
        <v/>
      </c>
      <c r="BM182" s="47" t="str">
        <f t="shared" si="60"/>
        <v/>
      </c>
      <c r="BN182" s="47" t="str">
        <f t="shared" si="61"/>
        <v/>
      </c>
      <c r="BO182" s="47" t="str">
        <f t="shared" si="62"/>
        <v/>
      </c>
      <c r="BP182" s="47" t="str">
        <f t="shared" si="63"/>
        <v/>
      </c>
      <c r="BQ182" s="48" t="str">
        <f t="shared" si="64"/>
        <v/>
      </c>
      <c r="BR182" s="48" t="str">
        <f t="shared" si="65"/>
        <v/>
      </c>
      <c r="BS182" s="48" t="str">
        <f t="shared" si="66"/>
        <v/>
      </c>
      <c r="BT182" s="47" t="str">
        <f t="shared" si="67"/>
        <v/>
      </c>
      <c r="CA182" s="47" t="str">
        <f t="shared" si="68"/>
        <v/>
      </c>
      <c r="CB182" s="47" t="str">
        <f t="shared" si="69"/>
        <v/>
      </c>
      <c r="CC182" s="47" t="str">
        <f t="shared" si="70"/>
        <v/>
      </c>
      <c r="CD182" s="47" t="str">
        <f t="shared" si="71"/>
        <v/>
      </c>
      <c r="CE182" s="47" t="str">
        <f>IF(AH182="","",IF(OR(AI182&lt;&gt;'Seasonal Tercile Tally'!$B$3,AM182&lt;&gt;'Seasonal Tercile Tally'!$B$4),"Other site/ season",IF(DT182=0,"Excluded: duplicate (later row)",IF(N182&lt;&gt;1,"Excluded: not sighted",IF(AC182&lt;&gt;1,"Excluded: not confirmed",IF(AD182&lt;&gt;1,"Excluded: not approved",IF(AP182="Contested","Excluded: contested",IF(OR(U182="",U182=0),"Excluded: no tercile",IF(CB182="","Counted (simple tally only — no weight)","Counted")))))))))</f>
        <v/>
      </c>
      <c r="CF182" s="49" t="str">
        <f>IF(AH182="","",IFERROR(INDEX('Prior Multipliers'!$C$6:$C$70,MATCH(LEFT(AH182,10),'Prior Multipliers'!$A$6:$A$70,0)),IFERROR(INDEX('Prior Multipliers'!$C$6:$C$70,MATCH(LEFT(AH182,6),'Prior Multipliers'!$A$6:$A$70,0)),IFERROR(INDEX('Prior Multipliers'!$C$6:$C$70,MATCH(LEFT(AH182,2),'Prior Multipliers'!$A$6:$A$70,0)),1))))</f>
        <v/>
      </c>
      <c r="CG182" s="49" t="str">
        <f>IF(CB182="","",IF(AND('Seasonal Tercile Tally'!$B$5=1,BT182="Rating-based"),CB182*CF182,CB182))</f>
        <v/>
      </c>
      <c r="CH182" s="47">
        <f t="shared" si="72"/>
        <v>0</v>
      </c>
      <c r="CI182" s="45"/>
      <c r="CJ182" s="42" t="str">
        <f t="shared" si="73"/>
        <v/>
      </c>
      <c r="CM182" s="42" t="str">
        <f t="shared" si="74"/>
        <v/>
      </c>
      <c r="CP182" s="46" t="str">
        <f t="shared" si="75"/>
        <v/>
      </c>
      <c r="CS182" s="46" t="str">
        <f t="shared" si="76"/>
        <v/>
      </c>
      <c r="CT182" s="42" t="str">
        <f t="shared" si="77"/>
        <v/>
      </c>
      <c r="CU182" s="42" t="str">
        <f t="shared" si="78"/>
        <v/>
      </c>
      <c r="CV182" s="42" t="str">
        <f t="shared" si="79"/>
        <v/>
      </c>
      <c r="DB182" s="45"/>
      <c r="DH182" s="42" t="str">
        <f t="shared" si="80"/>
        <v/>
      </c>
      <c r="DI182" s="43" t="str">
        <f t="shared" si="81"/>
        <v/>
      </c>
      <c r="DK182" s="46" t="str">
        <f t="shared" si="82"/>
        <v/>
      </c>
      <c r="DQ182" s="42" t="str">
        <f>IF(AH182="","",IFERROR(ROUND(100*('Weighting Options'!$D$7*IF(ISNUMBER(CA182),CA182/3,0)+'Weighting Options'!$D$8*MIN(N(BL182),3)/3+'Weighting Options'!$D$9*IF(AP182="Community/Plenary-endorsed",1,IF(AP182="FGD-validated only",0.75,IF(AP182="Sub-community-specific",0.5,IF(AP182="Provisional/emerging",0.25,0))))+'Weighting Options'!$D$10*IF(ISNUMBER(K182),K182/3,0)+'Weighting Options'!$D$11*IF(CC182="",0.5,IF(CC182="OK",1,0.25))+'Weighting Options'!$D$12*IF(DK182="",0.5,IF(DK182="Agrees",1,IF(DK182="Opposite",0,0.5)))+'Weighting Options'!$D$13*MIN(N(BG182),3)/3+'Weighting Options'!$D$14*IF(AE182=1,1,0))/SUM('Weighting Options'!$D$7:$D$14),0),""))</f>
        <v/>
      </c>
      <c r="DR182" s="44" t="str">
        <f>IF(AH182="","",IFERROR(INDEX('Weighting Options'!$D$20:$D$27,VALUE(LEFT(TRIM(BU182),1))),1))</f>
        <v/>
      </c>
      <c r="DS182" s="44" t="str">
        <f t="shared" si="83"/>
        <v/>
      </c>
      <c r="DT182" s="42" t="str">
        <f>IF(AH182="","",IF(COUNTIFS($AH$12:AH182,AH182,$AI$12:AI182,AI182,$AM$12:AM182,AM182)=1,1,0))</f>
        <v/>
      </c>
    </row>
    <row r="183" spans="16:124" ht="12.75" customHeight="1" x14ac:dyDescent="0.35">
      <c r="P183" s="41"/>
      <c r="Q183" s="41"/>
      <c r="R183" s="41"/>
      <c r="S183" s="41"/>
      <c r="AH183" s="40"/>
      <c r="AP183" s="40"/>
      <c r="AS183" s="41"/>
      <c r="AT183" s="41"/>
      <c r="AW183" t="str">
        <f t="shared" si="56"/>
        <v/>
      </c>
      <c r="AX183" t="str">
        <f t="shared" si="57"/>
        <v/>
      </c>
      <c r="AY183" t="str">
        <f t="shared" si="58"/>
        <v/>
      </c>
      <c r="AZ183" s="40"/>
      <c r="BL183" s="47" t="str">
        <f t="shared" si="59"/>
        <v/>
      </c>
      <c r="BM183" s="47" t="str">
        <f t="shared" si="60"/>
        <v/>
      </c>
      <c r="BN183" s="47" t="str">
        <f t="shared" si="61"/>
        <v/>
      </c>
      <c r="BO183" s="47" t="str">
        <f t="shared" si="62"/>
        <v/>
      </c>
      <c r="BP183" s="47" t="str">
        <f t="shared" si="63"/>
        <v/>
      </c>
      <c r="BQ183" s="48" t="str">
        <f t="shared" si="64"/>
        <v/>
      </c>
      <c r="BR183" s="48" t="str">
        <f t="shared" si="65"/>
        <v/>
      </c>
      <c r="BS183" s="48" t="str">
        <f t="shared" si="66"/>
        <v/>
      </c>
      <c r="BT183" s="47" t="str">
        <f t="shared" si="67"/>
        <v/>
      </c>
      <c r="CA183" s="47" t="str">
        <f t="shared" si="68"/>
        <v/>
      </c>
      <c r="CB183" s="47" t="str">
        <f t="shared" si="69"/>
        <v/>
      </c>
      <c r="CC183" s="47" t="str">
        <f t="shared" si="70"/>
        <v/>
      </c>
      <c r="CD183" s="47" t="str">
        <f t="shared" si="71"/>
        <v/>
      </c>
      <c r="CE183" s="47" t="str">
        <f>IF(AH183="","",IF(OR(AI183&lt;&gt;'Seasonal Tercile Tally'!$B$3,AM183&lt;&gt;'Seasonal Tercile Tally'!$B$4),"Other site/ season",IF(DT183=0,"Excluded: duplicate (later row)",IF(N183&lt;&gt;1,"Excluded: not sighted",IF(AC183&lt;&gt;1,"Excluded: not confirmed",IF(AD183&lt;&gt;1,"Excluded: not approved",IF(AP183="Contested","Excluded: contested",IF(OR(U183="",U183=0),"Excluded: no tercile",IF(CB183="","Counted (simple tally only — no weight)","Counted")))))))))</f>
        <v/>
      </c>
      <c r="CF183" s="49" t="str">
        <f>IF(AH183="","",IFERROR(INDEX('Prior Multipliers'!$C$6:$C$70,MATCH(LEFT(AH183,10),'Prior Multipliers'!$A$6:$A$70,0)),IFERROR(INDEX('Prior Multipliers'!$C$6:$C$70,MATCH(LEFT(AH183,6),'Prior Multipliers'!$A$6:$A$70,0)),IFERROR(INDEX('Prior Multipliers'!$C$6:$C$70,MATCH(LEFT(AH183,2),'Prior Multipliers'!$A$6:$A$70,0)),1))))</f>
        <v/>
      </c>
      <c r="CG183" s="49" t="str">
        <f>IF(CB183="","",IF(AND('Seasonal Tercile Tally'!$B$5=1,BT183="Rating-based"),CB183*CF183,CB183))</f>
        <v/>
      </c>
      <c r="CH183" s="47">
        <f t="shared" si="72"/>
        <v>0</v>
      </c>
      <c r="CI183" s="45"/>
      <c r="CJ183" s="42" t="str">
        <f t="shared" si="73"/>
        <v/>
      </c>
      <c r="CM183" s="42" t="str">
        <f t="shared" si="74"/>
        <v/>
      </c>
      <c r="CP183" s="46" t="str">
        <f t="shared" si="75"/>
        <v/>
      </c>
      <c r="CS183" s="46" t="str">
        <f t="shared" si="76"/>
        <v/>
      </c>
      <c r="CT183" s="42" t="str">
        <f t="shared" si="77"/>
        <v/>
      </c>
      <c r="CU183" s="42" t="str">
        <f t="shared" si="78"/>
        <v/>
      </c>
      <c r="CV183" s="42" t="str">
        <f t="shared" si="79"/>
        <v/>
      </c>
      <c r="DB183" s="45"/>
      <c r="DH183" s="42" t="str">
        <f t="shared" si="80"/>
        <v/>
      </c>
      <c r="DI183" s="43" t="str">
        <f t="shared" si="81"/>
        <v/>
      </c>
      <c r="DK183" s="46" t="str">
        <f t="shared" si="82"/>
        <v/>
      </c>
      <c r="DQ183" s="42" t="str">
        <f>IF(AH183="","",IFERROR(ROUND(100*('Weighting Options'!$D$7*IF(ISNUMBER(CA183),CA183/3,0)+'Weighting Options'!$D$8*MIN(N(BL183),3)/3+'Weighting Options'!$D$9*IF(AP183="Community/Plenary-endorsed",1,IF(AP183="FGD-validated only",0.75,IF(AP183="Sub-community-specific",0.5,IF(AP183="Provisional/emerging",0.25,0))))+'Weighting Options'!$D$10*IF(ISNUMBER(K183),K183/3,0)+'Weighting Options'!$D$11*IF(CC183="",0.5,IF(CC183="OK",1,0.25))+'Weighting Options'!$D$12*IF(DK183="",0.5,IF(DK183="Agrees",1,IF(DK183="Opposite",0,0.5)))+'Weighting Options'!$D$13*MIN(N(BG183),3)/3+'Weighting Options'!$D$14*IF(AE183=1,1,0))/SUM('Weighting Options'!$D$7:$D$14),0),""))</f>
        <v/>
      </c>
      <c r="DR183" s="44" t="str">
        <f>IF(AH183="","",IFERROR(INDEX('Weighting Options'!$D$20:$D$27,VALUE(LEFT(TRIM(BU183),1))),1))</f>
        <v/>
      </c>
      <c r="DS183" s="44" t="str">
        <f t="shared" si="83"/>
        <v/>
      </c>
      <c r="DT183" s="42" t="str">
        <f>IF(AH183="","",IF(COUNTIFS($AH$12:AH183,AH183,$AI$12:AI183,AI183,$AM$12:AM183,AM183)=1,1,0))</f>
        <v/>
      </c>
    </row>
    <row r="184" spans="16:124" ht="12.75" customHeight="1" x14ac:dyDescent="0.35">
      <c r="P184" s="41"/>
      <c r="Q184" s="41"/>
      <c r="R184" s="41"/>
      <c r="S184" s="41"/>
      <c r="AH184" s="40"/>
      <c r="AP184" s="40"/>
      <c r="AS184" s="41"/>
      <c r="AT184" s="41"/>
      <c r="AW184" t="str">
        <f t="shared" si="56"/>
        <v/>
      </c>
      <c r="AX184" t="str">
        <f t="shared" si="57"/>
        <v/>
      </c>
      <c r="AY184" t="str">
        <f t="shared" si="58"/>
        <v/>
      </c>
      <c r="AZ184" s="40"/>
      <c r="BL184" s="47" t="str">
        <f t="shared" si="59"/>
        <v/>
      </c>
      <c r="BM184" s="47" t="str">
        <f t="shared" si="60"/>
        <v/>
      </c>
      <c r="BN184" s="47" t="str">
        <f t="shared" si="61"/>
        <v/>
      </c>
      <c r="BO184" s="47" t="str">
        <f t="shared" si="62"/>
        <v/>
      </c>
      <c r="BP184" s="47" t="str">
        <f t="shared" si="63"/>
        <v/>
      </c>
      <c r="BQ184" s="48" t="str">
        <f t="shared" si="64"/>
        <v/>
      </c>
      <c r="BR184" s="48" t="str">
        <f t="shared" si="65"/>
        <v/>
      </c>
      <c r="BS184" s="48" t="str">
        <f t="shared" si="66"/>
        <v/>
      </c>
      <c r="BT184" s="47" t="str">
        <f t="shared" si="67"/>
        <v/>
      </c>
      <c r="CA184" s="47" t="str">
        <f t="shared" si="68"/>
        <v/>
      </c>
      <c r="CB184" s="47" t="str">
        <f t="shared" si="69"/>
        <v/>
      </c>
      <c r="CC184" s="47" t="str">
        <f t="shared" si="70"/>
        <v/>
      </c>
      <c r="CD184" s="47" t="str">
        <f t="shared" si="71"/>
        <v/>
      </c>
      <c r="CE184" s="47" t="str">
        <f>IF(AH184="","",IF(OR(AI184&lt;&gt;'Seasonal Tercile Tally'!$B$3,AM184&lt;&gt;'Seasonal Tercile Tally'!$B$4),"Other site/ season",IF(DT184=0,"Excluded: duplicate (later row)",IF(N184&lt;&gt;1,"Excluded: not sighted",IF(AC184&lt;&gt;1,"Excluded: not confirmed",IF(AD184&lt;&gt;1,"Excluded: not approved",IF(AP184="Contested","Excluded: contested",IF(OR(U184="",U184=0),"Excluded: no tercile",IF(CB184="","Counted (simple tally only — no weight)","Counted")))))))))</f>
        <v/>
      </c>
      <c r="CF184" s="49" t="str">
        <f>IF(AH184="","",IFERROR(INDEX('Prior Multipliers'!$C$6:$C$70,MATCH(LEFT(AH184,10),'Prior Multipliers'!$A$6:$A$70,0)),IFERROR(INDEX('Prior Multipliers'!$C$6:$C$70,MATCH(LEFT(AH184,6),'Prior Multipliers'!$A$6:$A$70,0)),IFERROR(INDEX('Prior Multipliers'!$C$6:$C$70,MATCH(LEFT(AH184,2),'Prior Multipliers'!$A$6:$A$70,0)),1))))</f>
        <v/>
      </c>
      <c r="CG184" s="49" t="str">
        <f>IF(CB184="","",IF(AND('Seasonal Tercile Tally'!$B$5=1,BT184="Rating-based"),CB184*CF184,CB184))</f>
        <v/>
      </c>
      <c r="CH184" s="47">
        <f t="shared" si="72"/>
        <v>0</v>
      </c>
      <c r="CI184" s="45"/>
      <c r="CJ184" s="42" t="str">
        <f t="shared" si="73"/>
        <v/>
      </c>
      <c r="CM184" s="42" t="str">
        <f t="shared" si="74"/>
        <v/>
      </c>
      <c r="CP184" s="46" t="str">
        <f t="shared" si="75"/>
        <v/>
      </c>
      <c r="CS184" s="46" t="str">
        <f t="shared" si="76"/>
        <v/>
      </c>
      <c r="CT184" s="42" t="str">
        <f t="shared" si="77"/>
        <v/>
      </c>
      <c r="CU184" s="42" t="str">
        <f t="shared" si="78"/>
        <v/>
      </c>
      <c r="CV184" s="42" t="str">
        <f t="shared" si="79"/>
        <v/>
      </c>
      <c r="DB184" s="45"/>
      <c r="DH184" s="42" t="str">
        <f t="shared" si="80"/>
        <v/>
      </c>
      <c r="DI184" s="43" t="str">
        <f t="shared" si="81"/>
        <v/>
      </c>
      <c r="DK184" s="46" t="str">
        <f t="shared" si="82"/>
        <v/>
      </c>
      <c r="DQ184" s="42" t="str">
        <f>IF(AH184="","",IFERROR(ROUND(100*('Weighting Options'!$D$7*IF(ISNUMBER(CA184),CA184/3,0)+'Weighting Options'!$D$8*MIN(N(BL184),3)/3+'Weighting Options'!$D$9*IF(AP184="Community/Plenary-endorsed",1,IF(AP184="FGD-validated only",0.75,IF(AP184="Sub-community-specific",0.5,IF(AP184="Provisional/emerging",0.25,0))))+'Weighting Options'!$D$10*IF(ISNUMBER(K184),K184/3,0)+'Weighting Options'!$D$11*IF(CC184="",0.5,IF(CC184="OK",1,0.25))+'Weighting Options'!$D$12*IF(DK184="",0.5,IF(DK184="Agrees",1,IF(DK184="Opposite",0,0.5)))+'Weighting Options'!$D$13*MIN(N(BG184),3)/3+'Weighting Options'!$D$14*IF(AE184=1,1,0))/SUM('Weighting Options'!$D$7:$D$14),0),""))</f>
        <v/>
      </c>
      <c r="DR184" s="44" t="str">
        <f>IF(AH184="","",IFERROR(INDEX('Weighting Options'!$D$20:$D$27,VALUE(LEFT(TRIM(BU184),1))),1))</f>
        <v/>
      </c>
      <c r="DS184" s="44" t="str">
        <f t="shared" si="83"/>
        <v/>
      </c>
      <c r="DT184" s="42" t="str">
        <f>IF(AH184="","",IF(COUNTIFS($AH$12:AH184,AH184,$AI$12:AI184,AI184,$AM$12:AM184,AM184)=1,1,0))</f>
        <v/>
      </c>
    </row>
    <row r="185" spans="16:124" ht="12.75" customHeight="1" x14ac:dyDescent="0.35">
      <c r="P185" s="41"/>
      <c r="Q185" s="41"/>
      <c r="R185" s="41"/>
      <c r="S185" s="41"/>
      <c r="AH185" s="40"/>
      <c r="AP185" s="40"/>
      <c r="AS185" s="41"/>
      <c r="AT185" s="41"/>
      <c r="AW185" t="str">
        <f t="shared" si="56"/>
        <v/>
      </c>
      <c r="AX185" t="str">
        <f t="shared" si="57"/>
        <v/>
      </c>
      <c r="AY185" t="str">
        <f t="shared" si="58"/>
        <v/>
      </c>
      <c r="AZ185" s="40"/>
      <c r="BL185" s="47" t="str">
        <f t="shared" si="59"/>
        <v/>
      </c>
      <c r="BM185" s="47" t="str">
        <f t="shared" si="60"/>
        <v/>
      </c>
      <c r="BN185" s="47" t="str">
        <f t="shared" si="61"/>
        <v/>
      </c>
      <c r="BO185" s="47" t="str">
        <f t="shared" si="62"/>
        <v/>
      </c>
      <c r="BP185" s="47" t="str">
        <f t="shared" si="63"/>
        <v/>
      </c>
      <c r="BQ185" s="48" t="str">
        <f t="shared" si="64"/>
        <v/>
      </c>
      <c r="BR185" s="48" t="str">
        <f t="shared" si="65"/>
        <v/>
      </c>
      <c r="BS185" s="48" t="str">
        <f t="shared" si="66"/>
        <v/>
      </c>
      <c r="BT185" s="47" t="str">
        <f t="shared" si="67"/>
        <v/>
      </c>
      <c r="CA185" s="47" t="str">
        <f t="shared" si="68"/>
        <v/>
      </c>
      <c r="CB185" s="47" t="str">
        <f t="shared" si="69"/>
        <v/>
      </c>
      <c r="CC185" s="47" t="str">
        <f t="shared" si="70"/>
        <v/>
      </c>
      <c r="CD185" s="47" t="str">
        <f t="shared" si="71"/>
        <v/>
      </c>
      <c r="CE185" s="47" t="str">
        <f>IF(AH185="","",IF(OR(AI185&lt;&gt;'Seasonal Tercile Tally'!$B$3,AM185&lt;&gt;'Seasonal Tercile Tally'!$B$4),"Other site/ season",IF(DT185=0,"Excluded: duplicate (later row)",IF(N185&lt;&gt;1,"Excluded: not sighted",IF(AC185&lt;&gt;1,"Excluded: not confirmed",IF(AD185&lt;&gt;1,"Excluded: not approved",IF(AP185="Contested","Excluded: contested",IF(OR(U185="",U185=0),"Excluded: no tercile",IF(CB185="","Counted (simple tally only — no weight)","Counted")))))))))</f>
        <v/>
      </c>
      <c r="CF185" s="49" t="str">
        <f>IF(AH185="","",IFERROR(INDEX('Prior Multipliers'!$C$6:$C$70,MATCH(LEFT(AH185,10),'Prior Multipliers'!$A$6:$A$70,0)),IFERROR(INDEX('Prior Multipliers'!$C$6:$C$70,MATCH(LEFT(AH185,6),'Prior Multipliers'!$A$6:$A$70,0)),IFERROR(INDEX('Prior Multipliers'!$C$6:$C$70,MATCH(LEFT(AH185,2),'Prior Multipliers'!$A$6:$A$70,0)),1))))</f>
        <v/>
      </c>
      <c r="CG185" s="49" t="str">
        <f>IF(CB185="","",IF(AND('Seasonal Tercile Tally'!$B$5=1,BT185="Rating-based"),CB185*CF185,CB185))</f>
        <v/>
      </c>
      <c r="CH185" s="47">
        <f t="shared" si="72"/>
        <v>0</v>
      </c>
      <c r="CI185" s="45"/>
      <c r="CJ185" s="42" t="str">
        <f t="shared" si="73"/>
        <v/>
      </c>
      <c r="CM185" s="42" t="str">
        <f t="shared" si="74"/>
        <v/>
      </c>
      <c r="CP185" s="46" t="str">
        <f t="shared" si="75"/>
        <v/>
      </c>
      <c r="CS185" s="46" t="str">
        <f t="shared" si="76"/>
        <v/>
      </c>
      <c r="CT185" s="42" t="str">
        <f t="shared" si="77"/>
        <v/>
      </c>
      <c r="CU185" s="42" t="str">
        <f t="shared" si="78"/>
        <v/>
      </c>
      <c r="CV185" s="42" t="str">
        <f t="shared" si="79"/>
        <v/>
      </c>
      <c r="DB185" s="45"/>
      <c r="DH185" s="42" t="str">
        <f t="shared" si="80"/>
        <v/>
      </c>
      <c r="DI185" s="43" t="str">
        <f t="shared" si="81"/>
        <v/>
      </c>
      <c r="DK185" s="46" t="str">
        <f t="shared" si="82"/>
        <v/>
      </c>
      <c r="DQ185" s="42" t="str">
        <f>IF(AH185="","",IFERROR(ROUND(100*('Weighting Options'!$D$7*IF(ISNUMBER(CA185),CA185/3,0)+'Weighting Options'!$D$8*MIN(N(BL185),3)/3+'Weighting Options'!$D$9*IF(AP185="Community/Plenary-endorsed",1,IF(AP185="FGD-validated only",0.75,IF(AP185="Sub-community-specific",0.5,IF(AP185="Provisional/emerging",0.25,0))))+'Weighting Options'!$D$10*IF(ISNUMBER(K185),K185/3,0)+'Weighting Options'!$D$11*IF(CC185="",0.5,IF(CC185="OK",1,0.25))+'Weighting Options'!$D$12*IF(DK185="",0.5,IF(DK185="Agrees",1,IF(DK185="Opposite",0,0.5)))+'Weighting Options'!$D$13*MIN(N(BG185),3)/3+'Weighting Options'!$D$14*IF(AE185=1,1,0))/SUM('Weighting Options'!$D$7:$D$14),0),""))</f>
        <v/>
      </c>
      <c r="DR185" s="44" t="str">
        <f>IF(AH185="","",IFERROR(INDEX('Weighting Options'!$D$20:$D$27,VALUE(LEFT(TRIM(BU185),1))),1))</f>
        <v/>
      </c>
      <c r="DS185" s="44" t="str">
        <f t="shared" si="83"/>
        <v/>
      </c>
      <c r="DT185" s="42" t="str">
        <f>IF(AH185="","",IF(COUNTIFS($AH$12:AH185,AH185,$AI$12:AI185,AI185,$AM$12:AM185,AM185)=1,1,0))</f>
        <v/>
      </c>
    </row>
    <row r="186" spans="16:124" ht="12.75" customHeight="1" x14ac:dyDescent="0.35">
      <c r="P186" s="41"/>
      <c r="Q186" s="41"/>
      <c r="R186" s="41"/>
      <c r="S186" s="41"/>
      <c r="AH186" s="40"/>
      <c r="AP186" s="40"/>
      <c r="AS186" s="41"/>
      <c r="AT186" s="41"/>
      <c r="AW186" t="str">
        <f t="shared" si="56"/>
        <v/>
      </c>
      <c r="AX186" t="str">
        <f t="shared" si="57"/>
        <v/>
      </c>
      <c r="AY186" t="str">
        <f t="shared" si="58"/>
        <v/>
      </c>
      <c r="AZ186" s="40"/>
      <c r="BL186" s="47" t="str">
        <f t="shared" si="59"/>
        <v/>
      </c>
      <c r="BM186" s="47" t="str">
        <f t="shared" si="60"/>
        <v/>
      </c>
      <c r="BN186" s="47" t="str">
        <f t="shared" si="61"/>
        <v/>
      </c>
      <c r="BO186" s="47" t="str">
        <f t="shared" si="62"/>
        <v/>
      </c>
      <c r="BP186" s="47" t="str">
        <f t="shared" si="63"/>
        <v/>
      </c>
      <c r="BQ186" s="48" t="str">
        <f t="shared" si="64"/>
        <v/>
      </c>
      <c r="BR186" s="48" t="str">
        <f t="shared" si="65"/>
        <v/>
      </c>
      <c r="BS186" s="48" t="str">
        <f t="shared" si="66"/>
        <v/>
      </c>
      <c r="BT186" s="47" t="str">
        <f t="shared" si="67"/>
        <v/>
      </c>
      <c r="CA186" s="47" t="str">
        <f t="shared" si="68"/>
        <v/>
      </c>
      <c r="CB186" s="47" t="str">
        <f t="shared" si="69"/>
        <v/>
      </c>
      <c r="CC186" s="47" t="str">
        <f t="shared" si="70"/>
        <v/>
      </c>
      <c r="CD186" s="47" t="str">
        <f t="shared" si="71"/>
        <v/>
      </c>
      <c r="CE186" s="47" t="str">
        <f>IF(AH186="","",IF(OR(AI186&lt;&gt;'Seasonal Tercile Tally'!$B$3,AM186&lt;&gt;'Seasonal Tercile Tally'!$B$4),"Other site/ season",IF(DT186=0,"Excluded: duplicate (later row)",IF(N186&lt;&gt;1,"Excluded: not sighted",IF(AC186&lt;&gt;1,"Excluded: not confirmed",IF(AD186&lt;&gt;1,"Excluded: not approved",IF(AP186="Contested","Excluded: contested",IF(OR(U186="",U186=0),"Excluded: no tercile",IF(CB186="","Counted (simple tally only — no weight)","Counted")))))))))</f>
        <v/>
      </c>
      <c r="CF186" s="49" t="str">
        <f>IF(AH186="","",IFERROR(INDEX('Prior Multipliers'!$C$6:$C$70,MATCH(LEFT(AH186,10),'Prior Multipliers'!$A$6:$A$70,0)),IFERROR(INDEX('Prior Multipliers'!$C$6:$C$70,MATCH(LEFT(AH186,6),'Prior Multipliers'!$A$6:$A$70,0)),IFERROR(INDEX('Prior Multipliers'!$C$6:$C$70,MATCH(LEFT(AH186,2),'Prior Multipliers'!$A$6:$A$70,0)),1))))</f>
        <v/>
      </c>
      <c r="CG186" s="49" t="str">
        <f>IF(CB186="","",IF(AND('Seasonal Tercile Tally'!$B$5=1,BT186="Rating-based"),CB186*CF186,CB186))</f>
        <v/>
      </c>
      <c r="CH186" s="47">
        <f t="shared" si="72"/>
        <v>0</v>
      </c>
      <c r="CI186" s="45"/>
      <c r="CJ186" s="42" t="str">
        <f t="shared" si="73"/>
        <v/>
      </c>
      <c r="CM186" s="42" t="str">
        <f t="shared" si="74"/>
        <v/>
      </c>
      <c r="CP186" s="46" t="str">
        <f t="shared" si="75"/>
        <v/>
      </c>
      <c r="CS186" s="46" t="str">
        <f t="shared" si="76"/>
        <v/>
      </c>
      <c r="CT186" s="42" t="str">
        <f t="shared" si="77"/>
        <v/>
      </c>
      <c r="CU186" s="42" t="str">
        <f t="shared" si="78"/>
        <v/>
      </c>
      <c r="CV186" s="42" t="str">
        <f t="shared" si="79"/>
        <v/>
      </c>
      <c r="DB186" s="45"/>
      <c r="DH186" s="42" t="str">
        <f t="shared" si="80"/>
        <v/>
      </c>
      <c r="DI186" s="43" t="str">
        <f t="shared" si="81"/>
        <v/>
      </c>
      <c r="DK186" s="46" t="str">
        <f t="shared" si="82"/>
        <v/>
      </c>
      <c r="DQ186" s="42" t="str">
        <f>IF(AH186="","",IFERROR(ROUND(100*('Weighting Options'!$D$7*IF(ISNUMBER(CA186),CA186/3,0)+'Weighting Options'!$D$8*MIN(N(BL186),3)/3+'Weighting Options'!$D$9*IF(AP186="Community/Plenary-endorsed",1,IF(AP186="FGD-validated only",0.75,IF(AP186="Sub-community-specific",0.5,IF(AP186="Provisional/emerging",0.25,0))))+'Weighting Options'!$D$10*IF(ISNUMBER(K186),K186/3,0)+'Weighting Options'!$D$11*IF(CC186="",0.5,IF(CC186="OK",1,0.25))+'Weighting Options'!$D$12*IF(DK186="",0.5,IF(DK186="Agrees",1,IF(DK186="Opposite",0,0.5)))+'Weighting Options'!$D$13*MIN(N(BG186),3)/3+'Weighting Options'!$D$14*IF(AE186=1,1,0))/SUM('Weighting Options'!$D$7:$D$14),0),""))</f>
        <v/>
      </c>
      <c r="DR186" s="44" t="str">
        <f>IF(AH186="","",IFERROR(INDEX('Weighting Options'!$D$20:$D$27,VALUE(LEFT(TRIM(BU186),1))),1))</f>
        <v/>
      </c>
      <c r="DS186" s="44" t="str">
        <f t="shared" si="83"/>
        <v/>
      </c>
      <c r="DT186" s="42" t="str">
        <f>IF(AH186="","",IF(COUNTIFS($AH$12:AH186,AH186,$AI$12:AI186,AI186,$AM$12:AM186,AM186)=1,1,0))</f>
        <v/>
      </c>
    </row>
    <row r="187" spans="16:124" ht="12.75" customHeight="1" x14ac:dyDescent="0.35">
      <c r="P187" s="41"/>
      <c r="Q187" s="41"/>
      <c r="R187" s="41"/>
      <c r="S187" s="41"/>
      <c r="AH187" s="40"/>
      <c r="AP187" s="40"/>
      <c r="AS187" s="41"/>
      <c r="AT187" s="41"/>
      <c r="AW187" t="str">
        <f t="shared" si="56"/>
        <v/>
      </c>
      <c r="AX187" t="str">
        <f t="shared" si="57"/>
        <v/>
      </c>
      <c r="AY187" t="str">
        <f t="shared" si="58"/>
        <v/>
      </c>
      <c r="AZ187" s="40"/>
      <c r="BL187" s="47" t="str">
        <f t="shared" si="59"/>
        <v/>
      </c>
      <c r="BM187" s="47" t="str">
        <f t="shared" si="60"/>
        <v/>
      </c>
      <c r="BN187" s="47" t="str">
        <f t="shared" si="61"/>
        <v/>
      </c>
      <c r="BO187" s="47" t="str">
        <f t="shared" si="62"/>
        <v/>
      </c>
      <c r="BP187" s="47" t="str">
        <f t="shared" si="63"/>
        <v/>
      </c>
      <c r="BQ187" s="48" t="str">
        <f t="shared" si="64"/>
        <v/>
      </c>
      <c r="BR187" s="48" t="str">
        <f t="shared" si="65"/>
        <v/>
      </c>
      <c r="BS187" s="48" t="str">
        <f t="shared" si="66"/>
        <v/>
      </c>
      <c r="BT187" s="47" t="str">
        <f t="shared" si="67"/>
        <v/>
      </c>
      <c r="CA187" s="47" t="str">
        <f t="shared" si="68"/>
        <v/>
      </c>
      <c r="CB187" s="47" t="str">
        <f t="shared" si="69"/>
        <v/>
      </c>
      <c r="CC187" s="47" t="str">
        <f t="shared" si="70"/>
        <v/>
      </c>
      <c r="CD187" s="47" t="str">
        <f t="shared" si="71"/>
        <v/>
      </c>
      <c r="CE187" s="47" t="str">
        <f>IF(AH187="","",IF(OR(AI187&lt;&gt;'Seasonal Tercile Tally'!$B$3,AM187&lt;&gt;'Seasonal Tercile Tally'!$B$4),"Other site/ season",IF(DT187=0,"Excluded: duplicate (later row)",IF(N187&lt;&gt;1,"Excluded: not sighted",IF(AC187&lt;&gt;1,"Excluded: not confirmed",IF(AD187&lt;&gt;1,"Excluded: not approved",IF(AP187="Contested","Excluded: contested",IF(OR(U187="",U187=0),"Excluded: no tercile",IF(CB187="","Counted (simple tally only — no weight)","Counted")))))))))</f>
        <v/>
      </c>
      <c r="CF187" s="49" t="str">
        <f>IF(AH187="","",IFERROR(INDEX('Prior Multipliers'!$C$6:$C$70,MATCH(LEFT(AH187,10),'Prior Multipliers'!$A$6:$A$70,0)),IFERROR(INDEX('Prior Multipliers'!$C$6:$C$70,MATCH(LEFT(AH187,6),'Prior Multipliers'!$A$6:$A$70,0)),IFERROR(INDEX('Prior Multipliers'!$C$6:$C$70,MATCH(LEFT(AH187,2),'Prior Multipliers'!$A$6:$A$70,0)),1))))</f>
        <v/>
      </c>
      <c r="CG187" s="49" t="str">
        <f>IF(CB187="","",IF(AND('Seasonal Tercile Tally'!$B$5=1,BT187="Rating-based"),CB187*CF187,CB187))</f>
        <v/>
      </c>
      <c r="CH187" s="47">
        <f t="shared" si="72"/>
        <v>0</v>
      </c>
      <c r="CI187" s="45"/>
      <c r="CJ187" s="42" t="str">
        <f t="shared" si="73"/>
        <v/>
      </c>
      <c r="CM187" s="42" t="str">
        <f t="shared" si="74"/>
        <v/>
      </c>
      <c r="CP187" s="46" t="str">
        <f t="shared" si="75"/>
        <v/>
      </c>
      <c r="CS187" s="46" t="str">
        <f t="shared" si="76"/>
        <v/>
      </c>
      <c r="CT187" s="42" t="str">
        <f t="shared" si="77"/>
        <v/>
      </c>
      <c r="CU187" s="42" t="str">
        <f t="shared" si="78"/>
        <v/>
      </c>
      <c r="CV187" s="42" t="str">
        <f t="shared" si="79"/>
        <v/>
      </c>
      <c r="DB187" s="45"/>
      <c r="DH187" s="42" t="str">
        <f t="shared" si="80"/>
        <v/>
      </c>
      <c r="DI187" s="43" t="str">
        <f t="shared" si="81"/>
        <v/>
      </c>
      <c r="DK187" s="46" t="str">
        <f t="shared" si="82"/>
        <v/>
      </c>
      <c r="DQ187" s="42" t="str">
        <f>IF(AH187="","",IFERROR(ROUND(100*('Weighting Options'!$D$7*IF(ISNUMBER(CA187),CA187/3,0)+'Weighting Options'!$D$8*MIN(N(BL187),3)/3+'Weighting Options'!$D$9*IF(AP187="Community/Plenary-endorsed",1,IF(AP187="FGD-validated only",0.75,IF(AP187="Sub-community-specific",0.5,IF(AP187="Provisional/emerging",0.25,0))))+'Weighting Options'!$D$10*IF(ISNUMBER(K187),K187/3,0)+'Weighting Options'!$D$11*IF(CC187="",0.5,IF(CC187="OK",1,0.25))+'Weighting Options'!$D$12*IF(DK187="",0.5,IF(DK187="Agrees",1,IF(DK187="Opposite",0,0.5)))+'Weighting Options'!$D$13*MIN(N(BG187),3)/3+'Weighting Options'!$D$14*IF(AE187=1,1,0))/SUM('Weighting Options'!$D$7:$D$14),0),""))</f>
        <v/>
      </c>
      <c r="DR187" s="44" t="str">
        <f>IF(AH187="","",IFERROR(INDEX('Weighting Options'!$D$20:$D$27,VALUE(LEFT(TRIM(BU187),1))),1))</f>
        <v/>
      </c>
      <c r="DS187" s="44" t="str">
        <f t="shared" si="83"/>
        <v/>
      </c>
      <c r="DT187" s="42" t="str">
        <f>IF(AH187="","",IF(COUNTIFS($AH$12:AH187,AH187,$AI$12:AI187,AI187,$AM$12:AM187,AM187)=1,1,0))</f>
        <v/>
      </c>
    </row>
    <row r="188" spans="16:124" ht="12.75" customHeight="1" x14ac:dyDescent="0.35">
      <c r="P188" s="41"/>
      <c r="Q188" s="41"/>
      <c r="R188" s="41"/>
      <c r="S188" s="41"/>
      <c r="AH188" s="40"/>
      <c r="AP188" s="40"/>
      <c r="AS188" s="41"/>
      <c r="AT188" s="41"/>
      <c r="AW188" t="str">
        <f t="shared" si="56"/>
        <v/>
      </c>
      <c r="AX188" t="str">
        <f t="shared" si="57"/>
        <v/>
      </c>
      <c r="AY188" t="str">
        <f t="shared" si="58"/>
        <v/>
      </c>
      <c r="AZ188" s="40"/>
      <c r="BL188" s="47" t="str">
        <f t="shared" si="59"/>
        <v/>
      </c>
      <c r="BM188" s="47" t="str">
        <f t="shared" si="60"/>
        <v/>
      </c>
      <c r="BN188" s="47" t="str">
        <f t="shared" si="61"/>
        <v/>
      </c>
      <c r="BO188" s="47" t="str">
        <f t="shared" si="62"/>
        <v/>
      </c>
      <c r="BP188" s="47" t="str">
        <f t="shared" si="63"/>
        <v/>
      </c>
      <c r="BQ188" s="48" t="str">
        <f t="shared" si="64"/>
        <v/>
      </c>
      <c r="BR188" s="48" t="str">
        <f t="shared" si="65"/>
        <v/>
      </c>
      <c r="BS188" s="48" t="str">
        <f t="shared" si="66"/>
        <v/>
      </c>
      <c r="BT188" s="47" t="str">
        <f t="shared" si="67"/>
        <v/>
      </c>
      <c r="CA188" s="47" t="str">
        <f t="shared" si="68"/>
        <v/>
      </c>
      <c r="CB188" s="47" t="str">
        <f t="shared" si="69"/>
        <v/>
      </c>
      <c r="CC188" s="47" t="str">
        <f t="shared" si="70"/>
        <v/>
      </c>
      <c r="CD188" s="47" t="str">
        <f t="shared" si="71"/>
        <v/>
      </c>
      <c r="CE188" s="47" t="str">
        <f>IF(AH188="","",IF(OR(AI188&lt;&gt;'Seasonal Tercile Tally'!$B$3,AM188&lt;&gt;'Seasonal Tercile Tally'!$B$4),"Other site/ season",IF(DT188=0,"Excluded: duplicate (later row)",IF(N188&lt;&gt;1,"Excluded: not sighted",IF(AC188&lt;&gt;1,"Excluded: not confirmed",IF(AD188&lt;&gt;1,"Excluded: not approved",IF(AP188="Contested","Excluded: contested",IF(OR(U188="",U188=0),"Excluded: no tercile",IF(CB188="","Counted (simple tally only — no weight)","Counted")))))))))</f>
        <v/>
      </c>
      <c r="CF188" s="49" t="str">
        <f>IF(AH188="","",IFERROR(INDEX('Prior Multipliers'!$C$6:$C$70,MATCH(LEFT(AH188,10),'Prior Multipliers'!$A$6:$A$70,0)),IFERROR(INDEX('Prior Multipliers'!$C$6:$C$70,MATCH(LEFT(AH188,6),'Prior Multipliers'!$A$6:$A$70,0)),IFERROR(INDEX('Prior Multipliers'!$C$6:$C$70,MATCH(LEFT(AH188,2),'Prior Multipliers'!$A$6:$A$70,0)),1))))</f>
        <v/>
      </c>
      <c r="CG188" s="49" t="str">
        <f>IF(CB188="","",IF(AND('Seasonal Tercile Tally'!$B$5=1,BT188="Rating-based"),CB188*CF188,CB188))</f>
        <v/>
      </c>
      <c r="CH188" s="47">
        <f t="shared" si="72"/>
        <v>0</v>
      </c>
      <c r="CI188" s="45"/>
      <c r="CJ188" s="42" t="str">
        <f t="shared" si="73"/>
        <v/>
      </c>
      <c r="CM188" s="42" t="str">
        <f t="shared" si="74"/>
        <v/>
      </c>
      <c r="CP188" s="46" t="str">
        <f t="shared" si="75"/>
        <v/>
      </c>
      <c r="CS188" s="46" t="str">
        <f t="shared" si="76"/>
        <v/>
      </c>
      <c r="CT188" s="42" t="str">
        <f t="shared" si="77"/>
        <v/>
      </c>
      <c r="CU188" s="42" t="str">
        <f t="shared" si="78"/>
        <v/>
      </c>
      <c r="CV188" s="42" t="str">
        <f t="shared" si="79"/>
        <v/>
      </c>
      <c r="DB188" s="45"/>
      <c r="DH188" s="42" t="str">
        <f t="shared" si="80"/>
        <v/>
      </c>
      <c r="DI188" s="43" t="str">
        <f t="shared" si="81"/>
        <v/>
      </c>
      <c r="DK188" s="46" t="str">
        <f t="shared" si="82"/>
        <v/>
      </c>
      <c r="DQ188" s="42" t="str">
        <f>IF(AH188="","",IFERROR(ROUND(100*('Weighting Options'!$D$7*IF(ISNUMBER(CA188),CA188/3,0)+'Weighting Options'!$D$8*MIN(N(BL188),3)/3+'Weighting Options'!$D$9*IF(AP188="Community/Plenary-endorsed",1,IF(AP188="FGD-validated only",0.75,IF(AP188="Sub-community-specific",0.5,IF(AP188="Provisional/emerging",0.25,0))))+'Weighting Options'!$D$10*IF(ISNUMBER(K188),K188/3,0)+'Weighting Options'!$D$11*IF(CC188="",0.5,IF(CC188="OK",1,0.25))+'Weighting Options'!$D$12*IF(DK188="",0.5,IF(DK188="Agrees",1,IF(DK188="Opposite",0,0.5)))+'Weighting Options'!$D$13*MIN(N(BG188),3)/3+'Weighting Options'!$D$14*IF(AE188=1,1,0))/SUM('Weighting Options'!$D$7:$D$14),0),""))</f>
        <v/>
      </c>
      <c r="DR188" s="44" t="str">
        <f>IF(AH188="","",IFERROR(INDEX('Weighting Options'!$D$20:$D$27,VALUE(LEFT(TRIM(BU188),1))),1))</f>
        <v/>
      </c>
      <c r="DS188" s="44" t="str">
        <f t="shared" si="83"/>
        <v/>
      </c>
      <c r="DT188" s="42" t="str">
        <f>IF(AH188="","",IF(COUNTIFS($AH$12:AH188,AH188,$AI$12:AI188,AI188,$AM$12:AM188,AM188)=1,1,0))</f>
        <v/>
      </c>
    </row>
    <row r="189" spans="16:124" ht="12.75" customHeight="1" x14ac:dyDescent="0.35">
      <c r="P189" s="41"/>
      <c r="Q189" s="41"/>
      <c r="R189" s="41"/>
      <c r="S189" s="41"/>
      <c r="AH189" s="40"/>
      <c r="AP189" s="40"/>
      <c r="AS189" s="41"/>
      <c r="AT189" s="41"/>
      <c r="AW189" t="str">
        <f t="shared" si="56"/>
        <v/>
      </c>
      <c r="AX189" t="str">
        <f t="shared" si="57"/>
        <v/>
      </c>
      <c r="AY189" t="str">
        <f t="shared" si="58"/>
        <v/>
      </c>
      <c r="AZ189" s="40"/>
      <c r="BL189" s="47" t="str">
        <f t="shared" si="59"/>
        <v/>
      </c>
      <c r="BM189" s="47" t="str">
        <f t="shared" si="60"/>
        <v/>
      </c>
      <c r="BN189" s="47" t="str">
        <f t="shared" si="61"/>
        <v/>
      </c>
      <c r="BO189" s="47" t="str">
        <f t="shared" si="62"/>
        <v/>
      </c>
      <c r="BP189" s="47" t="str">
        <f t="shared" si="63"/>
        <v/>
      </c>
      <c r="BQ189" s="48" t="str">
        <f t="shared" si="64"/>
        <v/>
      </c>
      <c r="BR189" s="48" t="str">
        <f t="shared" si="65"/>
        <v/>
      </c>
      <c r="BS189" s="48" t="str">
        <f t="shared" si="66"/>
        <v/>
      </c>
      <c r="BT189" s="47" t="str">
        <f t="shared" si="67"/>
        <v/>
      </c>
      <c r="CA189" s="47" t="str">
        <f t="shared" si="68"/>
        <v/>
      </c>
      <c r="CB189" s="47" t="str">
        <f t="shared" si="69"/>
        <v/>
      </c>
      <c r="CC189" s="47" t="str">
        <f t="shared" si="70"/>
        <v/>
      </c>
      <c r="CD189" s="47" t="str">
        <f t="shared" si="71"/>
        <v/>
      </c>
      <c r="CE189" s="47" t="str">
        <f>IF(AH189="","",IF(OR(AI189&lt;&gt;'Seasonal Tercile Tally'!$B$3,AM189&lt;&gt;'Seasonal Tercile Tally'!$B$4),"Other site/ season",IF(DT189=0,"Excluded: duplicate (later row)",IF(N189&lt;&gt;1,"Excluded: not sighted",IF(AC189&lt;&gt;1,"Excluded: not confirmed",IF(AD189&lt;&gt;1,"Excluded: not approved",IF(AP189="Contested","Excluded: contested",IF(OR(U189="",U189=0),"Excluded: no tercile",IF(CB189="","Counted (simple tally only — no weight)","Counted")))))))))</f>
        <v/>
      </c>
      <c r="CF189" s="49" t="str">
        <f>IF(AH189="","",IFERROR(INDEX('Prior Multipliers'!$C$6:$C$70,MATCH(LEFT(AH189,10),'Prior Multipliers'!$A$6:$A$70,0)),IFERROR(INDEX('Prior Multipliers'!$C$6:$C$70,MATCH(LEFT(AH189,6),'Prior Multipliers'!$A$6:$A$70,0)),IFERROR(INDEX('Prior Multipliers'!$C$6:$C$70,MATCH(LEFT(AH189,2),'Prior Multipliers'!$A$6:$A$70,0)),1))))</f>
        <v/>
      </c>
      <c r="CG189" s="49" t="str">
        <f>IF(CB189="","",IF(AND('Seasonal Tercile Tally'!$B$5=1,BT189="Rating-based"),CB189*CF189,CB189))</f>
        <v/>
      </c>
      <c r="CH189" s="47">
        <f t="shared" si="72"/>
        <v>0</v>
      </c>
      <c r="CI189" s="45"/>
      <c r="CJ189" s="42" t="str">
        <f t="shared" si="73"/>
        <v/>
      </c>
      <c r="CM189" s="42" t="str">
        <f t="shared" si="74"/>
        <v/>
      </c>
      <c r="CP189" s="46" t="str">
        <f t="shared" si="75"/>
        <v/>
      </c>
      <c r="CS189" s="46" t="str">
        <f t="shared" si="76"/>
        <v/>
      </c>
      <c r="CT189" s="42" t="str">
        <f t="shared" si="77"/>
        <v/>
      </c>
      <c r="CU189" s="42" t="str">
        <f t="shared" si="78"/>
        <v/>
      </c>
      <c r="CV189" s="42" t="str">
        <f t="shared" si="79"/>
        <v/>
      </c>
      <c r="DB189" s="45"/>
      <c r="DH189" s="42" t="str">
        <f t="shared" si="80"/>
        <v/>
      </c>
      <c r="DI189" s="43" t="str">
        <f t="shared" si="81"/>
        <v/>
      </c>
      <c r="DK189" s="46" t="str">
        <f t="shared" si="82"/>
        <v/>
      </c>
      <c r="DQ189" s="42" t="str">
        <f>IF(AH189="","",IFERROR(ROUND(100*('Weighting Options'!$D$7*IF(ISNUMBER(CA189),CA189/3,0)+'Weighting Options'!$D$8*MIN(N(BL189),3)/3+'Weighting Options'!$D$9*IF(AP189="Community/Plenary-endorsed",1,IF(AP189="FGD-validated only",0.75,IF(AP189="Sub-community-specific",0.5,IF(AP189="Provisional/emerging",0.25,0))))+'Weighting Options'!$D$10*IF(ISNUMBER(K189),K189/3,0)+'Weighting Options'!$D$11*IF(CC189="",0.5,IF(CC189="OK",1,0.25))+'Weighting Options'!$D$12*IF(DK189="",0.5,IF(DK189="Agrees",1,IF(DK189="Opposite",0,0.5)))+'Weighting Options'!$D$13*MIN(N(BG189),3)/3+'Weighting Options'!$D$14*IF(AE189=1,1,0))/SUM('Weighting Options'!$D$7:$D$14),0),""))</f>
        <v/>
      </c>
      <c r="DR189" s="44" t="str">
        <f>IF(AH189="","",IFERROR(INDEX('Weighting Options'!$D$20:$D$27,VALUE(LEFT(TRIM(BU189),1))),1))</f>
        <v/>
      </c>
      <c r="DS189" s="44" t="str">
        <f t="shared" si="83"/>
        <v/>
      </c>
      <c r="DT189" s="42" t="str">
        <f>IF(AH189="","",IF(COUNTIFS($AH$12:AH189,AH189,$AI$12:AI189,AI189,$AM$12:AM189,AM189)=1,1,0))</f>
        <v/>
      </c>
    </row>
    <row r="190" spans="16:124" ht="12.75" customHeight="1" x14ac:dyDescent="0.35">
      <c r="P190" s="41"/>
      <c r="Q190" s="41"/>
      <c r="R190" s="41"/>
      <c r="S190" s="41"/>
      <c r="AH190" s="40"/>
      <c r="AP190" s="40"/>
      <c r="AS190" s="41"/>
      <c r="AT190" s="41"/>
      <c r="AW190" t="str">
        <f t="shared" si="56"/>
        <v/>
      </c>
      <c r="AX190" t="str">
        <f t="shared" si="57"/>
        <v/>
      </c>
      <c r="AY190" t="str">
        <f t="shared" si="58"/>
        <v/>
      </c>
      <c r="AZ190" s="40"/>
      <c r="BL190" s="47" t="str">
        <f t="shared" si="59"/>
        <v/>
      </c>
      <c r="BM190" s="47" t="str">
        <f t="shared" si="60"/>
        <v/>
      </c>
      <c r="BN190" s="47" t="str">
        <f t="shared" si="61"/>
        <v/>
      </c>
      <c r="BO190" s="47" t="str">
        <f t="shared" si="62"/>
        <v/>
      </c>
      <c r="BP190" s="47" t="str">
        <f t="shared" si="63"/>
        <v/>
      </c>
      <c r="BQ190" s="48" t="str">
        <f t="shared" si="64"/>
        <v/>
      </c>
      <c r="BR190" s="48" t="str">
        <f t="shared" si="65"/>
        <v/>
      </c>
      <c r="BS190" s="48" t="str">
        <f t="shared" si="66"/>
        <v/>
      </c>
      <c r="BT190" s="47" t="str">
        <f t="shared" si="67"/>
        <v/>
      </c>
      <c r="CA190" s="47" t="str">
        <f t="shared" si="68"/>
        <v/>
      </c>
      <c r="CB190" s="47" t="str">
        <f t="shared" si="69"/>
        <v/>
      </c>
      <c r="CC190" s="47" t="str">
        <f t="shared" si="70"/>
        <v/>
      </c>
      <c r="CD190" s="47" t="str">
        <f t="shared" si="71"/>
        <v/>
      </c>
      <c r="CE190" s="47" t="str">
        <f>IF(AH190="","",IF(OR(AI190&lt;&gt;'Seasonal Tercile Tally'!$B$3,AM190&lt;&gt;'Seasonal Tercile Tally'!$B$4),"Other site/ season",IF(DT190=0,"Excluded: duplicate (later row)",IF(N190&lt;&gt;1,"Excluded: not sighted",IF(AC190&lt;&gt;1,"Excluded: not confirmed",IF(AD190&lt;&gt;1,"Excluded: not approved",IF(AP190="Contested","Excluded: contested",IF(OR(U190="",U190=0),"Excluded: no tercile",IF(CB190="","Counted (simple tally only — no weight)","Counted")))))))))</f>
        <v/>
      </c>
      <c r="CF190" s="49" t="str">
        <f>IF(AH190="","",IFERROR(INDEX('Prior Multipliers'!$C$6:$C$70,MATCH(LEFT(AH190,10),'Prior Multipliers'!$A$6:$A$70,0)),IFERROR(INDEX('Prior Multipliers'!$C$6:$C$70,MATCH(LEFT(AH190,6),'Prior Multipliers'!$A$6:$A$70,0)),IFERROR(INDEX('Prior Multipliers'!$C$6:$C$70,MATCH(LEFT(AH190,2),'Prior Multipliers'!$A$6:$A$70,0)),1))))</f>
        <v/>
      </c>
      <c r="CG190" s="49" t="str">
        <f>IF(CB190="","",IF(AND('Seasonal Tercile Tally'!$B$5=1,BT190="Rating-based"),CB190*CF190,CB190))</f>
        <v/>
      </c>
      <c r="CH190" s="47">
        <f t="shared" si="72"/>
        <v>0</v>
      </c>
      <c r="CI190" s="45"/>
      <c r="CJ190" s="42" t="str">
        <f t="shared" si="73"/>
        <v/>
      </c>
      <c r="CM190" s="42" t="str">
        <f t="shared" si="74"/>
        <v/>
      </c>
      <c r="CP190" s="46" t="str">
        <f t="shared" si="75"/>
        <v/>
      </c>
      <c r="CS190" s="46" t="str">
        <f t="shared" si="76"/>
        <v/>
      </c>
      <c r="CT190" s="42" t="str">
        <f t="shared" si="77"/>
        <v/>
      </c>
      <c r="CU190" s="42" t="str">
        <f t="shared" si="78"/>
        <v/>
      </c>
      <c r="CV190" s="42" t="str">
        <f t="shared" si="79"/>
        <v/>
      </c>
      <c r="DB190" s="45"/>
      <c r="DH190" s="42" t="str">
        <f t="shared" si="80"/>
        <v/>
      </c>
      <c r="DI190" s="43" t="str">
        <f t="shared" si="81"/>
        <v/>
      </c>
      <c r="DK190" s="46" t="str">
        <f t="shared" si="82"/>
        <v/>
      </c>
      <c r="DQ190" s="42" t="str">
        <f>IF(AH190="","",IFERROR(ROUND(100*('Weighting Options'!$D$7*IF(ISNUMBER(CA190),CA190/3,0)+'Weighting Options'!$D$8*MIN(N(BL190),3)/3+'Weighting Options'!$D$9*IF(AP190="Community/Plenary-endorsed",1,IF(AP190="FGD-validated only",0.75,IF(AP190="Sub-community-specific",0.5,IF(AP190="Provisional/emerging",0.25,0))))+'Weighting Options'!$D$10*IF(ISNUMBER(K190),K190/3,0)+'Weighting Options'!$D$11*IF(CC190="",0.5,IF(CC190="OK",1,0.25))+'Weighting Options'!$D$12*IF(DK190="",0.5,IF(DK190="Agrees",1,IF(DK190="Opposite",0,0.5)))+'Weighting Options'!$D$13*MIN(N(BG190),3)/3+'Weighting Options'!$D$14*IF(AE190=1,1,0))/SUM('Weighting Options'!$D$7:$D$14),0),""))</f>
        <v/>
      </c>
      <c r="DR190" s="44" t="str">
        <f>IF(AH190="","",IFERROR(INDEX('Weighting Options'!$D$20:$D$27,VALUE(LEFT(TRIM(BU190),1))),1))</f>
        <v/>
      </c>
      <c r="DS190" s="44" t="str">
        <f t="shared" si="83"/>
        <v/>
      </c>
      <c r="DT190" s="42" t="str">
        <f>IF(AH190="","",IF(COUNTIFS($AH$12:AH190,AH190,$AI$12:AI190,AI190,$AM$12:AM190,AM190)=1,1,0))</f>
        <v/>
      </c>
    </row>
    <row r="191" spans="16:124" ht="12.75" customHeight="1" x14ac:dyDescent="0.35">
      <c r="P191" s="41"/>
      <c r="Q191" s="41"/>
      <c r="R191" s="41"/>
      <c r="S191" s="41"/>
      <c r="AH191" s="40"/>
      <c r="AP191" s="40"/>
      <c r="AS191" s="41"/>
      <c r="AT191" s="41"/>
      <c r="AW191" t="str">
        <f t="shared" si="56"/>
        <v/>
      </c>
      <c r="AX191" t="str">
        <f t="shared" si="57"/>
        <v/>
      </c>
      <c r="AY191" t="str">
        <f t="shared" si="58"/>
        <v/>
      </c>
      <c r="AZ191" s="40"/>
      <c r="BL191" s="47" t="str">
        <f t="shared" si="59"/>
        <v/>
      </c>
      <c r="BM191" s="47" t="str">
        <f t="shared" si="60"/>
        <v/>
      </c>
      <c r="BN191" s="47" t="str">
        <f t="shared" si="61"/>
        <v/>
      </c>
      <c r="BO191" s="47" t="str">
        <f t="shared" si="62"/>
        <v/>
      </c>
      <c r="BP191" s="47" t="str">
        <f t="shared" si="63"/>
        <v/>
      </c>
      <c r="BQ191" s="48" t="str">
        <f t="shared" si="64"/>
        <v/>
      </c>
      <c r="BR191" s="48" t="str">
        <f t="shared" si="65"/>
        <v/>
      </c>
      <c r="BS191" s="48" t="str">
        <f t="shared" si="66"/>
        <v/>
      </c>
      <c r="BT191" s="47" t="str">
        <f t="shared" si="67"/>
        <v/>
      </c>
      <c r="CA191" s="47" t="str">
        <f t="shared" si="68"/>
        <v/>
      </c>
      <c r="CB191" s="47" t="str">
        <f t="shared" si="69"/>
        <v/>
      </c>
      <c r="CC191" s="47" t="str">
        <f t="shared" si="70"/>
        <v/>
      </c>
      <c r="CD191" s="47" t="str">
        <f t="shared" si="71"/>
        <v/>
      </c>
      <c r="CE191" s="47" t="str">
        <f>IF(AH191="","",IF(OR(AI191&lt;&gt;'Seasonal Tercile Tally'!$B$3,AM191&lt;&gt;'Seasonal Tercile Tally'!$B$4),"Other site/ season",IF(DT191=0,"Excluded: duplicate (later row)",IF(N191&lt;&gt;1,"Excluded: not sighted",IF(AC191&lt;&gt;1,"Excluded: not confirmed",IF(AD191&lt;&gt;1,"Excluded: not approved",IF(AP191="Contested","Excluded: contested",IF(OR(U191="",U191=0),"Excluded: no tercile",IF(CB191="","Counted (simple tally only — no weight)","Counted")))))))))</f>
        <v/>
      </c>
      <c r="CF191" s="49" t="str">
        <f>IF(AH191="","",IFERROR(INDEX('Prior Multipliers'!$C$6:$C$70,MATCH(LEFT(AH191,10),'Prior Multipliers'!$A$6:$A$70,0)),IFERROR(INDEX('Prior Multipliers'!$C$6:$C$70,MATCH(LEFT(AH191,6),'Prior Multipliers'!$A$6:$A$70,0)),IFERROR(INDEX('Prior Multipliers'!$C$6:$C$70,MATCH(LEFT(AH191,2),'Prior Multipliers'!$A$6:$A$70,0)),1))))</f>
        <v/>
      </c>
      <c r="CG191" s="49" t="str">
        <f>IF(CB191="","",IF(AND('Seasonal Tercile Tally'!$B$5=1,BT191="Rating-based"),CB191*CF191,CB191))</f>
        <v/>
      </c>
      <c r="CH191" s="47">
        <f t="shared" si="72"/>
        <v>0</v>
      </c>
      <c r="CI191" s="45"/>
      <c r="CJ191" s="42" t="str">
        <f t="shared" si="73"/>
        <v/>
      </c>
      <c r="CM191" s="42" t="str">
        <f t="shared" si="74"/>
        <v/>
      </c>
      <c r="CP191" s="46" t="str">
        <f t="shared" si="75"/>
        <v/>
      </c>
      <c r="CS191" s="46" t="str">
        <f t="shared" si="76"/>
        <v/>
      </c>
      <c r="CT191" s="42" t="str">
        <f t="shared" si="77"/>
        <v/>
      </c>
      <c r="CU191" s="42" t="str">
        <f t="shared" si="78"/>
        <v/>
      </c>
      <c r="CV191" s="42" t="str">
        <f t="shared" si="79"/>
        <v/>
      </c>
      <c r="DB191" s="45"/>
      <c r="DH191" s="42" t="str">
        <f t="shared" si="80"/>
        <v/>
      </c>
      <c r="DI191" s="43" t="str">
        <f t="shared" si="81"/>
        <v/>
      </c>
      <c r="DK191" s="46" t="str">
        <f t="shared" si="82"/>
        <v/>
      </c>
      <c r="DQ191" s="42" t="str">
        <f>IF(AH191="","",IFERROR(ROUND(100*('Weighting Options'!$D$7*IF(ISNUMBER(CA191),CA191/3,0)+'Weighting Options'!$D$8*MIN(N(BL191),3)/3+'Weighting Options'!$D$9*IF(AP191="Community/Plenary-endorsed",1,IF(AP191="FGD-validated only",0.75,IF(AP191="Sub-community-specific",0.5,IF(AP191="Provisional/emerging",0.25,0))))+'Weighting Options'!$D$10*IF(ISNUMBER(K191),K191/3,0)+'Weighting Options'!$D$11*IF(CC191="",0.5,IF(CC191="OK",1,0.25))+'Weighting Options'!$D$12*IF(DK191="",0.5,IF(DK191="Agrees",1,IF(DK191="Opposite",0,0.5)))+'Weighting Options'!$D$13*MIN(N(BG191),3)/3+'Weighting Options'!$D$14*IF(AE191=1,1,0))/SUM('Weighting Options'!$D$7:$D$14),0),""))</f>
        <v/>
      </c>
      <c r="DR191" s="44" t="str">
        <f>IF(AH191="","",IFERROR(INDEX('Weighting Options'!$D$20:$D$27,VALUE(LEFT(TRIM(BU191),1))),1))</f>
        <v/>
      </c>
      <c r="DS191" s="44" t="str">
        <f t="shared" si="83"/>
        <v/>
      </c>
      <c r="DT191" s="42" t="str">
        <f>IF(AH191="","",IF(COUNTIFS($AH$12:AH191,AH191,$AI$12:AI191,AI191,$AM$12:AM191,AM191)=1,1,0))</f>
        <v/>
      </c>
    </row>
    <row r="192" spans="16:124" ht="12.75" customHeight="1" x14ac:dyDescent="0.35">
      <c r="P192" s="41"/>
      <c r="Q192" s="41"/>
      <c r="R192" s="41"/>
      <c r="S192" s="41"/>
      <c r="AH192" s="40"/>
      <c r="AP192" s="40"/>
      <c r="AS192" s="41"/>
      <c r="AT192" s="41"/>
      <c r="AW192" t="str">
        <f t="shared" si="56"/>
        <v/>
      </c>
      <c r="AX192" t="str">
        <f t="shared" si="57"/>
        <v/>
      </c>
      <c r="AY192" t="str">
        <f t="shared" si="58"/>
        <v/>
      </c>
      <c r="AZ192" s="40"/>
      <c r="BL192" s="47" t="str">
        <f t="shared" si="59"/>
        <v/>
      </c>
      <c r="BM192" s="47" t="str">
        <f t="shared" si="60"/>
        <v/>
      </c>
      <c r="BN192" s="47" t="str">
        <f t="shared" si="61"/>
        <v/>
      </c>
      <c r="BO192" s="47" t="str">
        <f t="shared" si="62"/>
        <v/>
      </c>
      <c r="BP192" s="47" t="str">
        <f t="shared" si="63"/>
        <v/>
      </c>
      <c r="BQ192" s="48" t="str">
        <f t="shared" si="64"/>
        <v/>
      </c>
      <c r="BR192" s="48" t="str">
        <f t="shared" si="65"/>
        <v/>
      </c>
      <c r="BS192" s="48" t="str">
        <f t="shared" si="66"/>
        <v/>
      </c>
      <c r="BT192" s="47" t="str">
        <f t="shared" si="67"/>
        <v/>
      </c>
      <c r="CA192" s="47" t="str">
        <f t="shared" si="68"/>
        <v/>
      </c>
      <c r="CB192" s="47" t="str">
        <f t="shared" si="69"/>
        <v/>
      </c>
      <c r="CC192" s="47" t="str">
        <f t="shared" si="70"/>
        <v/>
      </c>
      <c r="CD192" s="47" t="str">
        <f t="shared" si="71"/>
        <v/>
      </c>
      <c r="CE192" s="47" t="str">
        <f>IF(AH192="","",IF(OR(AI192&lt;&gt;'Seasonal Tercile Tally'!$B$3,AM192&lt;&gt;'Seasonal Tercile Tally'!$B$4),"Other site/ season",IF(DT192=0,"Excluded: duplicate (later row)",IF(N192&lt;&gt;1,"Excluded: not sighted",IF(AC192&lt;&gt;1,"Excluded: not confirmed",IF(AD192&lt;&gt;1,"Excluded: not approved",IF(AP192="Contested","Excluded: contested",IF(OR(U192="",U192=0),"Excluded: no tercile",IF(CB192="","Counted (simple tally only — no weight)","Counted")))))))))</f>
        <v/>
      </c>
      <c r="CF192" s="49" t="str">
        <f>IF(AH192="","",IFERROR(INDEX('Prior Multipliers'!$C$6:$C$70,MATCH(LEFT(AH192,10),'Prior Multipliers'!$A$6:$A$70,0)),IFERROR(INDEX('Prior Multipliers'!$C$6:$C$70,MATCH(LEFT(AH192,6),'Prior Multipliers'!$A$6:$A$70,0)),IFERROR(INDEX('Prior Multipliers'!$C$6:$C$70,MATCH(LEFT(AH192,2),'Prior Multipliers'!$A$6:$A$70,0)),1))))</f>
        <v/>
      </c>
      <c r="CG192" s="49" t="str">
        <f>IF(CB192="","",IF(AND('Seasonal Tercile Tally'!$B$5=1,BT192="Rating-based"),CB192*CF192,CB192))</f>
        <v/>
      </c>
      <c r="CH192" s="47">
        <f t="shared" si="72"/>
        <v>0</v>
      </c>
      <c r="CI192" s="45"/>
      <c r="CJ192" s="42" t="str">
        <f t="shared" si="73"/>
        <v/>
      </c>
      <c r="CM192" s="42" t="str">
        <f t="shared" si="74"/>
        <v/>
      </c>
      <c r="CP192" s="46" t="str">
        <f t="shared" si="75"/>
        <v/>
      </c>
      <c r="CS192" s="46" t="str">
        <f t="shared" si="76"/>
        <v/>
      </c>
      <c r="CT192" s="42" t="str">
        <f t="shared" si="77"/>
        <v/>
      </c>
      <c r="CU192" s="42" t="str">
        <f t="shared" si="78"/>
        <v/>
      </c>
      <c r="CV192" s="42" t="str">
        <f t="shared" si="79"/>
        <v/>
      </c>
      <c r="DB192" s="45"/>
      <c r="DH192" s="42" t="str">
        <f t="shared" si="80"/>
        <v/>
      </c>
      <c r="DI192" s="43" t="str">
        <f t="shared" si="81"/>
        <v/>
      </c>
      <c r="DK192" s="46" t="str">
        <f t="shared" si="82"/>
        <v/>
      </c>
      <c r="DQ192" s="42" t="str">
        <f>IF(AH192="","",IFERROR(ROUND(100*('Weighting Options'!$D$7*IF(ISNUMBER(CA192),CA192/3,0)+'Weighting Options'!$D$8*MIN(N(BL192),3)/3+'Weighting Options'!$D$9*IF(AP192="Community/Plenary-endorsed",1,IF(AP192="FGD-validated only",0.75,IF(AP192="Sub-community-specific",0.5,IF(AP192="Provisional/emerging",0.25,0))))+'Weighting Options'!$D$10*IF(ISNUMBER(K192),K192/3,0)+'Weighting Options'!$D$11*IF(CC192="",0.5,IF(CC192="OK",1,0.25))+'Weighting Options'!$D$12*IF(DK192="",0.5,IF(DK192="Agrees",1,IF(DK192="Opposite",0,0.5)))+'Weighting Options'!$D$13*MIN(N(BG192),3)/3+'Weighting Options'!$D$14*IF(AE192=1,1,0))/SUM('Weighting Options'!$D$7:$D$14),0),""))</f>
        <v/>
      </c>
      <c r="DR192" s="44" t="str">
        <f>IF(AH192="","",IFERROR(INDEX('Weighting Options'!$D$20:$D$27,VALUE(LEFT(TRIM(BU192),1))),1))</f>
        <v/>
      </c>
      <c r="DS192" s="44" t="str">
        <f t="shared" si="83"/>
        <v/>
      </c>
      <c r="DT192" s="42" t="str">
        <f>IF(AH192="","",IF(COUNTIFS($AH$12:AH192,AH192,$AI$12:AI192,AI192,$AM$12:AM192,AM192)=1,1,0))</f>
        <v/>
      </c>
    </row>
    <row r="193" spans="16:124" ht="12.75" customHeight="1" x14ac:dyDescent="0.35">
      <c r="P193" s="41"/>
      <c r="Q193" s="41"/>
      <c r="R193" s="41"/>
      <c r="S193" s="41"/>
      <c r="AH193" s="40"/>
      <c r="AP193" s="40"/>
      <c r="AS193" s="41"/>
      <c r="AT193" s="41"/>
      <c r="AW193" t="str">
        <f t="shared" si="56"/>
        <v/>
      </c>
      <c r="AX193" t="str">
        <f t="shared" si="57"/>
        <v/>
      </c>
      <c r="AY193" t="str">
        <f t="shared" si="58"/>
        <v/>
      </c>
      <c r="AZ193" s="40"/>
      <c r="BL193" s="47" t="str">
        <f t="shared" si="59"/>
        <v/>
      </c>
      <c r="BM193" s="47" t="str">
        <f t="shared" si="60"/>
        <v/>
      </c>
      <c r="BN193" s="47" t="str">
        <f t="shared" si="61"/>
        <v/>
      </c>
      <c r="BO193" s="47" t="str">
        <f t="shared" si="62"/>
        <v/>
      </c>
      <c r="BP193" s="47" t="str">
        <f t="shared" si="63"/>
        <v/>
      </c>
      <c r="BQ193" s="48" t="str">
        <f t="shared" si="64"/>
        <v/>
      </c>
      <c r="BR193" s="48" t="str">
        <f t="shared" si="65"/>
        <v/>
      </c>
      <c r="BS193" s="48" t="str">
        <f t="shared" si="66"/>
        <v/>
      </c>
      <c r="BT193" s="47" t="str">
        <f t="shared" si="67"/>
        <v/>
      </c>
      <c r="CA193" s="47" t="str">
        <f t="shared" si="68"/>
        <v/>
      </c>
      <c r="CB193" s="47" t="str">
        <f t="shared" si="69"/>
        <v/>
      </c>
      <c r="CC193" s="47" t="str">
        <f t="shared" si="70"/>
        <v/>
      </c>
      <c r="CD193" s="47" t="str">
        <f t="shared" si="71"/>
        <v/>
      </c>
      <c r="CE193" s="47" t="str">
        <f>IF(AH193="","",IF(OR(AI193&lt;&gt;'Seasonal Tercile Tally'!$B$3,AM193&lt;&gt;'Seasonal Tercile Tally'!$B$4),"Other site/ season",IF(DT193=0,"Excluded: duplicate (later row)",IF(N193&lt;&gt;1,"Excluded: not sighted",IF(AC193&lt;&gt;1,"Excluded: not confirmed",IF(AD193&lt;&gt;1,"Excluded: not approved",IF(AP193="Contested","Excluded: contested",IF(OR(U193="",U193=0),"Excluded: no tercile",IF(CB193="","Counted (simple tally only — no weight)","Counted")))))))))</f>
        <v/>
      </c>
      <c r="CF193" s="49" t="str">
        <f>IF(AH193="","",IFERROR(INDEX('Prior Multipliers'!$C$6:$C$70,MATCH(LEFT(AH193,10),'Prior Multipliers'!$A$6:$A$70,0)),IFERROR(INDEX('Prior Multipliers'!$C$6:$C$70,MATCH(LEFT(AH193,6),'Prior Multipliers'!$A$6:$A$70,0)),IFERROR(INDEX('Prior Multipliers'!$C$6:$C$70,MATCH(LEFT(AH193,2),'Prior Multipliers'!$A$6:$A$70,0)),1))))</f>
        <v/>
      </c>
      <c r="CG193" s="49" t="str">
        <f>IF(CB193="","",IF(AND('Seasonal Tercile Tally'!$B$5=1,BT193="Rating-based"),CB193*CF193,CB193))</f>
        <v/>
      </c>
      <c r="CH193" s="47">
        <f t="shared" si="72"/>
        <v>0</v>
      </c>
      <c r="CI193" s="45"/>
      <c r="CJ193" s="42" t="str">
        <f t="shared" si="73"/>
        <v/>
      </c>
      <c r="CM193" s="42" t="str">
        <f t="shared" si="74"/>
        <v/>
      </c>
      <c r="CP193" s="46" t="str">
        <f t="shared" si="75"/>
        <v/>
      </c>
      <c r="CS193" s="46" t="str">
        <f t="shared" si="76"/>
        <v/>
      </c>
      <c r="CT193" s="42" t="str">
        <f t="shared" si="77"/>
        <v/>
      </c>
      <c r="CU193" s="42" t="str">
        <f t="shared" si="78"/>
        <v/>
      </c>
      <c r="CV193" s="42" t="str">
        <f t="shared" si="79"/>
        <v/>
      </c>
      <c r="DB193" s="45"/>
      <c r="DH193" s="42" t="str">
        <f t="shared" si="80"/>
        <v/>
      </c>
      <c r="DI193" s="43" t="str">
        <f t="shared" si="81"/>
        <v/>
      </c>
      <c r="DK193" s="46" t="str">
        <f t="shared" si="82"/>
        <v/>
      </c>
      <c r="DQ193" s="42" t="str">
        <f>IF(AH193="","",IFERROR(ROUND(100*('Weighting Options'!$D$7*IF(ISNUMBER(CA193),CA193/3,0)+'Weighting Options'!$D$8*MIN(N(BL193),3)/3+'Weighting Options'!$D$9*IF(AP193="Community/Plenary-endorsed",1,IF(AP193="FGD-validated only",0.75,IF(AP193="Sub-community-specific",0.5,IF(AP193="Provisional/emerging",0.25,0))))+'Weighting Options'!$D$10*IF(ISNUMBER(K193),K193/3,0)+'Weighting Options'!$D$11*IF(CC193="",0.5,IF(CC193="OK",1,0.25))+'Weighting Options'!$D$12*IF(DK193="",0.5,IF(DK193="Agrees",1,IF(DK193="Opposite",0,0.5)))+'Weighting Options'!$D$13*MIN(N(BG193),3)/3+'Weighting Options'!$D$14*IF(AE193=1,1,0))/SUM('Weighting Options'!$D$7:$D$14),0),""))</f>
        <v/>
      </c>
      <c r="DR193" s="44" t="str">
        <f>IF(AH193="","",IFERROR(INDEX('Weighting Options'!$D$20:$D$27,VALUE(LEFT(TRIM(BU193),1))),1))</f>
        <v/>
      </c>
      <c r="DS193" s="44" t="str">
        <f t="shared" si="83"/>
        <v/>
      </c>
      <c r="DT193" s="42" t="str">
        <f>IF(AH193="","",IF(COUNTIFS($AH$12:AH193,AH193,$AI$12:AI193,AI193,$AM$12:AM193,AM193)=1,1,0))</f>
        <v/>
      </c>
    </row>
    <row r="194" spans="16:124" ht="12.75" customHeight="1" x14ac:dyDescent="0.35">
      <c r="P194" s="41"/>
      <c r="Q194" s="41"/>
      <c r="R194" s="41"/>
      <c r="S194" s="41"/>
      <c r="AH194" s="40"/>
      <c r="AP194" s="40"/>
      <c r="AS194" s="41"/>
      <c r="AT194" s="41"/>
      <c r="AW194" t="str">
        <f t="shared" si="56"/>
        <v/>
      </c>
      <c r="AX194" t="str">
        <f t="shared" si="57"/>
        <v/>
      </c>
      <c r="AY194" t="str">
        <f t="shared" si="58"/>
        <v/>
      </c>
      <c r="AZ194" s="40"/>
      <c r="BL194" s="47" t="str">
        <f t="shared" si="59"/>
        <v/>
      </c>
      <c r="BM194" s="47" t="str">
        <f t="shared" si="60"/>
        <v/>
      </c>
      <c r="BN194" s="47" t="str">
        <f t="shared" si="61"/>
        <v/>
      </c>
      <c r="BO194" s="47" t="str">
        <f t="shared" si="62"/>
        <v/>
      </c>
      <c r="BP194" s="47" t="str">
        <f t="shared" si="63"/>
        <v/>
      </c>
      <c r="BQ194" s="48" t="str">
        <f t="shared" si="64"/>
        <v/>
      </c>
      <c r="BR194" s="48" t="str">
        <f t="shared" si="65"/>
        <v/>
      </c>
      <c r="BS194" s="48" t="str">
        <f t="shared" si="66"/>
        <v/>
      </c>
      <c r="BT194" s="47" t="str">
        <f t="shared" si="67"/>
        <v/>
      </c>
      <c r="CA194" s="47" t="str">
        <f t="shared" si="68"/>
        <v/>
      </c>
      <c r="CB194" s="47" t="str">
        <f t="shared" si="69"/>
        <v/>
      </c>
      <c r="CC194" s="47" t="str">
        <f t="shared" si="70"/>
        <v/>
      </c>
      <c r="CD194" s="47" t="str">
        <f t="shared" si="71"/>
        <v/>
      </c>
      <c r="CE194" s="47" t="str">
        <f>IF(AH194="","",IF(OR(AI194&lt;&gt;'Seasonal Tercile Tally'!$B$3,AM194&lt;&gt;'Seasonal Tercile Tally'!$B$4),"Other site/ season",IF(DT194=0,"Excluded: duplicate (later row)",IF(N194&lt;&gt;1,"Excluded: not sighted",IF(AC194&lt;&gt;1,"Excluded: not confirmed",IF(AD194&lt;&gt;1,"Excluded: not approved",IF(AP194="Contested","Excluded: contested",IF(OR(U194="",U194=0),"Excluded: no tercile",IF(CB194="","Counted (simple tally only — no weight)","Counted")))))))))</f>
        <v/>
      </c>
      <c r="CF194" s="49" t="str">
        <f>IF(AH194="","",IFERROR(INDEX('Prior Multipliers'!$C$6:$C$70,MATCH(LEFT(AH194,10),'Prior Multipliers'!$A$6:$A$70,0)),IFERROR(INDEX('Prior Multipliers'!$C$6:$C$70,MATCH(LEFT(AH194,6),'Prior Multipliers'!$A$6:$A$70,0)),IFERROR(INDEX('Prior Multipliers'!$C$6:$C$70,MATCH(LEFT(AH194,2),'Prior Multipliers'!$A$6:$A$70,0)),1))))</f>
        <v/>
      </c>
      <c r="CG194" s="49" t="str">
        <f>IF(CB194="","",IF(AND('Seasonal Tercile Tally'!$B$5=1,BT194="Rating-based"),CB194*CF194,CB194))</f>
        <v/>
      </c>
      <c r="CH194" s="47">
        <f t="shared" si="72"/>
        <v>0</v>
      </c>
      <c r="CI194" s="45"/>
      <c r="CJ194" s="42" t="str">
        <f t="shared" si="73"/>
        <v/>
      </c>
      <c r="CM194" s="42" t="str">
        <f t="shared" si="74"/>
        <v/>
      </c>
      <c r="CP194" s="46" t="str">
        <f t="shared" si="75"/>
        <v/>
      </c>
      <c r="CS194" s="46" t="str">
        <f t="shared" si="76"/>
        <v/>
      </c>
      <c r="CT194" s="42" t="str">
        <f t="shared" si="77"/>
        <v/>
      </c>
      <c r="CU194" s="42" t="str">
        <f t="shared" si="78"/>
        <v/>
      </c>
      <c r="CV194" s="42" t="str">
        <f t="shared" si="79"/>
        <v/>
      </c>
      <c r="DB194" s="45"/>
      <c r="DH194" s="42" t="str">
        <f t="shared" si="80"/>
        <v/>
      </c>
      <c r="DI194" s="43" t="str">
        <f t="shared" si="81"/>
        <v/>
      </c>
      <c r="DK194" s="46" t="str">
        <f t="shared" si="82"/>
        <v/>
      </c>
      <c r="DQ194" s="42" t="str">
        <f>IF(AH194="","",IFERROR(ROUND(100*('Weighting Options'!$D$7*IF(ISNUMBER(CA194),CA194/3,0)+'Weighting Options'!$D$8*MIN(N(BL194),3)/3+'Weighting Options'!$D$9*IF(AP194="Community/Plenary-endorsed",1,IF(AP194="FGD-validated only",0.75,IF(AP194="Sub-community-specific",0.5,IF(AP194="Provisional/emerging",0.25,0))))+'Weighting Options'!$D$10*IF(ISNUMBER(K194),K194/3,0)+'Weighting Options'!$D$11*IF(CC194="",0.5,IF(CC194="OK",1,0.25))+'Weighting Options'!$D$12*IF(DK194="",0.5,IF(DK194="Agrees",1,IF(DK194="Opposite",0,0.5)))+'Weighting Options'!$D$13*MIN(N(BG194),3)/3+'Weighting Options'!$D$14*IF(AE194=1,1,0))/SUM('Weighting Options'!$D$7:$D$14),0),""))</f>
        <v/>
      </c>
      <c r="DR194" s="44" t="str">
        <f>IF(AH194="","",IFERROR(INDEX('Weighting Options'!$D$20:$D$27,VALUE(LEFT(TRIM(BU194),1))),1))</f>
        <v/>
      </c>
      <c r="DS194" s="44" t="str">
        <f t="shared" si="83"/>
        <v/>
      </c>
      <c r="DT194" s="42" t="str">
        <f>IF(AH194="","",IF(COUNTIFS($AH$12:AH194,AH194,$AI$12:AI194,AI194,$AM$12:AM194,AM194)=1,1,0))</f>
        <v/>
      </c>
    </row>
    <row r="195" spans="16:124" ht="12.75" customHeight="1" x14ac:dyDescent="0.35">
      <c r="P195" s="41"/>
      <c r="Q195" s="41"/>
      <c r="R195" s="41"/>
      <c r="S195" s="41"/>
      <c r="AH195" s="40"/>
      <c r="AP195" s="40"/>
      <c r="AS195" s="41"/>
      <c r="AT195" s="41"/>
      <c r="AW195" t="str">
        <f t="shared" si="56"/>
        <v/>
      </c>
      <c r="AX195" t="str">
        <f t="shared" si="57"/>
        <v/>
      </c>
      <c r="AY195" t="str">
        <f t="shared" si="58"/>
        <v/>
      </c>
      <c r="AZ195" s="40"/>
      <c r="BL195" s="47" t="str">
        <f t="shared" si="59"/>
        <v/>
      </c>
      <c r="BM195" s="47" t="str">
        <f t="shared" si="60"/>
        <v/>
      </c>
      <c r="BN195" s="47" t="str">
        <f t="shared" si="61"/>
        <v/>
      </c>
      <c r="BO195" s="47" t="str">
        <f t="shared" si="62"/>
        <v/>
      </c>
      <c r="BP195" s="47" t="str">
        <f t="shared" si="63"/>
        <v/>
      </c>
      <c r="BQ195" s="48" t="str">
        <f t="shared" si="64"/>
        <v/>
      </c>
      <c r="BR195" s="48" t="str">
        <f t="shared" si="65"/>
        <v/>
      </c>
      <c r="BS195" s="48" t="str">
        <f t="shared" si="66"/>
        <v/>
      </c>
      <c r="BT195" s="47" t="str">
        <f t="shared" si="67"/>
        <v/>
      </c>
      <c r="CA195" s="47" t="str">
        <f t="shared" si="68"/>
        <v/>
      </c>
      <c r="CB195" s="47" t="str">
        <f t="shared" si="69"/>
        <v/>
      </c>
      <c r="CC195" s="47" t="str">
        <f t="shared" si="70"/>
        <v/>
      </c>
      <c r="CD195" s="47" t="str">
        <f t="shared" si="71"/>
        <v/>
      </c>
      <c r="CE195" s="47" t="str">
        <f>IF(AH195="","",IF(OR(AI195&lt;&gt;'Seasonal Tercile Tally'!$B$3,AM195&lt;&gt;'Seasonal Tercile Tally'!$B$4),"Other site/ season",IF(DT195=0,"Excluded: duplicate (later row)",IF(N195&lt;&gt;1,"Excluded: not sighted",IF(AC195&lt;&gt;1,"Excluded: not confirmed",IF(AD195&lt;&gt;1,"Excluded: not approved",IF(AP195="Contested","Excluded: contested",IF(OR(U195="",U195=0),"Excluded: no tercile",IF(CB195="","Counted (simple tally only — no weight)","Counted")))))))))</f>
        <v/>
      </c>
      <c r="CF195" s="49" t="str">
        <f>IF(AH195="","",IFERROR(INDEX('Prior Multipliers'!$C$6:$C$70,MATCH(LEFT(AH195,10),'Prior Multipliers'!$A$6:$A$70,0)),IFERROR(INDEX('Prior Multipliers'!$C$6:$C$70,MATCH(LEFT(AH195,6),'Prior Multipliers'!$A$6:$A$70,0)),IFERROR(INDEX('Prior Multipliers'!$C$6:$C$70,MATCH(LEFT(AH195,2),'Prior Multipliers'!$A$6:$A$70,0)),1))))</f>
        <v/>
      </c>
      <c r="CG195" s="49" t="str">
        <f>IF(CB195="","",IF(AND('Seasonal Tercile Tally'!$B$5=1,BT195="Rating-based"),CB195*CF195,CB195))</f>
        <v/>
      </c>
      <c r="CH195" s="47">
        <f t="shared" si="72"/>
        <v>0</v>
      </c>
      <c r="CI195" s="45"/>
      <c r="CJ195" s="42" t="str">
        <f t="shared" si="73"/>
        <v/>
      </c>
      <c r="CM195" s="42" t="str">
        <f t="shared" si="74"/>
        <v/>
      </c>
      <c r="CP195" s="46" t="str">
        <f t="shared" si="75"/>
        <v/>
      </c>
      <c r="CS195" s="46" t="str">
        <f t="shared" si="76"/>
        <v/>
      </c>
      <c r="CT195" s="42" t="str">
        <f t="shared" si="77"/>
        <v/>
      </c>
      <c r="CU195" s="42" t="str">
        <f t="shared" si="78"/>
        <v/>
      </c>
      <c r="CV195" s="42" t="str">
        <f t="shared" si="79"/>
        <v/>
      </c>
      <c r="DB195" s="45"/>
      <c r="DH195" s="42" t="str">
        <f t="shared" si="80"/>
        <v/>
      </c>
      <c r="DI195" s="43" t="str">
        <f t="shared" si="81"/>
        <v/>
      </c>
      <c r="DK195" s="46" t="str">
        <f t="shared" si="82"/>
        <v/>
      </c>
      <c r="DQ195" s="42" t="str">
        <f>IF(AH195="","",IFERROR(ROUND(100*('Weighting Options'!$D$7*IF(ISNUMBER(CA195),CA195/3,0)+'Weighting Options'!$D$8*MIN(N(BL195),3)/3+'Weighting Options'!$D$9*IF(AP195="Community/Plenary-endorsed",1,IF(AP195="FGD-validated only",0.75,IF(AP195="Sub-community-specific",0.5,IF(AP195="Provisional/emerging",0.25,0))))+'Weighting Options'!$D$10*IF(ISNUMBER(K195),K195/3,0)+'Weighting Options'!$D$11*IF(CC195="",0.5,IF(CC195="OK",1,0.25))+'Weighting Options'!$D$12*IF(DK195="",0.5,IF(DK195="Agrees",1,IF(DK195="Opposite",0,0.5)))+'Weighting Options'!$D$13*MIN(N(BG195),3)/3+'Weighting Options'!$D$14*IF(AE195=1,1,0))/SUM('Weighting Options'!$D$7:$D$14),0),""))</f>
        <v/>
      </c>
      <c r="DR195" s="44" t="str">
        <f>IF(AH195="","",IFERROR(INDEX('Weighting Options'!$D$20:$D$27,VALUE(LEFT(TRIM(BU195),1))),1))</f>
        <v/>
      </c>
      <c r="DS195" s="44" t="str">
        <f t="shared" si="83"/>
        <v/>
      </c>
      <c r="DT195" s="42" t="str">
        <f>IF(AH195="","",IF(COUNTIFS($AH$12:AH195,AH195,$AI$12:AI195,AI195,$AM$12:AM195,AM195)=1,1,0))</f>
        <v/>
      </c>
    </row>
    <row r="196" spans="16:124" ht="12.75" customHeight="1" x14ac:dyDescent="0.35">
      <c r="P196" s="41"/>
      <c r="Q196" s="41"/>
      <c r="R196" s="41"/>
      <c r="S196" s="41"/>
      <c r="AH196" s="40"/>
      <c r="AP196" s="40"/>
      <c r="AS196" s="41"/>
      <c r="AT196" s="41"/>
      <c r="AW196" t="str">
        <f t="shared" si="56"/>
        <v/>
      </c>
      <c r="AX196" t="str">
        <f t="shared" si="57"/>
        <v/>
      </c>
      <c r="AY196" t="str">
        <f t="shared" si="58"/>
        <v/>
      </c>
      <c r="AZ196" s="40"/>
      <c r="BL196" s="47" t="str">
        <f t="shared" si="59"/>
        <v/>
      </c>
      <c r="BM196" s="47" t="str">
        <f t="shared" si="60"/>
        <v/>
      </c>
      <c r="BN196" s="47" t="str">
        <f t="shared" si="61"/>
        <v/>
      </c>
      <c r="BO196" s="47" t="str">
        <f t="shared" si="62"/>
        <v/>
      </c>
      <c r="BP196" s="47" t="str">
        <f t="shared" si="63"/>
        <v/>
      </c>
      <c r="BQ196" s="48" t="str">
        <f t="shared" si="64"/>
        <v/>
      </c>
      <c r="BR196" s="48" t="str">
        <f t="shared" si="65"/>
        <v/>
      </c>
      <c r="BS196" s="48" t="str">
        <f t="shared" si="66"/>
        <v/>
      </c>
      <c r="BT196" s="47" t="str">
        <f t="shared" si="67"/>
        <v/>
      </c>
      <c r="CA196" s="47" t="str">
        <f t="shared" si="68"/>
        <v/>
      </c>
      <c r="CB196" s="47" t="str">
        <f t="shared" si="69"/>
        <v/>
      </c>
      <c r="CC196" s="47" t="str">
        <f t="shared" si="70"/>
        <v/>
      </c>
      <c r="CD196" s="47" t="str">
        <f t="shared" si="71"/>
        <v/>
      </c>
      <c r="CE196" s="47" t="str">
        <f>IF(AH196="","",IF(OR(AI196&lt;&gt;'Seasonal Tercile Tally'!$B$3,AM196&lt;&gt;'Seasonal Tercile Tally'!$B$4),"Other site/ season",IF(DT196=0,"Excluded: duplicate (later row)",IF(N196&lt;&gt;1,"Excluded: not sighted",IF(AC196&lt;&gt;1,"Excluded: not confirmed",IF(AD196&lt;&gt;1,"Excluded: not approved",IF(AP196="Contested","Excluded: contested",IF(OR(U196="",U196=0),"Excluded: no tercile",IF(CB196="","Counted (simple tally only — no weight)","Counted")))))))))</f>
        <v/>
      </c>
      <c r="CF196" s="49" t="str">
        <f>IF(AH196="","",IFERROR(INDEX('Prior Multipliers'!$C$6:$C$70,MATCH(LEFT(AH196,10),'Prior Multipliers'!$A$6:$A$70,0)),IFERROR(INDEX('Prior Multipliers'!$C$6:$C$70,MATCH(LEFT(AH196,6),'Prior Multipliers'!$A$6:$A$70,0)),IFERROR(INDEX('Prior Multipliers'!$C$6:$C$70,MATCH(LEFT(AH196,2),'Prior Multipliers'!$A$6:$A$70,0)),1))))</f>
        <v/>
      </c>
      <c r="CG196" s="49" t="str">
        <f>IF(CB196="","",IF(AND('Seasonal Tercile Tally'!$B$5=1,BT196="Rating-based"),CB196*CF196,CB196))</f>
        <v/>
      </c>
      <c r="CH196" s="47">
        <f t="shared" si="72"/>
        <v>0</v>
      </c>
      <c r="CI196" s="45"/>
      <c r="CJ196" s="42" t="str">
        <f t="shared" si="73"/>
        <v/>
      </c>
      <c r="CM196" s="42" t="str">
        <f t="shared" si="74"/>
        <v/>
      </c>
      <c r="CP196" s="46" t="str">
        <f t="shared" si="75"/>
        <v/>
      </c>
      <c r="CS196" s="46" t="str">
        <f t="shared" si="76"/>
        <v/>
      </c>
      <c r="CT196" s="42" t="str">
        <f t="shared" si="77"/>
        <v/>
      </c>
      <c r="CU196" s="42" t="str">
        <f t="shared" si="78"/>
        <v/>
      </c>
      <c r="CV196" s="42" t="str">
        <f t="shared" si="79"/>
        <v/>
      </c>
      <c r="DB196" s="45"/>
      <c r="DH196" s="42" t="str">
        <f t="shared" si="80"/>
        <v/>
      </c>
      <c r="DI196" s="43" t="str">
        <f t="shared" si="81"/>
        <v/>
      </c>
      <c r="DK196" s="46" t="str">
        <f t="shared" si="82"/>
        <v/>
      </c>
      <c r="DQ196" s="42" t="str">
        <f>IF(AH196="","",IFERROR(ROUND(100*('Weighting Options'!$D$7*IF(ISNUMBER(CA196),CA196/3,0)+'Weighting Options'!$D$8*MIN(N(BL196),3)/3+'Weighting Options'!$D$9*IF(AP196="Community/Plenary-endorsed",1,IF(AP196="FGD-validated only",0.75,IF(AP196="Sub-community-specific",0.5,IF(AP196="Provisional/emerging",0.25,0))))+'Weighting Options'!$D$10*IF(ISNUMBER(K196),K196/3,0)+'Weighting Options'!$D$11*IF(CC196="",0.5,IF(CC196="OK",1,0.25))+'Weighting Options'!$D$12*IF(DK196="",0.5,IF(DK196="Agrees",1,IF(DK196="Opposite",0,0.5)))+'Weighting Options'!$D$13*MIN(N(BG196),3)/3+'Weighting Options'!$D$14*IF(AE196=1,1,0))/SUM('Weighting Options'!$D$7:$D$14),0),""))</f>
        <v/>
      </c>
      <c r="DR196" s="44" t="str">
        <f>IF(AH196="","",IFERROR(INDEX('Weighting Options'!$D$20:$D$27,VALUE(LEFT(TRIM(BU196),1))),1))</f>
        <v/>
      </c>
      <c r="DS196" s="44" t="str">
        <f t="shared" si="83"/>
        <v/>
      </c>
      <c r="DT196" s="42" t="str">
        <f>IF(AH196="","",IF(COUNTIFS($AH$12:AH196,AH196,$AI$12:AI196,AI196,$AM$12:AM196,AM196)=1,1,0))</f>
        <v/>
      </c>
    </row>
    <row r="197" spans="16:124" ht="12.75" customHeight="1" x14ac:dyDescent="0.35">
      <c r="P197" s="41"/>
      <c r="Q197" s="41"/>
      <c r="R197" s="41"/>
      <c r="S197" s="41"/>
      <c r="AH197" s="40"/>
      <c r="AP197" s="40"/>
      <c r="AS197" s="41"/>
      <c r="AT197" s="41"/>
      <c r="AW197" t="str">
        <f t="shared" si="56"/>
        <v/>
      </c>
      <c r="AX197" t="str">
        <f t="shared" si="57"/>
        <v/>
      </c>
      <c r="AY197" t="str">
        <f t="shared" si="58"/>
        <v/>
      </c>
      <c r="AZ197" s="40"/>
      <c r="BL197" s="47" t="str">
        <f t="shared" si="59"/>
        <v/>
      </c>
      <c r="BM197" s="47" t="str">
        <f t="shared" si="60"/>
        <v/>
      </c>
      <c r="BN197" s="47" t="str">
        <f t="shared" si="61"/>
        <v/>
      </c>
      <c r="BO197" s="47" t="str">
        <f t="shared" si="62"/>
        <v/>
      </c>
      <c r="BP197" s="47" t="str">
        <f t="shared" si="63"/>
        <v/>
      </c>
      <c r="BQ197" s="48" t="str">
        <f t="shared" si="64"/>
        <v/>
      </c>
      <c r="BR197" s="48" t="str">
        <f t="shared" si="65"/>
        <v/>
      </c>
      <c r="BS197" s="48" t="str">
        <f t="shared" si="66"/>
        <v/>
      </c>
      <c r="BT197" s="47" t="str">
        <f t="shared" si="67"/>
        <v/>
      </c>
      <c r="CA197" s="47" t="str">
        <f t="shared" si="68"/>
        <v/>
      </c>
      <c r="CB197" s="47" t="str">
        <f t="shared" si="69"/>
        <v/>
      </c>
      <c r="CC197" s="47" t="str">
        <f t="shared" si="70"/>
        <v/>
      </c>
      <c r="CD197" s="47" t="str">
        <f t="shared" si="71"/>
        <v/>
      </c>
      <c r="CE197" s="47" t="str">
        <f>IF(AH197="","",IF(OR(AI197&lt;&gt;'Seasonal Tercile Tally'!$B$3,AM197&lt;&gt;'Seasonal Tercile Tally'!$B$4),"Other site/ season",IF(DT197=0,"Excluded: duplicate (later row)",IF(N197&lt;&gt;1,"Excluded: not sighted",IF(AC197&lt;&gt;1,"Excluded: not confirmed",IF(AD197&lt;&gt;1,"Excluded: not approved",IF(AP197="Contested","Excluded: contested",IF(OR(U197="",U197=0),"Excluded: no tercile",IF(CB197="","Counted (simple tally only — no weight)","Counted")))))))))</f>
        <v/>
      </c>
      <c r="CF197" s="49" t="str">
        <f>IF(AH197="","",IFERROR(INDEX('Prior Multipliers'!$C$6:$C$70,MATCH(LEFT(AH197,10),'Prior Multipliers'!$A$6:$A$70,0)),IFERROR(INDEX('Prior Multipliers'!$C$6:$C$70,MATCH(LEFT(AH197,6),'Prior Multipliers'!$A$6:$A$70,0)),IFERROR(INDEX('Prior Multipliers'!$C$6:$C$70,MATCH(LEFT(AH197,2),'Prior Multipliers'!$A$6:$A$70,0)),1))))</f>
        <v/>
      </c>
      <c r="CG197" s="49" t="str">
        <f>IF(CB197="","",IF(AND('Seasonal Tercile Tally'!$B$5=1,BT197="Rating-based"),CB197*CF197,CB197))</f>
        <v/>
      </c>
      <c r="CH197" s="47">
        <f t="shared" si="72"/>
        <v>0</v>
      </c>
      <c r="CI197" s="45"/>
      <c r="CJ197" s="42" t="str">
        <f t="shared" si="73"/>
        <v/>
      </c>
      <c r="CM197" s="42" t="str">
        <f t="shared" si="74"/>
        <v/>
      </c>
      <c r="CP197" s="46" t="str">
        <f t="shared" si="75"/>
        <v/>
      </c>
      <c r="CS197" s="46" t="str">
        <f t="shared" si="76"/>
        <v/>
      </c>
      <c r="CT197" s="42" t="str">
        <f t="shared" si="77"/>
        <v/>
      </c>
      <c r="CU197" s="42" t="str">
        <f t="shared" si="78"/>
        <v/>
      </c>
      <c r="CV197" s="42" t="str">
        <f t="shared" si="79"/>
        <v/>
      </c>
      <c r="DB197" s="45"/>
      <c r="DH197" s="42" t="str">
        <f t="shared" si="80"/>
        <v/>
      </c>
      <c r="DI197" s="43" t="str">
        <f t="shared" si="81"/>
        <v/>
      </c>
      <c r="DK197" s="46" t="str">
        <f t="shared" si="82"/>
        <v/>
      </c>
      <c r="DQ197" s="42" t="str">
        <f>IF(AH197="","",IFERROR(ROUND(100*('Weighting Options'!$D$7*IF(ISNUMBER(CA197),CA197/3,0)+'Weighting Options'!$D$8*MIN(N(BL197),3)/3+'Weighting Options'!$D$9*IF(AP197="Community/Plenary-endorsed",1,IF(AP197="FGD-validated only",0.75,IF(AP197="Sub-community-specific",0.5,IF(AP197="Provisional/emerging",0.25,0))))+'Weighting Options'!$D$10*IF(ISNUMBER(K197),K197/3,0)+'Weighting Options'!$D$11*IF(CC197="",0.5,IF(CC197="OK",1,0.25))+'Weighting Options'!$D$12*IF(DK197="",0.5,IF(DK197="Agrees",1,IF(DK197="Opposite",0,0.5)))+'Weighting Options'!$D$13*MIN(N(BG197),3)/3+'Weighting Options'!$D$14*IF(AE197=1,1,0))/SUM('Weighting Options'!$D$7:$D$14),0),""))</f>
        <v/>
      </c>
      <c r="DR197" s="44" t="str">
        <f>IF(AH197="","",IFERROR(INDEX('Weighting Options'!$D$20:$D$27,VALUE(LEFT(TRIM(BU197),1))),1))</f>
        <v/>
      </c>
      <c r="DS197" s="44" t="str">
        <f t="shared" si="83"/>
        <v/>
      </c>
      <c r="DT197" s="42" t="str">
        <f>IF(AH197="","",IF(COUNTIFS($AH$12:AH197,AH197,$AI$12:AI197,AI197,$AM$12:AM197,AM197)=1,1,0))</f>
        <v/>
      </c>
    </row>
    <row r="198" spans="16:124" ht="12.75" customHeight="1" x14ac:dyDescent="0.35">
      <c r="P198" s="41"/>
      <c r="Q198" s="41"/>
      <c r="R198" s="41"/>
      <c r="S198" s="41"/>
      <c r="AH198" s="40"/>
      <c r="AP198" s="40"/>
      <c r="AS198" s="41"/>
      <c r="AT198" s="41"/>
      <c r="AW198" t="str">
        <f t="shared" si="56"/>
        <v/>
      </c>
      <c r="AX198" t="str">
        <f t="shared" si="57"/>
        <v/>
      </c>
      <c r="AY198" t="str">
        <f t="shared" si="58"/>
        <v/>
      </c>
      <c r="AZ198" s="40"/>
      <c r="BL198" s="47" t="str">
        <f t="shared" si="59"/>
        <v/>
      </c>
      <c r="BM198" s="47" t="str">
        <f t="shared" si="60"/>
        <v/>
      </c>
      <c r="BN198" s="47" t="str">
        <f t="shared" si="61"/>
        <v/>
      </c>
      <c r="BO198" s="47" t="str">
        <f t="shared" si="62"/>
        <v/>
      </c>
      <c r="BP198" s="47" t="str">
        <f t="shared" si="63"/>
        <v/>
      </c>
      <c r="BQ198" s="48" t="str">
        <f t="shared" si="64"/>
        <v/>
      </c>
      <c r="BR198" s="48" t="str">
        <f t="shared" si="65"/>
        <v/>
      </c>
      <c r="BS198" s="48" t="str">
        <f t="shared" si="66"/>
        <v/>
      </c>
      <c r="BT198" s="47" t="str">
        <f t="shared" si="67"/>
        <v/>
      </c>
      <c r="CA198" s="47" t="str">
        <f t="shared" si="68"/>
        <v/>
      </c>
      <c r="CB198" s="47" t="str">
        <f t="shared" si="69"/>
        <v/>
      </c>
      <c r="CC198" s="47" t="str">
        <f t="shared" si="70"/>
        <v/>
      </c>
      <c r="CD198" s="47" t="str">
        <f t="shared" si="71"/>
        <v/>
      </c>
      <c r="CE198" s="47" t="str">
        <f>IF(AH198="","",IF(OR(AI198&lt;&gt;'Seasonal Tercile Tally'!$B$3,AM198&lt;&gt;'Seasonal Tercile Tally'!$B$4),"Other site/ season",IF(DT198=0,"Excluded: duplicate (later row)",IF(N198&lt;&gt;1,"Excluded: not sighted",IF(AC198&lt;&gt;1,"Excluded: not confirmed",IF(AD198&lt;&gt;1,"Excluded: not approved",IF(AP198="Contested","Excluded: contested",IF(OR(U198="",U198=0),"Excluded: no tercile",IF(CB198="","Counted (simple tally only — no weight)","Counted")))))))))</f>
        <v/>
      </c>
      <c r="CF198" s="49" t="str">
        <f>IF(AH198="","",IFERROR(INDEX('Prior Multipliers'!$C$6:$C$70,MATCH(LEFT(AH198,10),'Prior Multipliers'!$A$6:$A$70,0)),IFERROR(INDEX('Prior Multipliers'!$C$6:$C$70,MATCH(LEFT(AH198,6),'Prior Multipliers'!$A$6:$A$70,0)),IFERROR(INDEX('Prior Multipliers'!$C$6:$C$70,MATCH(LEFT(AH198,2),'Prior Multipliers'!$A$6:$A$70,0)),1))))</f>
        <v/>
      </c>
      <c r="CG198" s="49" t="str">
        <f>IF(CB198="","",IF(AND('Seasonal Tercile Tally'!$B$5=1,BT198="Rating-based"),CB198*CF198,CB198))</f>
        <v/>
      </c>
      <c r="CH198" s="47">
        <f t="shared" si="72"/>
        <v>0</v>
      </c>
      <c r="CI198" s="45"/>
      <c r="CJ198" s="42" t="str">
        <f t="shared" si="73"/>
        <v/>
      </c>
      <c r="CM198" s="42" t="str">
        <f t="shared" si="74"/>
        <v/>
      </c>
      <c r="CP198" s="46" t="str">
        <f t="shared" si="75"/>
        <v/>
      </c>
      <c r="CS198" s="46" t="str">
        <f t="shared" si="76"/>
        <v/>
      </c>
      <c r="CT198" s="42" t="str">
        <f t="shared" si="77"/>
        <v/>
      </c>
      <c r="CU198" s="42" t="str">
        <f t="shared" si="78"/>
        <v/>
      </c>
      <c r="CV198" s="42" t="str">
        <f t="shared" si="79"/>
        <v/>
      </c>
      <c r="DB198" s="45"/>
      <c r="DH198" s="42" t="str">
        <f t="shared" si="80"/>
        <v/>
      </c>
      <c r="DI198" s="43" t="str">
        <f t="shared" si="81"/>
        <v/>
      </c>
      <c r="DK198" s="46" t="str">
        <f t="shared" si="82"/>
        <v/>
      </c>
      <c r="DQ198" s="42" t="str">
        <f>IF(AH198="","",IFERROR(ROUND(100*('Weighting Options'!$D$7*IF(ISNUMBER(CA198),CA198/3,0)+'Weighting Options'!$D$8*MIN(N(BL198),3)/3+'Weighting Options'!$D$9*IF(AP198="Community/Plenary-endorsed",1,IF(AP198="FGD-validated only",0.75,IF(AP198="Sub-community-specific",0.5,IF(AP198="Provisional/emerging",0.25,0))))+'Weighting Options'!$D$10*IF(ISNUMBER(K198),K198/3,0)+'Weighting Options'!$D$11*IF(CC198="",0.5,IF(CC198="OK",1,0.25))+'Weighting Options'!$D$12*IF(DK198="",0.5,IF(DK198="Agrees",1,IF(DK198="Opposite",0,0.5)))+'Weighting Options'!$D$13*MIN(N(BG198),3)/3+'Weighting Options'!$D$14*IF(AE198=1,1,0))/SUM('Weighting Options'!$D$7:$D$14),0),""))</f>
        <v/>
      </c>
      <c r="DR198" s="44" t="str">
        <f>IF(AH198="","",IFERROR(INDEX('Weighting Options'!$D$20:$D$27,VALUE(LEFT(TRIM(BU198),1))),1))</f>
        <v/>
      </c>
      <c r="DS198" s="44" t="str">
        <f t="shared" si="83"/>
        <v/>
      </c>
      <c r="DT198" s="42" t="str">
        <f>IF(AH198="","",IF(COUNTIFS($AH$12:AH198,AH198,$AI$12:AI198,AI198,$AM$12:AM198,AM198)=1,1,0))</f>
        <v/>
      </c>
    </row>
    <row r="199" spans="16:124" ht="12.75" customHeight="1" x14ac:dyDescent="0.35">
      <c r="P199" s="41"/>
      <c r="Q199" s="41"/>
      <c r="R199" s="41"/>
      <c r="S199" s="41"/>
      <c r="AH199" s="40"/>
      <c r="AP199" s="40"/>
      <c r="AS199" s="41"/>
      <c r="AT199" s="41"/>
      <c r="AW199" t="str">
        <f t="shared" si="56"/>
        <v/>
      </c>
      <c r="AX199" t="str">
        <f t="shared" si="57"/>
        <v/>
      </c>
      <c r="AY199" t="str">
        <f t="shared" si="58"/>
        <v/>
      </c>
      <c r="AZ199" s="40"/>
      <c r="BL199" s="47" t="str">
        <f t="shared" si="59"/>
        <v/>
      </c>
      <c r="BM199" s="47" t="str">
        <f t="shared" si="60"/>
        <v/>
      </c>
      <c r="BN199" s="47" t="str">
        <f t="shared" si="61"/>
        <v/>
      </c>
      <c r="BO199" s="47" t="str">
        <f t="shared" si="62"/>
        <v/>
      </c>
      <c r="BP199" s="47" t="str">
        <f t="shared" si="63"/>
        <v/>
      </c>
      <c r="BQ199" s="48" t="str">
        <f t="shared" si="64"/>
        <v/>
      </c>
      <c r="BR199" s="48" t="str">
        <f t="shared" si="65"/>
        <v/>
      </c>
      <c r="BS199" s="48" t="str">
        <f t="shared" si="66"/>
        <v/>
      </c>
      <c r="BT199" s="47" t="str">
        <f t="shared" si="67"/>
        <v/>
      </c>
      <c r="CA199" s="47" t="str">
        <f t="shared" si="68"/>
        <v/>
      </c>
      <c r="CB199" s="47" t="str">
        <f t="shared" si="69"/>
        <v/>
      </c>
      <c r="CC199" s="47" t="str">
        <f t="shared" si="70"/>
        <v/>
      </c>
      <c r="CD199" s="47" t="str">
        <f t="shared" si="71"/>
        <v/>
      </c>
      <c r="CE199" s="47" t="str">
        <f>IF(AH199="","",IF(OR(AI199&lt;&gt;'Seasonal Tercile Tally'!$B$3,AM199&lt;&gt;'Seasonal Tercile Tally'!$B$4),"Other site/ season",IF(DT199=0,"Excluded: duplicate (later row)",IF(N199&lt;&gt;1,"Excluded: not sighted",IF(AC199&lt;&gt;1,"Excluded: not confirmed",IF(AD199&lt;&gt;1,"Excluded: not approved",IF(AP199="Contested","Excluded: contested",IF(OR(U199="",U199=0),"Excluded: no tercile",IF(CB199="","Counted (simple tally only — no weight)","Counted")))))))))</f>
        <v/>
      </c>
      <c r="CF199" s="49" t="str">
        <f>IF(AH199="","",IFERROR(INDEX('Prior Multipliers'!$C$6:$C$70,MATCH(LEFT(AH199,10),'Prior Multipliers'!$A$6:$A$70,0)),IFERROR(INDEX('Prior Multipliers'!$C$6:$C$70,MATCH(LEFT(AH199,6),'Prior Multipliers'!$A$6:$A$70,0)),IFERROR(INDEX('Prior Multipliers'!$C$6:$C$70,MATCH(LEFT(AH199,2),'Prior Multipliers'!$A$6:$A$70,0)),1))))</f>
        <v/>
      </c>
      <c r="CG199" s="49" t="str">
        <f>IF(CB199="","",IF(AND('Seasonal Tercile Tally'!$B$5=1,BT199="Rating-based"),CB199*CF199,CB199))</f>
        <v/>
      </c>
      <c r="CH199" s="47">
        <f t="shared" si="72"/>
        <v>0</v>
      </c>
      <c r="CI199" s="45"/>
      <c r="CJ199" s="42" t="str">
        <f t="shared" si="73"/>
        <v/>
      </c>
      <c r="CM199" s="42" t="str">
        <f t="shared" si="74"/>
        <v/>
      </c>
      <c r="CP199" s="46" t="str">
        <f t="shared" si="75"/>
        <v/>
      </c>
      <c r="CS199" s="46" t="str">
        <f t="shared" si="76"/>
        <v/>
      </c>
      <c r="CT199" s="42" t="str">
        <f t="shared" si="77"/>
        <v/>
      </c>
      <c r="CU199" s="42" t="str">
        <f t="shared" si="78"/>
        <v/>
      </c>
      <c r="CV199" s="42" t="str">
        <f t="shared" si="79"/>
        <v/>
      </c>
      <c r="DB199" s="45"/>
      <c r="DH199" s="42" t="str">
        <f t="shared" si="80"/>
        <v/>
      </c>
      <c r="DI199" s="43" t="str">
        <f t="shared" si="81"/>
        <v/>
      </c>
      <c r="DK199" s="46" t="str">
        <f t="shared" si="82"/>
        <v/>
      </c>
      <c r="DQ199" s="42" t="str">
        <f>IF(AH199="","",IFERROR(ROUND(100*('Weighting Options'!$D$7*IF(ISNUMBER(CA199),CA199/3,0)+'Weighting Options'!$D$8*MIN(N(BL199),3)/3+'Weighting Options'!$D$9*IF(AP199="Community/Plenary-endorsed",1,IF(AP199="FGD-validated only",0.75,IF(AP199="Sub-community-specific",0.5,IF(AP199="Provisional/emerging",0.25,0))))+'Weighting Options'!$D$10*IF(ISNUMBER(K199),K199/3,0)+'Weighting Options'!$D$11*IF(CC199="",0.5,IF(CC199="OK",1,0.25))+'Weighting Options'!$D$12*IF(DK199="",0.5,IF(DK199="Agrees",1,IF(DK199="Opposite",0,0.5)))+'Weighting Options'!$D$13*MIN(N(BG199),3)/3+'Weighting Options'!$D$14*IF(AE199=1,1,0))/SUM('Weighting Options'!$D$7:$D$14),0),""))</f>
        <v/>
      </c>
      <c r="DR199" s="44" t="str">
        <f>IF(AH199="","",IFERROR(INDEX('Weighting Options'!$D$20:$D$27,VALUE(LEFT(TRIM(BU199),1))),1))</f>
        <v/>
      </c>
      <c r="DS199" s="44" t="str">
        <f t="shared" si="83"/>
        <v/>
      </c>
      <c r="DT199" s="42" t="str">
        <f>IF(AH199="","",IF(COUNTIFS($AH$12:AH199,AH199,$AI$12:AI199,AI199,$AM$12:AM199,AM199)=1,1,0))</f>
        <v/>
      </c>
    </row>
    <row r="200" spans="16:124" ht="12.75" customHeight="1" x14ac:dyDescent="0.35">
      <c r="P200" s="41"/>
      <c r="Q200" s="41"/>
      <c r="R200" s="41"/>
      <c r="S200" s="41"/>
      <c r="AH200" s="40"/>
      <c r="AP200" s="40"/>
      <c r="AS200" s="41"/>
      <c r="AT200" s="41"/>
      <c r="AW200" t="str">
        <f t="shared" si="56"/>
        <v/>
      </c>
      <c r="AX200" t="str">
        <f t="shared" si="57"/>
        <v/>
      </c>
      <c r="AY200" t="str">
        <f t="shared" si="58"/>
        <v/>
      </c>
      <c r="AZ200" s="40"/>
      <c r="BL200" s="47" t="str">
        <f t="shared" si="59"/>
        <v/>
      </c>
      <c r="BM200" s="47" t="str">
        <f t="shared" si="60"/>
        <v/>
      </c>
      <c r="BN200" s="47" t="str">
        <f t="shared" si="61"/>
        <v/>
      </c>
      <c r="BO200" s="47" t="str">
        <f t="shared" si="62"/>
        <v/>
      </c>
      <c r="BP200" s="47" t="str">
        <f t="shared" si="63"/>
        <v/>
      </c>
      <c r="BQ200" s="48" t="str">
        <f t="shared" si="64"/>
        <v/>
      </c>
      <c r="BR200" s="48" t="str">
        <f t="shared" si="65"/>
        <v/>
      </c>
      <c r="BS200" s="48" t="str">
        <f t="shared" si="66"/>
        <v/>
      </c>
      <c r="BT200" s="47" t="str">
        <f t="shared" si="67"/>
        <v/>
      </c>
      <c r="CA200" s="47" t="str">
        <f t="shared" si="68"/>
        <v/>
      </c>
      <c r="CB200" s="47" t="str">
        <f t="shared" si="69"/>
        <v/>
      </c>
      <c r="CC200" s="47" t="str">
        <f t="shared" si="70"/>
        <v/>
      </c>
      <c r="CD200" s="47" t="str">
        <f t="shared" si="71"/>
        <v/>
      </c>
      <c r="CE200" s="47" t="str">
        <f>IF(AH200="","",IF(OR(AI200&lt;&gt;'Seasonal Tercile Tally'!$B$3,AM200&lt;&gt;'Seasonal Tercile Tally'!$B$4),"Other site/ season",IF(DT200=0,"Excluded: duplicate (later row)",IF(N200&lt;&gt;1,"Excluded: not sighted",IF(AC200&lt;&gt;1,"Excluded: not confirmed",IF(AD200&lt;&gt;1,"Excluded: not approved",IF(AP200="Contested","Excluded: contested",IF(OR(U200="",U200=0),"Excluded: no tercile",IF(CB200="","Counted (simple tally only — no weight)","Counted")))))))))</f>
        <v/>
      </c>
      <c r="CF200" s="49" t="str">
        <f>IF(AH200="","",IFERROR(INDEX('Prior Multipliers'!$C$6:$C$70,MATCH(LEFT(AH200,10),'Prior Multipliers'!$A$6:$A$70,0)),IFERROR(INDEX('Prior Multipliers'!$C$6:$C$70,MATCH(LEFT(AH200,6),'Prior Multipliers'!$A$6:$A$70,0)),IFERROR(INDEX('Prior Multipliers'!$C$6:$C$70,MATCH(LEFT(AH200,2),'Prior Multipliers'!$A$6:$A$70,0)),1))))</f>
        <v/>
      </c>
      <c r="CG200" s="49" t="str">
        <f>IF(CB200="","",IF(AND('Seasonal Tercile Tally'!$B$5=1,BT200="Rating-based"),CB200*CF200,CB200))</f>
        <v/>
      </c>
      <c r="CH200" s="47">
        <f t="shared" si="72"/>
        <v>0</v>
      </c>
      <c r="CI200" s="45"/>
      <c r="CJ200" s="42" t="str">
        <f t="shared" si="73"/>
        <v/>
      </c>
      <c r="CM200" s="42" t="str">
        <f t="shared" si="74"/>
        <v/>
      </c>
      <c r="CP200" s="46" t="str">
        <f t="shared" si="75"/>
        <v/>
      </c>
      <c r="CS200" s="46" t="str">
        <f t="shared" si="76"/>
        <v/>
      </c>
      <c r="CT200" s="42" t="str">
        <f t="shared" si="77"/>
        <v/>
      </c>
      <c r="CU200" s="42" t="str">
        <f t="shared" si="78"/>
        <v/>
      </c>
      <c r="CV200" s="42" t="str">
        <f t="shared" si="79"/>
        <v/>
      </c>
      <c r="DB200" s="45"/>
      <c r="DH200" s="42" t="str">
        <f t="shared" si="80"/>
        <v/>
      </c>
      <c r="DI200" s="43" t="str">
        <f t="shared" si="81"/>
        <v/>
      </c>
      <c r="DK200" s="46" t="str">
        <f t="shared" si="82"/>
        <v/>
      </c>
      <c r="DQ200" s="42" t="str">
        <f>IF(AH200="","",IFERROR(ROUND(100*('Weighting Options'!$D$7*IF(ISNUMBER(CA200),CA200/3,0)+'Weighting Options'!$D$8*MIN(N(BL200),3)/3+'Weighting Options'!$D$9*IF(AP200="Community/Plenary-endorsed",1,IF(AP200="FGD-validated only",0.75,IF(AP200="Sub-community-specific",0.5,IF(AP200="Provisional/emerging",0.25,0))))+'Weighting Options'!$D$10*IF(ISNUMBER(K200),K200/3,0)+'Weighting Options'!$D$11*IF(CC200="",0.5,IF(CC200="OK",1,0.25))+'Weighting Options'!$D$12*IF(DK200="",0.5,IF(DK200="Agrees",1,IF(DK200="Opposite",0,0.5)))+'Weighting Options'!$D$13*MIN(N(BG200),3)/3+'Weighting Options'!$D$14*IF(AE200=1,1,0))/SUM('Weighting Options'!$D$7:$D$14),0),""))</f>
        <v/>
      </c>
      <c r="DR200" s="44" t="str">
        <f>IF(AH200="","",IFERROR(INDEX('Weighting Options'!$D$20:$D$27,VALUE(LEFT(TRIM(BU200),1))),1))</f>
        <v/>
      </c>
      <c r="DS200" s="44" t="str">
        <f t="shared" si="83"/>
        <v/>
      </c>
      <c r="DT200" s="42" t="str">
        <f>IF(AH200="","",IF(COUNTIFS($AH$12:AH200,AH200,$AI$12:AI200,AI200,$AM$12:AM200,AM200)=1,1,0))</f>
        <v/>
      </c>
    </row>
    <row r="201" spans="16:124" ht="12.75" customHeight="1" x14ac:dyDescent="0.35">
      <c r="P201" s="41"/>
      <c r="Q201" s="41"/>
      <c r="R201" s="41"/>
      <c r="S201" s="41"/>
      <c r="AH201" s="40"/>
      <c r="AP201" s="40"/>
      <c r="AS201" s="41"/>
      <c r="AT201" s="41"/>
      <c r="AW201" t="str">
        <f t="shared" si="56"/>
        <v/>
      </c>
      <c r="AX201" t="str">
        <f t="shared" si="57"/>
        <v/>
      </c>
      <c r="AY201" t="str">
        <f t="shared" si="58"/>
        <v/>
      </c>
      <c r="AZ201" s="40"/>
      <c r="BL201" s="47" t="str">
        <f t="shared" si="59"/>
        <v/>
      </c>
      <c r="BM201" s="47" t="str">
        <f t="shared" si="60"/>
        <v/>
      </c>
      <c r="BN201" s="47" t="str">
        <f t="shared" si="61"/>
        <v/>
      </c>
      <c r="BO201" s="47" t="str">
        <f t="shared" si="62"/>
        <v/>
      </c>
      <c r="BP201" s="47" t="str">
        <f t="shared" si="63"/>
        <v/>
      </c>
      <c r="BQ201" s="48" t="str">
        <f t="shared" si="64"/>
        <v/>
      </c>
      <c r="BR201" s="48" t="str">
        <f t="shared" si="65"/>
        <v/>
      </c>
      <c r="BS201" s="48" t="str">
        <f t="shared" si="66"/>
        <v/>
      </c>
      <c r="BT201" s="47" t="str">
        <f t="shared" si="67"/>
        <v/>
      </c>
      <c r="CA201" s="47" t="str">
        <f t="shared" si="68"/>
        <v/>
      </c>
      <c r="CB201" s="47" t="str">
        <f t="shared" si="69"/>
        <v/>
      </c>
      <c r="CC201" s="47" t="str">
        <f t="shared" si="70"/>
        <v/>
      </c>
      <c r="CD201" s="47" t="str">
        <f t="shared" si="71"/>
        <v/>
      </c>
      <c r="CE201" s="47" t="str">
        <f>IF(AH201="","",IF(OR(AI201&lt;&gt;'Seasonal Tercile Tally'!$B$3,AM201&lt;&gt;'Seasonal Tercile Tally'!$B$4),"Other site/ season",IF(DT201=0,"Excluded: duplicate (later row)",IF(N201&lt;&gt;1,"Excluded: not sighted",IF(AC201&lt;&gt;1,"Excluded: not confirmed",IF(AD201&lt;&gt;1,"Excluded: not approved",IF(AP201="Contested","Excluded: contested",IF(OR(U201="",U201=0),"Excluded: no tercile",IF(CB201="","Counted (simple tally only — no weight)","Counted")))))))))</f>
        <v/>
      </c>
      <c r="CF201" s="49" t="str">
        <f>IF(AH201="","",IFERROR(INDEX('Prior Multipliers'!$C$6:$C$70,MATCH(LEFT(AH201,10),'Prior Multipliers'!$A$6:$A$70,0)),IFERROR(INDEX('Prior Multipliers'!$C$6:$C$70,MATCH(LEFT(AH201,6),'Prior Multipliers'!$A$6:$A$70,0)),IFERROR(INDEX('Prior Multipliers'!$C$6:$C$70,MATCH(LEFT(AH201,2),'Prior Multipliers'!$A$6:$A$70,0)),1))))</f>
        <v/>
      </c>
      <c r="CG201" s="49" t="str">
        <f>IF(CB201="","",IF(AND('Seasonal Tercile Tally'!$B$5=1,BT201="Rating-based"),CB201*CF201,CB201))</f>
        <v/>
      </c>
      <c r="CH201" s="47">
        <f t="shared" si="72"/>
        <v>0</v>
      </c>
      <c r="CI201" s="45"/>
      <c r="CJ201" s="42" t="str">
        <f t="shared" si="73"/>
        <v/>
      </c>
      <c r="CM201" s="42" t="str">
        <f t="shared" si="74"/>
        <v/>
      </c>
      <c r="CP201" s="46" t="str">
        <f t="shared" si="75"/>
        <v/>
      </c>
      <c r="CS201" s="46" t="str">
        <f t="shared" si="76"/>
        <v/>
      </c>
      <c r="CT201" s="42" t="str">
        <f t="shared" si="77"/>
        <v/>
      </c>
      <c r="CU201" s="42" t="str">
        <f t="shared" si="78"/>
        <v/>
      </c>
      <c r="CV201" s="42" t="str">
        <f t="shared" si="79"/>
        <v/>
      </c>
      <c r="DB201" s="45"/>
      <c r="DH201" s="42" t="str">
        <f t="shared" si="80"/>
        <v/>
      </c>
      <c r="DI201" s="43" t="str">
        <f t="shared" si="81"/>
        <v/>
      </c>
      <c r="DK201" s="46" t="str">
        <f t="shared" si="82"/>
        <v/>
      </c>
      <c r="DQ201" s="42" t="str">
        <f>IF(AH201="","",IFERROR(ROUND(100*('Weighting Options'!$D$7*IF(ISNUMBER(CA201),CA201/3,0)+'Weighting Options'!$D$8*MIN(N(BL201),3)/3+'Weighting Options'!$D$9*IF(AP201="Community/Plenary-endorsed",1,IF(AP201="FGD-validated only",0.75,IF(AP201="Sub-community-specific",0.5,IF(AP201="Provisional/emerging",0.25,0))))+'Weighting Options'!$D$10*IF(ISNUMBER(K201),K201/3,0)+'Weighting Options'!$D$11*IF(CC201="",0.5,IF(CC201="OK",1,0.25))+'Weighting Options'!$D$12*IF(DK201="",0.5,IF(DK201="Agrees",1,IF(DK201="Opposite",0,0.5)))+'Weighting Options'!$D$13*MIN(N(BG201),3)/3+'Weighting Options'!$D$14*IF(AE201=1,1,0))/SUM('Weighting Options'!$D$7:$D$14),0),""))</f>
        <v/>
      </c>
      <c r="DR201" s="44" t="str">
        <f>IF(AH201="","",IFERROR(INDEX('Weighting Options'!$D$20:$D$27,VALUE(LEFT(TRIM(BU201),1))),1))</f>
        <v/>
      </c>
      <c r="DS201" s="44" t="str">
        <f t="shared" si="83"/>
        <v/>
      </c>
      <c r="DT201" s="42" t="str">
        <f>IF(AH201="","",IF(COUNTIFS($AH$12:AH201,AH201,$AI$12:AI201,AI201,$AM$12:AM201,AM201)=1,1,0))</f>
        <v/>
      </c>
    </row>
    <row r="202" spans="16:124" ht="12.75" customHeight="1" x14ac:dyDescent="0.35">
      <c r="P202" s="41"/>
      <c r="Q202" s="41"/>
      <c r="R202" s="41"/>
      <c r="S202" s="41"/>
      <c r="AH202" s="40"/>
      <c r="AP202" s="40"/>
      <c r="AS202" s="41"/>
      <c r="AT202" s="41"/>
      <c r="AW202" t="str">
        <f t="shared" si="56"/>
        <v/>
      </c>
      <c r="AX202" t="str">
        <f t="shared" si="57"/>
        <v/>
      </c>
      <c r="AY202" t="str">
        <f t="shared" si="58"/>
        <v/>
      </c>
      <c r="AZ202" s="40"/>
      <c r="BL202" s="47" t="str">
        <f t="shared" si="59"/>
        <v/>
      </c>
      <c r="BM202" s="47" t="str">
        <f t="shared" si="60"/>
        <v/>
      </c>
      <c r="BN202" s="47" t="str">
        <f t="shared" si="61"/>
        <v/>
      </c>
      <c r="BO202" s="47" t="str">
        <f t="shared" si="62"/>
        <v/>
      </c>
      <c r="BP202" s="47" t="str">
        <f t="shared" si="63"/>
        <v/>
      </c>
      <c r="BQ202" s="48" t="str">
        <f t="shared" si="64"/>
        <v/>
      </c>
      <c r="BR202" s="48" t="str">
        <f t="shared" si="65"/>
        <v/>
      </c>
      <c r="BS202" s="48" t="str">
        <f t="shared" si="66"/>
        <v/>
      </c>
      <c r="BT202" s="47" t="str">
        <f t="shared" si="67"/>
        <v/>
      </c>
      <c r="CA202" s="47" t="str">
        <f t="shared" si="68"/>
        <v/>
      </c>
      <c r="CB202" s="47" t="str">
        <f t="shared" si="69"/>
        <v/>
      </c>
      <c r="CC202" s="47" t="str">
        <f t="shared" si="70"/>
        <v/>
      </c>
      <c r="CD202" s="47" t="str">
        <f t="shared" si="71"/>
        <v/>
      </c>
      <c r="CE202" s="47" t="str">
        <f>IF(AH202="","",IF(OR(AI202&lt;&gt;'Seasonal Tercile Tally'!$B$3,AM202&lt;&gt;'Seasonal Tercile Tally'!$B$4),"Other site/ season",IF(DT202=0,"Excluded: duplicate (later row)",IF(N202&lt;&gt;1,"Excluded: not sighted",IF(AC202&lt;&gt;1,"Excluded: not confirmed",IF(AD202&lt;&gt;1,"Excluded: not approved",IF(AP202="Contested","Excluded: contested",IF(OR(U202="",U202=0),"Excluded: no tercile",IF(CB202="","Counted (simple tally only — no weight)","Counted")))))))))</f>
        <v/>
      </c>
      <c r="CF202" s="49" t="str">
        <f>IF(AH202="","",IFERROR(INDEX('Prior Multipliers'!$C$6:$C$70,MATCH(LEFT(AH202,10),'Prior Multipliers'!$A$6:$A$70,0)),IFERROR(INDEX('Prior Multipliers'!$C$6:$C$70,MATCH(LEFT(AH202,6),'Prior Multipliers'!$A$6:$A$70,0)),IFERROR(INDEX('Prior Multipliers'!$C$6:$C$70,MATCH(LEFT(AH202,2),'Prior Multipliers'!$A$6:$A$70,0)),1))))</f>
        <v/>
      </c>
      <c r="CG202" s="49" t="str">
        <f>IF(CB202="","",IF(AND('Seasonal Tercile Tally'!$B$5=1,BT202="Rating-based"),CB202*CF202,CB202))</f>
        <v/>
      </c>
      <c r="CH202" s="47">
        <f t="shared" si="72"/>
        <v>0</v>
      </c>
      <c r="CI202" s="45"/>
      <c r="CJ202" s="42" t="str">
        <f t="shared" si="73"/>
        <v/>
      </c>
      <c r="CM202" s="42" t="str">
        <f t="shared" si="74"/>
        <v/>
      </c>
      <c r="CP202" s="46" t="str">
        <f t="shared" si="75"/>
        <v/>
      </c>
      <c r="CS202" s="46" t="str">
        <f t="shared" si="76"/>
        <v/>
      </c>
      <c r="CT202" s="42" t="str">
        <f t="shared" si="77"/>
        <v/>
      </c>
      <c r="CU202" s="42" t="str">
        <f t="shared" si="78"/>
        <v/>
      </c>
      <c r="CV202" s="42" t="str">
        <f t="shared" si="79"/>
        <v/>
      </c>
      <c r="DB202" s="45"/>
      <c r="DH202" s="42" t="str">
        <f t="shared" si="80"/>
        <v/>
      </c>
      <c r="DI202" s="43" t="str">
        <f t="shared" si="81"/>
        <v/>
      </c>
      <c r="DK202" s="46" t="str">
        <f t="shared" si="82"/>
        <v/>
      </c>
      <c r="DQ202" s="42" t="str">
        <f>IF(AH202="","",IFERROR(ROUND(100*('Weighting Options'!$D$7*IF(ISNUMBER(CA202),CA202/3,0)+'Weighting Options'!$D$8*MIN(N(BL202),3)/3+'Weighting Options'!$D$9*IF(AP202="Community/Plenary-endorsed",1,IF(AP202="FGD-validated only",0.75,IF(AP202="Sub-community-specific",0.5,IF(AP202="Provisional/emerging",0.25,0))))+'Weighting Options'!$D$10*IF(ISNUMBER(K202),K202/3,0)+'Weighting Options'!$D$11*IF(CC202="",0.5,IF(CC202="OK",1,0.25))+'Weighting Options'!$D$12*IF(DK202="",0.5,IF(DK202="Agrees",1,IF(DK202="Opposite",0,0.5)))+'Weighting Options'!$D$13*MIN(N(BG202),3)/3+'Weighting Options'!$D$14*IF(AE202=1,1,0))/SUM('Weighting Options'!$D$7:$D$14),0),""))</f>
        <v/>
      </c>
      <c r="DR202" s="44" t="str">
        <f>IF(AH202="","",IFERROR(INDEX('Weighting Options'!$D$20:$D$27,VALUE(LEFT(TRIM(BU202),1))),1))</f>
        <v/>
      </c>
      <c r="DS202" s="44" t="str">
        <f t="shared" si="83"/>
        <v/>
      </c>
      <c r="DT202" s="42" t="str">
        <f>IF(AH202="","",IF(COUNTIFS($AH$12:AH202,AH202,$AI$12:AI202,AI202,$AM$12:AM202,AM202)=1,1,0))</f>
        <v/>
      </c>
    </row>
    <row r="203" spans="16:124" ht="12.75" customHeight="1" x14ac:dyDescent="0.35">
      <c r="P203" s="41"/>
      <c r="Q203" s="41"/>
      <c r="R203" s="41"/>
      <c r="S203" s="41"/>
      <c r="AH203" s="40"/>
      <c r="AP203" s="40"/>
      <c r="AS203" s="41"/>
      <c r="AT203" s="41"/>
      <c r="AW203" t="str">
        <f t="shared" si="56"/>
        <v/>
      </c>
      <c r="AX203" t="str">
        <f t="shared" si="57"/>
        <v/>
      </c>
      <c r="AY203" t="str">
        <f t="shared" si="58"/>
        <v/>
      </c>
      <c r="AZ203" s="40"/>
      <c r="BL203" s="47" t="str">
        <f t="shared" si="59"/>
        <v/>
      </c>
      <c r="BM203" s="47" t="str">
        <f t="shared" si="60"/>
        <v/>
      </c>
      <c r="BN203" s="47" t="str">
        <f t="shared" si="61"/>
        <v/>
      </c>
      <c r="BO203" s="47" t="str">
        <f t="shared" si="62"/>
        <v/>
      </c>
      <c r="BP203" s="47" t="str">
        <f t="shared" si="63"/>
        <v/>
      </c>
      <c r="BQ203" s="48" t="str">
        <f t="shared" si="64"/>
        <v/>
      </c>
      <c r="BR203" s="48" t="str">
        <f t="shared" si="65"/>
        <v/>
      </c>
      <c r="BS203" s="48" t="str">
        <f t="shared" si="66"/>
        <v/>
      </c>
      <c r="BT203" s="47" t="str">
        <f t="shared" si="67"/>
        <v/>
      </c>
      <c r="CA203" s="47" t="str">
        <f t="shared" si="68"/>
        <v/>
      </c>
      <c r="CB203" s="47" t="str">
        <f t="shared" si="69"/>
        <v/>
      </c>
      <c r="CC203" s="47" t="str">
        <f t="shared" si="70"/>
        <v/>
      </c>
      <c r="CD203" s="47" t="str">
        <f t="shared" si="71"/>
        <v/>
      </c>
      <c r="CE203" s="47" t="str">
        <f>IF(AH203="","",IF(OR(AI203&lt;&gt;'Seasonal Tercile Tally'!$B$3,AM203&lt;&gt;'Seasonal Tercile Tally'!$B$4),"Other site/ season",IF(DT203=0,"Excluded: duplicate (later row)",IF(N203&lt;&gt;1,"Excluded: not sighted",IF(AC203&lt;&gt;1,"Excluded: not confirmed",IF(AD203&lt;&gt;1,"Excluded: not approved",IF(AP203="Contested","Excluded: contested",IF(OR(U203="",U203=0),"Excluded: no tercile",IF(CB203="","Counted (simple tally only — no weight)","Counted")))))))))</f>
        <v/>
      </c>
      <c r="CF203" s="49" t="str">
        <f>IF(AH203="","",IFERROR(INDEX('Prior Multipliers'!$C$6:$C$70,MATCH(LEFT(AH203,10),'Prior Multipliers'!$A$6:$A$70,0)),IFERROR(INDEX('Prior Multipliers'!$C$6:$C$70,MATCH(LEFT(AH203,6),'Prior Multipliers'!$A$6:$A$70,0)),IFERROR(INDEX('Prior Multipliers'!$C$6:$C$70,MATCH(LEFT(AH203,2),'Prior Multipliers'!$A$6:$A$70,0)),1))))</f>
        <v/>
      </c>
      <c r="CG203" s="49" t="str">
        <f>IF(CB203="","",IF(AND('Seasonal Tercile Tally'!$B$5=1,BT203="Rating-based"),CB203*CF203,CB203))</f>
        <v/>
      </c>
      <c r="CH203" s="47">
        <f t="shared" si="72"/>
        <v>0</v>
      </c>
      <c r="CI203" s="45"/>
      <c r="CJ203" s="42" t="str">
        <f t="shared" si="73"/>
        <v/>
      </c>
      <c r="CM203" s="42" t="str">
        <f t="shared" si="74"/>
        <v/>
      </c>
      <c r="CP203" s="46" t="str">
        <f t="shared" si="75"/>
        <v/>
      </c>
      <c r="CS203" s="46" t="str">
        <f t="shared" si="76"/>
        <v/>
      </c>
      <c r="CT203" s="42" t="str">
        <f t="shared" si="77"/>
        <v/>
      </c>
      <c r="CU203" s="42" t="str">
        <f t="shared" si="78"/>
        <v/>
      </c>
      <c r="CV203" s="42" t="str">
        <f t="shared" si="79"/>
        <v/>
      </c>
      <c r="DB203" s="45"/>
      <c r="DH203" s="42" t="str">
        <f t="shared" si="80"/>
        <v/>
      </c>
      <c r="DI203" s="43" t="str">
        <f t="shared" si="81"/>
        <v/>
      </c>
      <c r="DK203" s="46" t="str">
        <f t="shared" si="82"/>
        <v/>
      </c>
      <c r="DQ203" s="42" t="str">
        <f>IF(AH203="","",IFERROR(ROUND(100*('Weighting Options'!$D$7*IF(ISNUMBER(CA203),CA203/3,0)+'Weighting Options'!$D$8*MIN(N(BL203),3)/3+'Weighting Options'!$D$9*IF(AP203="Community/Plenary-endorsed",1,IF(AP203="FGD-validated only",0.75,IF(AP203="Sub-community-specific",0.5,IF(AP203="Provisional/emerging",0.25,0))))+'Weighting Options'!$D$10*IF(ISNUMBER(K203),K203/3,0)+'Weighting Options'!$D$11*IF(CC203="",0.5,IF(CC203="OK",1,0.25))+'Weighting Options'!$D$12*IF(DK203="",0.5,IF(DK203="Agrees",1,IF(DK203="Opposite",0,0.5)))+'Weighting Options'!$D$13*MIN(N(BG203),3)/3+'Weighting Options'!$D$14*IF(AE203=1,1,0))/SUM('Weighting Options'!$D$7:$D$14),0),""))</f>
        <v/>
      </c>
      <c r="DR203" s="44" t="str">
        <f>IF(AH203="","",IFERROR(INDEX('Weighting Options'!$D$20:$D$27,VALUE(LEFT(TRIM(BU203),1))),1))</f>
        <v/>
      </c>
      <c r="DS203" s="44" t="str">
        <f t="shared" si="83"/>
        <v/>
      </c>
      <c r="DT203" s="42" t="str">
        <f>IF(AH203="","",IF(COUNTIFS($AH$12:AH203,AH203,$AI$12:AI203,AI203,$AM$12:AM203,AM203)=1,1,0))</f>
        <v/>
      </c>
    </row>
    <row r="204" spans="16:124" ht="12.75" customHeight="1" x14ac:dyDescent="0.35">
      <c r="P204" s="41"/>
      <c r="Q204" s="41"/>
      <c r="R204" s="41"/>
      <c r="S204" s="41"/>
      <c r="AH204" s="40"/>
      <c r="AP204" s="40"/>
      <c r="AS204" s="41"/>
      <c r="AT204" s="41"/>
      <c r="AW204" t="str">
        <f t="shared" ref="AW204:AW267" si="84">IF(OR(AS204="",P204=""),"",IF(AS204&lt;P204,"Early",IF(AS204&gt;IF(Q204="",P204,Q204),"Late","Within window")))</f>
        <v/>
      </c>
      <c r="AX204" t="str">
        <f t="shared" ref="AX204:AX267" si="85">IF(OR(AT204="",R204=""),"",IF(AT204&lt;R204,"Early",IF(AT204&gt;IF(S204="",R204,S204),"Late","Within window")))</f>
        <v/>
      </c>
      <c r="AY204" t="str">
        <f t="shared" ref="AY204:AY267" si="86">IF(OR(AU204="",T204="",T204=0),"",IF(AU204=T204,"Matched",IF(ABS(AU204-T204)=1,"Off by one class","Missed")))</f>
        <v/>
      </c>
      <c r="AZ204" s="40"/>
      <c r="BL204" s="47" t="str">
        <f t="shared" ref="BL204:BL267" si="87">IF(AH204="","",COUNTIFS($AH$12:$AH$500,AH204,$AC$12:$AC$500,1,$AD$12:$AD$500,1,$DT$12:$DT$500,1))</f>
        <v/>
      </c>
      <c r="BM204" s="47" t="str">
        <f t="shared" ref="BM204:BM267" si="88">IF(AH204="","",BN204+BO204+BP204)</f>
        <v/>
      </c>
      <c r="BN204" s="47" t="str">
        <f t="shared" ref="BN204:BN267" si="89">IF(AH204="","",COUNTIFS($AH$12:$AH$500,AH204,$AZ$12:$AZ$500,"Hit",$DT$12:$DT$500,1))</f>
        <v/>
      </c>
      <c r="BO204" s="47" t="str">
        <f t="shared" ref="BO204:BO267" si="90">IF(AH204="","",COUNTIFS($AH$12:$AH$500,AH204,$AZ$12:$AZ$500,"Miss",$DT$12:$DT$500,1))</f>
        <v/>
      </c>
      <c r="BP204" s="47" t="str">
        <f t="shared" ref="BP204:BP267" si="91">IF(AH204="","",COUNTIFS($AH$12:$AH$500,AH204,$AZ$12:$AZ$500,"False Start",$DT$12:$DT$500,1))</f>
        <v/>
      </c>
      <c r="BQ204" s="48" t="str">
        <f t="shared" ref="BQ204:BQ267" si="92">IF(OR(AH204="",BM204="",BM204=0),"",BN204/BM204)</f>
        <v/>
      </c>
      <c r="BR204" s="48" t="str">
        <f t="shared" ref="BR204:BR267" si="93">IF(OR(AH204="",BM204="",BM204=0),"",BO204/BM204)</f>
        <v/>
      </c>
      <c r="BS204" s="48" t="str">
        <f t="shared" ref="BS204:BS267" si="94">IF(OR(AH204="",BM204="",BM204=0),"",BP204/BM204)</f>
        <v/>
      </c>
      <c r="BT204" s="47" t="str">
        <f t="shared" ref="BT204:BT267" si="95">IF(AH204="","",IF(BM204&gt;=3,"Hit-rate-based","Rating-based"))</f>
        <v/>
      </c>
      <c r="CA204" s="47" t="str">
        <f t="shared" ref="CA204:CA267" si="96">IF(AH204="","",IF(BT204="Hit-rate-based",MIN(IF(BL204&lt;2,2,3),IF(BQ204&gt;=0.7,3,IF(BQ204&gt;=0.4,2,1))),IF(OR(M204="",M204=0),"",MIN(IF(BL204&lt;2,2,3),M204))))</f>
        <v/>
      </c>
      <c r="CB204" s="47" t="str">
        <f t="shared" ref="CB204:CB267" si="97">IF(OR(AH204="",CA204=""),"",CA204*IF(OR(V204="",V204=0),1,V204))</f>
        <v/>
      </c>
      <c r="CC204" s="47" t="str">
        <f t="shared" ref="CC204:CC267" si="98">IF(OR(AH204="",L204="",M204="",L204=0,M204=0),"",IF(ABS(L204-M204)&gt;=2,"FLAG: Review — large swing","OK"))</f>
        <v/>
      </c>
      <c r="CD204" s="47" t="str">
        <f t="shared" ref="CD204:CD267" si="99">IF(AH204="","",IF(COUNTIFS($AH$12:$AH$500,AH204,$AI$12:$AI$500,AI204,$AM$12:$AM$500,AM204)&gt;1,"DUPLICATE: same ID, site and season",IF(AND(N204=1,U204&lt;&gt;"",U204&lt;&gt;0,OR(V204="",V204=0)),"Check: decision relevance missing","OK")))</f>
        <v/>
      </c>
      <c r="CE204" s="47" t="str">
        <f>IF(AH204="","",IF(OR(AI204&lt;&gt;'Seasonal Tercile Tally'!$B$3,AM204&lt;&gt;'Seasonal Tercile Tally'!$B$4),"Other site/ season",IF(DT204=0,"Excluded: duplicate (later row)",IF(N204&lt;&gt;1,"Excluded: not sighted",IF(AC204&lt;&gt;1,"Excluded: not confirmed",IF(AD204&lt;&gt;1,"Excluded: not approved",IF(AP204="Contested","Excluded: contested",IF(OR(U204="",U204=0),"Excluded: no tercile",IF(CB204="","Counted (simple tally only — no weight)","Counted")))))))))</f>
        <v/>
      </c>
      <c r="CF204" s="49" t="str">
        <f>IF(AH204="","",IFERROR(INDEX('Prior Multipliers'!$C$6:$C$70,MATCH(LEFT(AH204,10),'Prior Multipliers'!$A$6:$A$70,0)),IFERROR(INDEX('Prior Multipliers'!$C$6:$C$70,MATCH(LEFT(AH204,6),'Prior Multipliers'!$A$6:$A$70,0)),IFERROR(INDEX('Prior Multipliers'!$C$6:$C$70,MATCH(LEFT(AH204,2),'Prior Multipliers'!$A$6:$A$70,0)),1))))</f>
        <v/>
      </c>
      <c r="CG204" s="49" t="str">
        <f>IF(CB204="","",IF(AND('Seasonal Tercile Tally'!$B$5=1,BT204="Rating-based"),CB204*CF204,CB204))</f>
        <v/>
      </c>
      <c r="CH204" s="47">
        <f t="shared" ref="CH204:CH267" si="100">IF(ISNUMBER(CG204),CG204,0)</f>
        <v>0</v>
      </c>
      <c r="CI204" s="45"/>
      <c r="CJ204" s="42" t="str">
        <f t="shared" ref="CJ204:CJ267" si="101">IF(CI204="","",MONTH(CI204))</f>
        <v/>
      </c>
      <c r="CM204" s="42" t="str">
        <f t="shared" ref="CM204:CM267" si="102">IF(OR(CJ204="",CL204=""),"",MOD(CJ204-CL204+6,12)-6)</f>
        <v/>
      </c>
      <c r="CP204" s="46" t="str">
        <f t="shared" ref="CP204:CP267" si="103">IF(AH204="","",CHOOSE(MIN(IF(CM204="",0,IF(ABS(CM204)&gt;=1,1,0))+IF(LEFT(CC204,4)="FLAG",1,0)+IF(OR(CN204="",CN204="No change",CN204="Not sure"),0,1)+IF(AND(ISNUMBER(L204),ISNUMBER(M204)),IF(AND(M204&gt;0,L204-M204&gt;=1),1,0),0)+IF(N(BM204)&gt;=3,IF(N(BQ204)&lt;0.4,1,0),0),2)+1,"No change signal","Watch: one change signal","STRONG: possible climate-change impact — review"))</f>
        <v/>
      </c>
      <c r="CS204" s="46" t="str">
        <f t="shared" ref="CS204:CS267" si="104">IF(CR204="","",IF(CR204&gt;=35,3,IF(CR204&gt;=20,2,1)))</f>
        <v/>
      </c>
      <c r="CT204" s="42" t="str">
        <f t="shared" ref="CT204:CT267" si="105">IF(OR(CS204="",CQ204="",CQ204=0),"",IF(CQ204=CS204,"Matched",IF(ABS(CQ204-CS204)=1,"Off by one class","Missed")))</f>
        <v/>
      </c>
      <c r="CU204" s="42" t="str">
        <f t="shared" ref="CU204:CU267" si="106">IF(OR(CI204="",P204=""),"",IF(P204-CI204&lt;0,"",P204-CI204))</f>
        <v/>
      </c>
      <c r="CV204" s="42" t="str">
        <f t="shared" ref="CV204:CV267" si="107">IF(CU204="","",IF(CU204&gt;=60,"Strategic (season)",IF(CU204&gt;=7,"Tactical (1 week–2 months)",IF(CU204&gt;=3,"Operational (3–6 days)","Emergency (0–2 days)"))))</f>
        <v/>
      </c>
      <c r="DB204" s="45"/>
      <c r="DH204" s="42" t="str">
        <f t="shared" ref="DH204:DH267" si="108">IF(OR(DB204="",P204=""),"",P204-DB204)</f>
        <v/>
      </c>
      <c r="DI204" s="43" t="str">
        <f t="shared" ref="DI204:DI267" si="109">IF(OR(DD204="",DE204=""),"",IF(DD204=0,"",DE204/DD204))</f>
        <v/>
      </c>
      <c r="DK204" s="46" t="str">
        <f t="shared" ref="DK204:DK267" si="110">IF(OR(DJ204="",U204="",U204=0),"",IF(U204=DJ204,"Agrees",IF(ABS(U204-DJ204)=1,"Differs by one class","Opposite")))</f>
        <v/>
      </c>
      <c r="DQ204" s="42" t="str">
        <f>IF(AH204="","",IFERROR(ROUND(100*('Weighting Options'!$D$7*IF(ISNUMBER(CA204),CA204/3,0)+'Weighting Options'!$D$8*MIN(N(BL204),3)/3+'Weighting Options'!$D$9*IF(AP204="Community/Plenary-endorsed",1,IF(AP204="FGD-validated only",0.75,IF(AP204="Sub-community-specific",0.5,IF(AP204="Provisional/emerging",0.25,0))))+'Weighting Options'!$D$10*IF(ISNUMBER(K204),K204/3,0)+'Weighting Options'!$D$11*IF(CC204="",0.5,IF(CC204="OK",1,0.25))+'Weighting Options'!$D$12*IF(DK204="",0.5,IF(DK204="Agrees",1,IF(DK204="Opposite",0,0.5)))+'Weighting Options'!$D$13*MIN(N(BG204),3)/3+'Weighting Options'!$D$14*IF(AE204=1,1,0))/SUM('Weighting Options'!$D$7:$D$14),0),""))</f>
        <v/>
      </c>
      <c r="DR204" s="44" t="str">
        <f>IF(AH204="","",IFERROR(INDEX('Weighting Options'!$D$20:$D$27,VALUE(LEFT(TRIM(BU204),1))),1))</f>
        <v/>
      </c>
      <c r="DS204" s="44" t="str">
        <f t="shared" ref="DS204:DS267" si="111">IF(OR(CG204="",DR204=""),"",CG204*DR204)</f>
        <v/>
      </c>
      <c r="DT204" s="42" t="str">
        <f>IF(AH204="","",IF(COUNTIFS($AH$12:AH204,AH204,$AI$12:AI204,AI204,$AM$12:AM204,AM204)=1,1,0))</f>
        <v/>
      </c>
    </row>
    <row r="205" spans="16:124" ht="12.75" customHeight="1" x14ac:dyDescent="0.35">
      <c r="P205" s="41"/>
      <c r="Q205" s="41"/>
      <c r="R205" s="41"/>
      <c r="S205" s="41"/>
      <c r="AH205" s="40"/>
      <c r="AP205" s="40"/>
      <c r="AS205" s="41"/>
      <c r="AT205" s="41"/>
      <c r="AW205" t="str">
        <f t="shared" si="84"/>
        <v/>
      </c>
      <c r="AX205" t="str">
        <f t="shared" si="85"/>
        <v/>
      </c>
      <c r="AY205" t="str">
        <f t="shared" si="86"/>
        <v/>
      </c>
      <c r="AZ205" s="40"/>
      <c r="BL205" s="47" t="str">
        <f t="shared" si="87"/>
        <v/>
      </c>
      <c r="BM205" s="47" t="str">
        <f t="shared" si="88"/>
        <v/>
      </c>
      <c r="BN205" s="47" t="str">
        <f t="shared" si="89"/>
        <v/>
      </c>
      <c r="BO205" s="47" t="str">
        <f t="shared" si="90"/>
        <v/>
      </c>
      <c r="BP205" s="47" t="str">
        <f t="shared" si="91"/>
        <v/>
      </c>
      <c r="BQ205" s="48" t="str">
        <f t="shared" si="92"/>
        <v/>
      </c>
      <c r="BR205" s="48" t="str">
        <f t="shared" si="93"/>
        <v/>
      </c>
      <c r="BS205" s="48" t="str">
        <f t="shared" si="94"/>
        <v/>
      </c>
      <c r="BT205" s="47" t="str">
        <f t="shared" si="95"/>
        <v/>
      </c>
      <c r="CA205" s="47" t="str">
        <f t="shared" si="96"/>
        <v/>
      </c>
      <c r="CB205" s="47" t="str">
        <f t="shared" si="97"/>
        <v/>
      </c>
      <c r="CC205" s="47" t="str">
        <f t="shared" si="98"/>
        <v/>
      </c>
      <c r="CD205" s="47" t="str">
        <f t="shared" si="99"/>
        <v/>
      </c>
      <c r="CE205" s="47" t="str">
        <f>IF(AH205="","",IF(OR(AI205&lt;&gt;'Seasonal Tercile Tally'!$B$3,AM205&lt;&gt;'Seasonal Tercile Tally'!$B$4),"Other site/ season",IF(DT205=0,"Excluded: duplicate (later row)",IF(N205&lt;&gt;1,"Excluded: not sighted",IF(AC205&lt;&gt;1,"Excluded: not confirmed",IF(AD205&lt;&gt;1,"Excluded: not approved",IF(AP205="Contested","Excluded: contested",IF(OR(U205="",U205=0),"Excluded: no tercile",IF(CB205="","Counted (simple tally only — no weight)","Counted")))))))))</f>
        <v/>
      </c>
      <c r="CF205" s="49" t="str">
        <f>IF(AH205="","",IFERROR(INDEX('Prior Multipliers'!$C$6:$C$70,MATCH(LEFT(AH205,10),'Prior Multipliers'!$A$6:$A$70,0)),IFERROR(INDEX('Prior Multipliers'!$C$6:$C$70,MATCH(LEFT(AH205,6),'Prior Multipliers'!$A$6:$A$70,0)),IFERROR(INDEX('Prior Multipliers'!$C$6:$C$70,MATCH(LEFT(AH205,2),'Prior Multipliers'!$A$6:$A$70,0)),1))))</f>
        <v/>
      </c>
      <c r="CG205" s="49" t="str">
        <f>IF(CB205="","",IF(AND('Seasonal Tercile Tally'!$B$5=1,BT205="Rating-based"),CB205*CF205,CB205))</f>
        <v/>
      </c>
      <c r="CH205" s="47">
        <f t="shared" si="100"/>
        <v>0</v>
      </c>
      <c r="CI205" s="45"/>
      <c r="CJ205" s="42" t="str">
        <f t="shared" si="101"/>
        <v/>
      </c>
      <c r="CM205" s="42" t="str">
        <f t="shared" si="102"/>
        <v/>
      </c>
      <c r="CP205" s="46" t="str">
        <f t="shared" si="103"/>
        <v/>
      </c>
      <c r="CS205" s="46" t="str">
        <f t="shared" si="104"/>
        <v/>
      </c>
      <c r="CT205" s="42" t="str">
        <f t="shared" si="105"/>
        <v/>
      </c>
      <c r="CU205" s="42" t="str">
        <f t="shared" si="106"/>
        <v/>
      </c>
      <c r="CV205" s="42" t="str">
        <f t="shared" si="107"/>
        <v/>
      </c>
      <c r="DB205" s="45"/>
      <c r="DH205" s="42" t="str">
        <f t="shared" si="108"/>
        <v/>
      </c>
      <c r="DI205" s="43" t="str">
        <f t="shared" si="109"/>
        <v/>
      </c>
      <c r="DK205" s="46" t="str">
        <f t="shared" si="110"/>
        <v/>
      </c>
      <c r="DQ205" s="42" t="str">
        <f>IF(AH205="","",IFERROR(ROUND(100*('Weighting Options'!$D$7*IF(ISNUMBER(CA205),CA205/3,0)+'Weighting Options'!$D$8*MIN(N(BL205),3)/3+'Weighting Options'!$D$9*IF(AP205="Community/Plenary-endorsed",1,IF(AP205="FGD-validated only",0.75,IF(AP205="Sub-community-specific",0.5,IF(AP205="Provisional/emerging",0.25,0))))+'Weighting Options'!$D$10*IF(ISNUMBER(K205),K205/3,0)+'Weighting Options'!$D$11*IF(CC205="",0.5,IF(CC205="OK",1,0.25))+'Weighting Options'!$D$12*IF(DK205="",0.5,IF(DK205="Agrees",1,IF(DK205="Opposite",0,0.5)))+'Weighting Options'!$D$13*MIN(N(BG205),3)/3+'Weighting Options'!$D$14*IF(AE205=1,1,0))/SUM('Weighting Options'!$D$7:$D$14),0),""))</f>
        <v/>
      </c>
      <c r="DR205" s="44" t="str">
        <f>IF(AH205="","",IFERROR(INDEX('Weighting Options'!$D$20:$D$27,VALUE(LEFT(TRIM(BU205),1))),1))</f>
        <v/>
      </c>
      <c r="DS205" s="44" t="str">
        <f t="shared" si="111"/>
        <v/>
      </c>
      <c r="DT205" s="42" t="str">
        <f>IF(AH205="","",IF(COUNTIFS($AH$12:AH205,AH205,$AI$12:AI205,AI205,$AM$12:AM205,AM205)=1,1,0))</f>
        <v/>
      </c>
    </row>
    <row r="206" spans="16:124" ht="12.75" customHeight="1" x14ac:dyDescent="0.35">
      <c r="P206" s="41"/>
      <c r="Q206" s="41"/>
      <c r="R206" s="41"/>
      <c r="S206" s="41"/>
      <c r="AH206" s="40"/>
      <c r="AP206" s="40"/>
      <c r="AS206" s="41"/>
      <c r="AT206" s="41"/>
      <c r="AW206" t="str">
        <f t="shared" si="84"/>
        <v/>
      </c>
      <c r="AX206" t="str">
        <f t="shared" si="85"/>
        <v/>
      </c>
      <c r="AY206" t="str">
        <f t="shared" si="86"/>
        <v/>
      </c>
      <c r="AZ206" s="40"/>
      <c r="BL206" s="47" t="str">
        <f t="shared" si="87"/>
        <v/>
      </c>
      <c r="BM206" s="47" t="str">
        <f t="shared" si="88"/>
        <v/>
      </c>
      <c r="BN206" s="47" t="str">
        <f t="shared" si="89"/>
        <v/>
      </c>
      <c r="BO206" s="47" t="str">
        <f t="shared" si="90"/>
        <v/>
      </c>
      <c r="BP206" s="47" t="str">
        <f t="shared" si="91"/>
        <v/>
      </c>
      <c r="BQ206" s="48" t="str">
        <f t="shared" si="92"/>
        <v/>
      </c>
      <c r="BR206" s="48" t="str">
        <f t="shared" si="93"/>
        <v/>
      </c>
      <c r="BS206" s="48" t="str">
        <f t="shared" si="94"/>
        <v/>
      </c>
      <c r="BT206" s="47" t="str">
        <f t="shared" si="95"/>
        <v/>
      </c>
      <c r="CA206" s="47" t="str">
        <f t="shared" si="96"/>
        <v/>
      </c>
      <c r="CB206" s="47" t="str">
        <f t="shared" si="97"/>
        <v/>
      </c>
      <c r="CC206" s="47" t="str">
        <f t="shared" si="98"/>
        <v/>
      </c>
      <c r="CD206" s="47" t="str">
        <f t="shared" si="99"/>
        <v/>
      </c>
      <c r="CE206" s="47" t="str">
        <f>IF(AH206="","",IF(OR(AI206&lt;&gt;'Seasonal Tercile Tally'!$B$3,AM206&lt;&gt;'Seasonal Tercile Tally'!$B$4),"Other site/ season",IF(DT206=0,"Excluded: duplicate (later row)",IF(N206&lt;&gt;1,"Excluded: not sighted",IF(AC206&lt;&gt;1,"Excluded: not confirmed",IF(AD206&lt;&gt;1,"Excluded: not approved",IF(AP206="Contested","Excluded: contested",IF(OR(U206="",U206=0),"Excluded: no tercile",IF(CB206="","Counted (simple tally only — no weight)","Counted")))))))))</f>
        <v/>
      </c>
      <c r="CF206" s="49" t="str">
        <f>IF(AH206="","",IFERROR(INDEX('Prior Multipliers'!$C$6:$C$70,MATCH(LEFT(AH206,10),'Prior Multipliers'!$A$6:$A$70,0)),IFERROR(INDEX('Prior Multipliers'!$C$6:$C$70,MATCH(LEFT(AH206,6),'Prior Multipliers'!$A$6:$A$70,0)),IFERROR(INDEX('Prior Multipliers'!$C$6:$C$70,MATCH(LEFT(AH206,2),'Prior Multipliers'!$A$6:$A$70,0)),1))))</f>
        <v/>
      </c>
      <c r="CG206" s="49" t="str">
        <f>IF(CB206="","",IF(AND('Seasonal Tercile Tally'!$B$5=1,BT206="Rating-based"),CB206*CF206,CB206))</f>
        <v/>
      </c>
      <c r="CH206" s="47">
        <f t="shared" si="100"/>
        <v>0</v>
      </c>
      <c r="CI206" s="45"/>
      <c r="CJ206" s="42" t="str">
        <f t="shared" si="101"/>
        <v/>
      </c>
      <c r="CM206" s="42" t="str">
        <f t="shared" si="102"/>
        <v/>
      </c>
      <c r="CP206" s="46" t="str">
        <f t="shared" si="103"/>
        <v/>
      </c>
      <c r="CS206" s="46" t="str">
        <f t="shared" si="104"/>
        <v/>
      </c>
      <c r="CT206" s="42" t="str">
        <f t="shared" si="105"/>
        <v/>
      </c>
      <c r="CU206" s="42" t="str">
        <f t="shared" si="106"/>
        <v/>
      </c>
      <c r="CV206" s="42" t="str">
        <f t="shared" si="107"/>
        <v/>
      </c>
      <c r="DB206" s="45"/>
      <c r="DH206" s="42" t="str">
        <f t="shared" si="108"/>
        <v/>
      </c>
      <c r="DI206" s="43" t="str">
        <f t="shared" si="109"/>
        <v/>
      </c>
      <c r="DK206" s="46" t="str">
        <f t="shared" si="110"/>
        <v/>
      </c>
      <c r="DQ206" s="42" t="str">
        <f>IF(AH206="","",IFERROR(ROUND(100*('Weighting Options'!$D$7*IF(ISNUMBER(CA206),CA206/3,0)+'Weighting Options'!$D$8*MIN(N(BL206),3)/3+'Weighting Options'!$D$9*IF(AP206="Community/Plenary-endorsed",1,IF(AP206="FGD-validated only",0.75,IF(AP206="Sub-community-specific",0.5,IF(AP206="Provisional/emerging",0.25,0))))+'Weighting Options'!$D$10*IF(ISNUMBER(K206),K206/3,0)+'Weighting Options'!$D$11*IF(CC206="",0.5,IF(CC206="OK",1,0.25))+'Weighting Options'!$D$12*IF(DK206="",0.5,IF(DK206="Agrees",1,IF(DK206="Opposite",0,0.5)))+'Weighting Options'!$D$13*MIN(N(BG206),3)/3+'Weighting Options'!$D$14*IF(AE206=1,1,0))/SUM('Weighting Options'!$D$7:$D$14),0),""))</f>
        <v/>
      </c>
      <c r="DR206" s="44" t="str">
        <f>IF(AH206="","",IFERROR(INDEX('Weighting Options'!$D$20:$D$27,VALUE(LEFT(TRIM(BU206),1))),1))</f>
        <v/>
      </c>
      <c r="DS206" s="44" t="str">
        <f t="shared" si="111"/>
        <v/>
      </c>
      <c r="DT206" s="42" t="str">
        <f>IF(AH206="","",IF(COUNTIFS($AH$12:AH206,AH206,$AI$12:AI206,AI206,$AM$12:AM206,AM206)=1,1,0))</f>
        <v/>
      </c>
    </row>
    <row r="207" spans="16:124" ht="12.75" customHeight="1" x14ac:dyDescent="0.35">
      <c r="P207" s="41"/>
      <c r="Q207" s="41"/>
      <c r="R207" s="41"/>
      <c r="S207" s="41"/>
      <c r="AH207" s="40"/>
      <c r="AP207" s="40"/>
      <c r="AS207" s="41"/>
      <c r="AT207" s="41"/>
      <c r="AW207" t="str">
        <f t="shared" si="84"/>
        <v/>
      </c>
      <c r="AX207" t="str">
        <f t="shared" si="85"/>
        <v/>
      </c>
      <c r="AY207" t="str">
        <f t="shared" si="86"/>
        <v/>
      </c>
      <c r="AZ207" s="40"/>
      <c r="BL207" s="47" t="str">
        <f t="shared" si="87"/>
        <v/>
      </c>
      <c r="BM207" s="47" t="str">
        <f t="shared" si="88"/>
        <v/>
      </c>
      <c r="BN207" s="47" t="str">
        <f t="shared" si="89"/>
        <v/>
      </c>
      <c r="BO207" s="47" t="str">
        <f t="shared" si="90"/>
        <v/>
      </c>
      <c r="BP207" s="47" t="str">
        <f t="shared" si="91"/>
        <v/>
      </c>
      <c r="BQ207" s="48" t="str">
        <f t="shared" si="92"/>
        <v/>
      </c>
      <c r="BR207" s="48" t="str">
        <f t="shared" si="93"/>
        <v/>
      </c>
      <c r="BS207" s="48" t="str">
        <f t="shared" si="94"/>
        <v/>
      </c>
      <c r="BT207" s="47" t="str">
        <f t="shared" si="95"/>
        <v/>
      </c>
      <c r="CA207" s="47" t="str">
        <f t="shared" si="96"/>
        <v/>
      </c>
      <c r="CB207" s="47" t="str">
        <f t="shared" si="97"/>
        <v/>
      </c>
      <c r="CC207" s="47" t="str">
        <f t="shared" si="98"/>
        <v/>
      </c>
      <c r="CD207" s="47" t="str">
        <f t="shared" si="99"/>
        <v/>
      </c>
      <c r="CE207" s="47" t="str">
        <f>IF(AH207="","",IF(OR(AI207&lt;&gt;'Seasonal Tercile Tally'!$B$3,AM207&lt;&gt;'Seasonal Tercile Tally'!$B$4),"Other site/ season",IF(DT207=0,"Excluded: duplicate (later row)",IF(N207&lt;&gt;1,"Excluded: not sighted",IF(AC207&lt;&gt;1,"Excluded: not confirmed",IF(AD207&lt;&gt;1,"Excluded: not approved",IF(AP207="Contested","Excluded: contested",IF(OR(U207="",U207=0),"Excluded: no tercile",IF(CB207="","Counted (simple tally only — no weight)","Counted")))))))))</f>
        <v/>
      </c>
      <c r="CF207" s="49" t="str">
        <f>IF(AH207="","",IFERROR(INDEX('Prior Multipliers'!$C$6:$C$70,MATCH(LEFT(AH207,10),'Prior Multipliers'!$A$6:$A$70,0)),IFERROR(INDEX('Prior Multipliers'!$C$6:$C$70,MATCH(LEFT(AH207,6),'Prior Multipliers'!$A$6:$A$70,0)),IFERROR(INDEX('Prior Multipliers'!$C$6:$C$70,MATCH(LEFT(AH207,2),'Prior Multipliers'!$A$6:$A$70,0)),1))))</f>
        <v/>
      </c>
      <c r="CG207" s="49" t="str">
        <f>IF(CB207="","",IF(AND('Seasonal Tercile Tally'!$B$5=1,BT207="Rating-based"),CB207*CF207,CB207))</f>
        <v/>
      </c>
      <c r="CH207" s="47">
        <f t="shared" si="100"/>
        <v>0</v>
      </c>
      <c r="CI207" s="45"/>
      <c r="CJ207" s="42" t="str">
        <f t="shared" si="101"/>
        <v/>
      </c>
      <c r="CM207" s="42" t="str">
        <f t="shared" si="102"/>
        <v/>
      </c>
      <c r="CP207" s="46" t="str">
        <f t="shared" si="103"/>
        <v/>
      </c>
      <c r="CS207" s="46" t="str">
        <f t="shared" si="104"/>
        <v/>
      </c>
      <c r="CT207" s="42" t="str">
        <f t="shared" si="105"/>
        <v/>
      </c>
      <c r="CU207" s="42" t="str">
        <f t="shared" si="106"/>
        <v/>
      </c>
      <c r="CV207" s="42" t="str">
        <f t="shared" si="107"/>
        <v/>
      </c>
      <c r="DB207" s="45"/>
      <c r="DH207" s="42" t="str">
        <f t="shared" si="108"/>
        <v/>
      </c>
      <c r="DI207" s="43" t="str">
        <f t="shared" si="109"/>
        <v/>
      </c>
      <c r="DK207" s="46" t="str">
        <f t="shared" si="110"/>
        <v/>
      </c>
      <c r="DQ207" s="42" t="str">
        <f>IF(AH207="","",IFERROR(ROUND(100*('Weighting Options'!$D$7*IF(ISNUMBER(CA207),CA207/3,0)+'Weighting Options'!$D$8*MIN(N(BL207),3)/3+'Weighting Options'!$D$9*IF(AP207="Community/Plenary-endorsed",1,IF(AP207="FGD-validated only",0.75,IF(AP207="Sub-community-specific",0.5,IF(AP207="Provisional/emerging",0.25,0))))+'Weighting Options'!$D$10*IF(ISNUMBER(K207),K207/3,0)+'Weighting Options'!$D$11*IF(CC207="",0.5,IF(CC207="OK",1,0.25))+'Weighting Options'!$D$12*IF(DK207="",0.5,IF(DK207="Agrees",1,IF(DK207="Opposite",0,0.5)))+'Weighting Options'!$D$13*MIN(N(BG207),3)/3+'Weighting Options'!$D$14*IF(AE207=1,1,0))/SUM('Weighting Options'!$D$7:$D$14),0),""))</f>
        <v/>
      </c>
      <c r="DR207" s="44" t="str">
        <f>IF(AH207="","",IFERROR(INDEX('Weighting Options'!$D$20:$D$27,VALUE(LEFT(TRIM(BU207),1))),1))</f>
        <v/>
      </c>
      <c r="DS207" s="44" t="str">
        <f t="shared" si="111"/>
        <v/>
      </c>
      <c r="DT207" s="42" t="str">
        <f>IF(AH207="","",IF(COUNTIFS($AH$12:AH207,AH207,$AI$12:AI207,AI207,$AM$12:AM207,AM207)=1,1,0))</f>
        <v/>
      </c>
    </row>
    <row r="208" spans="16:124" ht="12.75" customHeight="1" x14ac:dyDescent="0.35">
      <c r="P208" s="41"/>
      <c r="Q208" s="41"/>
      <c r="R208" s="41"/>
      <c r="S208" s="41"/>
      <c r="AH208" s="40"/>
      <c r="AP208" s="40"/>
      <c r="AS208" s="41"/>
      <c r="AT208" s="41"/>
      <c r="AW208" t="str">
        <f t="shared" si="84"/>
        <v/>
      </c>
      <c r="AX208" t="str">
        <f t="shared" si="85"/>
        <v/>
      </c>
      <c r="AY208" t="str">
        <f t="shared" si="86"/>
        <v/>
      </c>
      <c r="AZ208" s="40"/>
      <c r="BL208" s="47" t="str">
        <f t="shared" si="87"/>
        <v/>
      </c>
      <c r="BM208" s="47" t="str">
        <f t="shared" si="88"/>
        <v/>
      </c>
      <c r="BN208" s="47" t="str">
        <f t="shared" si="89"/>
        <v/>
      </c>
      <c r="BO208" s="47" t="str">
        <f t="shared" si="90"/>
        <v/>
      </c>
      <c r="BP208" s="47" t="str">
        <f t="shared" si="91"/>
        <v/>
      </c>
      <c r="BQ208" s="48" t="str">
        <f t="shared" si="92"/>
        <v/>
      </c>
      <c r="BR208" s="48" t="str">
        <f t="shared" si="93"/>
        <v/>
      </c>
      <c r="BS208" s="48" t="str">
        <f t="shared" si="94"/>
        <v/>
      </c>
      <c r="BT208" s="47" t="str">
        <f t="shared" si="95"/>
        <v/>
      </c>
      <c r="CA208" s="47" t="str">
        <f t="shared" si="96"/>
        <v/>
      </c>
      <c r="CB208" s="47" t="str">
        <f t="shared" si="97"/>
        <v/>
      </c>
      <c r="CC208" s="47" t="str">
        <f t="shared" si="98"/>
        <v/>
      </c>
      <c r="CD208" s="47" t="str">
        <f t="shared" si="99"/>
        <v/>
      </c>
      <c r="CE208" s="47" t="str">
        <f>IF(AH208="","",IF(OR(AI208&lt;&gt;'Seasonal Tercile Tally'!$B$3,AM208&lt;&gt;'Seasonal Tercile Tally'!$B$4),"Other site/ season",IF(DT208=0,"Excluded: duplicate (later row)",IF(N208&lt;&gt;1,"Excluded: not sighted",IF(AC208&lt;&gt;1,"Excluded: not confirmed",IF(AD208&lt;&gt;1,"Excluded: not approved",IF(AP208="Contested","Excluded: contested",IF(OR(U208="",U208=0),"Excluded: no tercile",IF(CB208="","Counted (simple tally only — no weight)","Counted")))))))))</f>
        <v/>
      </c>
      <c r="CF208" s="49" t="str">
        <f>IF(AH208="","",IFERROR(INDEX('Prior Multipliers'!$C$6:$C$70,MATCH(LEFT(AH208,10),'Prior Multipliers'!$A$6:$A$70,0)),IFERROR(INDEX('Prior Multipliers'!$C$6:$C$70,MATCH(LEFT(AH208,6),'Prior Multipliers'!$A$6:$A$70,0)),IFERROR(INDEX('Prior Multipliers'!$C$6:$C$70,MATCH(LEFT(AH208,2),'Prior Multipliers'!$A$6:$A$70,0)),1))))</f>
        <v/>
      </c>
      <c r="CG208" s="49" t="str">
        <f>IF(CB208="","",IF(AND('Seasonal Tercile Tally'!$B$5=1,BT208="Rating-based"),CB208*CF208,CB208))</f>
        <v/>
      </c>
      <c r="CH208" s="47">
        <f t="shared" si="100"/>
        <v>0</v>
      </c>
      <c r="CI208" s="45"/>
      <c r="CJ208" s="42" t="str">
        <f t="shared" si="101"/>
        <v/>
      </c>
      <c r="CM208" s="42" t="str">
        <f t="shared" si="102"/>
        <v/>
      </c>
      <c r="CP208" s="46" t="str">
        <f t="shared" si="103"/>
        <v/>
      </c>
      <c r="CS208" s="46" t="str">
        <f t="shared" si="104"/>
        <v/>
      </c>
      <c r="CT208" s="42" t="str">
        <f t="shared" si="105"/>
        <v/>
      </c>
      <c r="CU208" s="42" t="str">
        <f t="shared" si="106"/>
        <v/>
      </c>
      <c r="CV208" s="42" t="str">
        <f t="shared" si="107"/>
        <v/>
      </c>
      <c r="DB208" s="45"/>
      <c r="DH208" s="42" t="str">
        <f t="shared" si="108"/>
        <v/>
      </c>
      <c r="DI208" s="43" t="str">
        <f t="shared" si="109"/>
        <v/>
      </c>
      <c r="DK208" s="46" t="str">
        <f t="shared" si="110"/>
        <v/>
      </c>
      <c r="DQ208" s="42" t="str">
        <f>IF(AH208="","",IFERROR(ROUND(100*('Weighting Options'!$D$7*IF(ISNUMBER(CA208),CA208/3,0)+'Weighting Options'!$D$8*MIN(N(BL208),3)/3+'Weighting Options'!$D$9*IF(AP208="Community/Plenary-endorsed",1,IF(AP208="FGD-validated only",0.75,IF(AP208="Sub-community-specific",0.5,IF(AP208="Provisional/emerging",0.25,0))))+'Weighting Options'!$D$10*IF(ISNUMBER(K208),K208/3,0)+'Weighting Options'!$D$11*IF(CC208="",0.5,IF(CC208="OK",1,0.25))+'Weighting Options'!$D$12*IF(DK208="",0.5,IF(DK208="Agrees",1,IF(DK208="Opposite",0,0.5)))+'Weighting Options'!$D$13*MIN(N(BG208),3)/3+'Weighting Options'!$D$14*IF(AE208=1,1,0))/SUM('Weighting Options'!$D$7:$D$14),0),""))</f>
        <v/>
      </c>
      <c r="DR208" s="44" t="str">
        <f>IF(AH208="","",IFERROR(INDEX('Weighting Options'!$D$20:$D$27,VALUE(LEFT(TRIM(BU208),1))),1))</f>
        <v/>
      </c>
      <c r="DS208" s="44" t="str">
        <f t="shared" si="111"/>
        <v/>
      </c>
      <c r="DT208" s="42" t="str">
        <f>IF(AH208="","",IF(COUNTIFS($AH$12:AH208,AH208,$AI$12:AI208,AI208,$AM$12:AM208,AM208)=1,1,0))</f>
        <v/>
      </c>
    </row>
    <row r="209" spans="16:124" ht="12.75" customHeight="1" x14ac:dyDescent="0.35">
      <c r="P209" s="41"/>
      <c r="Q209" s="41"/>
      <c r="R209" s="41"/>
      <c r="S209" s="41"/>
      <c r="AH209" s="40"/>
      <c r="AP209" s="40"/>
      <c r="AS209" s="41"/>
      <c r="AT209" s="41"/>
      <c r="AW209" t="str">
        <f t="shared" si="84"/>
        <v/>
      </c>
      <c r="AX209" t="str">
        <f t="shared" si="85"/>
        <v/>
      </c>
      <c r="AY209" t="str">
        <f t="shared" si="86"/>
        <v/>
      </c>
      <c r="AZ209" s="40"/>
      <c r="BL209" s="47" t="str">
        <f t="shared" si="87"/>
        <v/>
      </c>
      <c r="BM209" s="47" t="str">
        <f t="shared" si="88"/>
        <v/>
      </c>
      <c r="BN209" s="47" t="str">
        <f t="shared" si="89"/>
        <v/>
      </c>
      <c r="BO209" s="47" t="str">
        <f t="shared" si="90"/>
        <v/>
      </c>
      <c r="BP209" s="47" t="str">
        <f t="shared" si="91"/>
        <v/>
      </c>
      <c r="BQ209" s="48" t="str">
        <f t="shared" si="92"/>
        <v/>
      </c>
      <c r="BR209" s="48" t="str">
        <f t="shared" si="93"/>
        <v/>
      </c>
      <c r="BS209" s="48" t="str">
        <f t="shared" si="94"/>
        <v/>
      </c>
      <c r="BT209" s="47" t="str">
        <f t="shared" si="95"/>
        <v/>
      </c>
      <c r="CA209" s="47" t="str">
        <f t="shared" si="96"/>
        <v/>
      </c>
      <c r="CB209" s="47" t="str">
        <f t="shared" si="97"/>
        <v/>
      </c>
      <c r="CC209" s="47" t="str">
        <f t="shared" si="98"/>
        <v/>
      </c>
      <c r="CD209" s="47" t="str">
        <f t="shared" si="99"/>
        <v/>
      </c>
      <c r="CE209" s="47" t="str">
        <f>IF(AH209="","",IF(OR(AI209&lt;&gt;'Seasonal Tercile Tally'!$B$3,AM209&lt;&gt;'Seasonal Tercile Tally'!$B$4),"Other site/ season",IF(DT209=0,"Excluded: duplicate (later row)",IF(N209&lt;&gt;1,"Excluded: not sighted",IF(AC209&lt;&gt;1,"Excluded: not confirmed",IF(AD209&lt;&gt;1,"Excluded: not approved",IF(AP209="Contested","Excluded: contested",IF(OR(U209="",U209=0),"Excluded: no tercile",IF(CB209="","Counted (simple tally only — no weight)","Counted")))))))))</f>
        <v/>
      </c>
      <c r="CF209" s="49" t="str">
        <f>IF(AH209="","",IFERROR(INDEX('Prior Multipliers'!$C$6:$C$70,MATCH(LEFT(AH209,10),'Prior Multipliers'!$A$6:$A$70,0)),IFERROR(INDEX('Prior Multipliers'!$C$6:$C$70,MATCH(LEFT(AH209,6),'Prior Multipliers'!$A$6:$A$70,0)),IFERROR(INDEX('Prior Multipliers'!$C$6:$C$70,MATCH(LEFT(AH209,2),'Prior Multipliers'!$A$6:$A$70,0)),1))))</f>
        <v/>
      </c>
      <c r="CG209" s="49" t="str">
        <f>IF(CB209="","",IF(AND('Seasonal Tercile Tally'!$B$5=1,BT209="Rating-based"),CB209*CF209,CB209))</f>
        <v/>
      </c>
      <c r="CH209" s="47">
        <f t="shared" si="100"/>
        <v>0</v>
      </c>
      <c r="CI209" s="45"/>
      <c r="CJ209" s="42" t="str">
        <f t="shared" si="101"/>
        <v/>
      </c>
      <c r="CM209" s="42" t="str">
        <f t="shared" si="102"/>
        <v/>
      </c>
      <c r="CP209" s="46" t="str">
        <f t="shared" si="103"/>
        <v/>
      </c>
      <c r="CS209" s="46" t="str">
        <f t="shared" si="104"/>
        <v/>
      </c>
      <c r="CT209" s="42" t="str">
        <f t="shared" si="105"/>
        <v/>
      </c>
      <c r="CU209" s="42" t="str">
        <f t="shared" si="106"/>
        <v/>
      </c>
      <c r="CV209" s="42" t="str">
        <f t="shared" si="107"/>
        <v/>
      </c>
      <c r="DB209" s="45"/>
      <c r="DH209" s="42" t="str">
        <f t="shared" si="108"/>
        <v/>
      </c>
      <c r="DI209" s="43" t="str">
        <f t="shared" si="109"/>
        <v/>
      </c>
      <c r="DK209" s="46" t="str">
        <f t="shared" si="110"/>
        <v/>
      </c>
      <c r="DQ209" s="42" t="str">
        <f>IF(AH209="","",IFERROR(ROUND(100*('Weighting Options'!$D$7*IF(ISNUMBER(CA209),CA209/3,0)+'Weighting Options'!$D$8*MIN(N(BL209),3)/3+'Weighting Options'!$D$9*IF(AP209="Community/Plenary-endorsed",1,IF(AP209="FGD-validated only",0.75,IF(AP209="Sub-community-specific",0.5,IF(AP209="Provisional/emerging",0.25,0))))+'Weighting Options'!$D$10*IF(ISNUMBER(K209),K209/3,0)+'Weighting Options'!$D$11*IF(CC209="",0.5,IF(CC209="OK",1,0.25))+'Weighting Options'!$D$12*IF(DK209="",0.5,IF(DK209="Agrees",1,IF(DK209="Opposite",0,0.5)))+'Weighting Options'!$D$13*MIN(N(BG209),3)/3+'Weighting Options'!$D$14*IF(AE209=1,1,0))/SUM('Weighting Options'!$D$7:$D$14),0),""))</f>
        <v/>
      </c>
      <c r="DR209" s="44" t="str">
        <f>IF(AH209="","",IFERROR(INDEX('Weighting Options'!$D$20:$D$27,VALUE(LEFT(TRIM(BU209),1))),1))</f>
        <v/>
      </c>
      <c r="DS209" s="44" t="str">
        <f t="shared" si="111"/>
        <v/>
      </c>
      <c r="DT209" s="42" t="str">
        <f>IF(AH209="","",IF(COUNTIFS($AH$12:AH209,AH209,$AI$12:AI209,AI209,$AM$12:AM209,AM209)=1,1,0))</f>
        <v/>
      </c>
    </row>
    <row r="210" spans="16:124" ht="12.75" customHeight="1" x14ac:dyDescent="0.35">
      <c r="P210" s="41"/>
      <c r="Q210" s="41"/>
      <c r="R210" s="41"/>
      <c r="S210" s="41"/>
      <c r="AH210" s="40"/>
      <c r="AP210" s="40"/>
      <c r="AS210" s="41"/>
      <c r="AT210" s="41"/>
      <c r="AW210" t="str">
        <f t="shared" si="84"/>
        <v/>
      </c>
      <c r="AX210" t="str">
        <f t="shared" si="85"/>
        <v/>
      </c>
      <c r="AY210" t="str">
        <f t="shared" si="86"/>
        <v/>
      </c>
      <c r="AZ210" s="40"/>
      <c r="BL210" s="47" t="str">
        <f t="shared" si="87"/>
        <v/>
      </c>
      <c r="BM210" s="47" t="str">
        <f t="shared" si="88"/>
        <v/>
      </c>
      <c r="BN210" s="47" t="str">
        <f t="shared" si="89"/>
        <v/>
      </c>
      <c r="BO210" s="47" t="str">
        <f t="shared" si="90"/>
        <v/>
      </c>
      <c r="BP210" s="47" t="str">
        <f t="shared" si="91"/>
        <v/>
      </c>
      <c r="BQ210" s="48" t="str">
        <f t="shared" si="92"/>
        <v/>
      </c>
      <c r="BR210" s="48" t="str">
        <f t="shared" si="93"/>
        <v/>
      </c>
      <c r="BS210" s="48" t="str">
        <f t="shared" si="94"/>
        <v/>
      </c>
      <c r="BT210" s="47" t="str">
        <f t="shared" si="95"/>
        <v/>
      </c>
      <c r="CA210" s="47" t="str">
        <f t="shared" si="96"/>
        <v/>
      </c>
      <c r="CB210" s="47" t="str">
        <f t="shared" si="97"/>
        <v/>
      </c>
      <c r="CC210" s="47" t="str">
        <f t="shared" si="98"/>
        <v/>
      </c>
      <c r="CD210" s="47" t="str">
        <f t="shared" si="99"/>
        <v/>
      </c>
      <c r="CE210" s="47" t="str">
        <f>IF(AH210="","",IF(OR(AI210&lt;&gt;'Seasonal Tercile Tally'!$B$3,AM210&lt;&gt;'Seasonal Tercile Tally'!$B$4),"Other site/ season",IF(DT210=0,"Excluded: duplicate (later row)",IF(N210&lt;&gt;1,"Excluded: not sighted",IF(AC210&lt;&gt;1,"Excluded: not confirmed",IF(AD210&lt;&gt;1,"Excluded: not approved",IF(AP210="Contested","Excluded: contested",IF(OR(U210="",U210=0),"Excluded: no tercile",IF(CB210="","Counted (simple tally only — no weight)","Counted")))))))))</f>
        <v/>
      </c>
      <c r="CF210" s="49" t="str">
        <f>IF(AH210="","",IFERROR(INDEX('Prior Multipliers'!$C$6:$C$70,MATCH(LEFT(AH210,10),'Prior Multipliers'!$A$6:$A$70,0)),IFERROR(INDEX('Prior Multipliers'!$C$6:$C$70,MATCH(LEFT(AH210,6),'Prior Multipliers'!$A$6:$A$70,0)),IFERROR(INDEX('Prior Multipliers'!$C$6:$C$70,MATCH(LEFT(AH210,2),'Prior Multipliers'!$A$6:$A$70,0)),1))))</f>
        <v/>
      </c>
      <c r="CG210" s="49" t="str">
        <f>IF(CB210="","",IF(AND('Seasonal Tercile Tally'!$B$5=1,BT210="Rating-based"),CB210*CF210,CB210))</f>
        <v/>
      </c>
      <c r="CH210" s="47">
        <f t="shared" si="100"/>
        <v>0</v>
      </c>
      <c r="CI210" s="45"/>
      <c r="CJ210" s="42" t="str">
        <f t="shared" si="101"/>
        <v/>
      </c>
      <c r="CM210" s="42" t="str">
        <f t="shared" si="102"/>
        <v/>
      </c>
      <c r="CP210" s="46" t="str">
        <f t="shared" si="103"/>
        <v/>
      </c>
      <c r="CS210" s="46" t="str">
        <f t="shared" si="104"/>
        <v/>
      </c>
      <c r="CT210" s="42" t="str">
        <f t="shared" si="105"/>
        <v/>
      </c>
      <c r="CU210" s="42" t="str">
        <f t="shared" si="106"/>
        <v/>
      </c>
      <c r="CV210" s="42" t="str">
        <f t="shared" si="107"/>
        <v/>
      </c>
      <c r="DB210" s="45"/>
      <c r="DH210" s="42" t="str">
        <f t="shared" si="108"/>
        <v/>
      </c>
      <c r="DI210" s="43" t="str">
        <f t="shared" si="109"/>
        <v/>
      </c>
      <c r="DK210" s="46" t="str">
        <f t="shared" si="110"/>
        <v/>
      </c>
      <c r="DQ210" s="42" t="str">
        <f>IF(AH210="","",IFERROR(ROUND(100*('Weighting Options'!$D$7*IF(ISNUMBER(CA210),CA210/3,0)+'Weighting Options'!$D$8*MIN(N(BL210),3)/3+'Weighting Options'!$D$9*IF(AP210="Community/Plenary-endorsed",1,IF(AP210="FGD-validated only",0.75,IF(AP210="Sub-community-specific",0.5,IF(AP210="Provisional/emerging",0.25,0))))+'Weighting Options'!$D$10*IF(ISNUMBER(K210),K210/3,0)+'Weighting Options'!$D$11*IF(CC210="",0.5,IF(CC210="OK",1,0.25))+'Weighting Options'!$D$12*IF(DK210="",0.5,IF(DK210="Agrees",1,IF(DK210="Opposite",0,0.5)))+'Weighting Options'!$D$13*MIN(N(BG210),3)/3+'Weighting Options'!$D$14*IF(AE210=1,1,0))/SUM('Weighting Options'!$D$7:$D$14),0),""))</f>
        <v/>
      </c>
      <c r="DR210" s="44" t="str">
        <f>IF(AH210="","",IFERROR(INDEX('Weighting Options'!$D$20:$D$27,VALUE(LEFT(TRIM(BU210),1))),1))</f>
        <v/>
      </c>
      <c r="DS210" s="44" t="str">
        <f t="shared" si="111"/>
        <v/>
      </c>
      <c r="DT210" s="42" t="str">
        <f>IF(AH210="","",IF(COUNTIFS($AH$12:AH210,AH210,$AI$12:AI210,AI210,$AM$12:AM210,AM210)=1,1,0))</f>
        <v/>
      </c>
    </row>
    <row r="211" spans="16:124" ht="12.75" customHeight="1" x14ac:dyDescent="0.35">
      <c r="P211" s="41"/>
      <c r="Q211" s="41"/>
      <c r="R211" s="41"/>
      <c r="S211" s="41"/>
      <c r="AH211" s="40"/>
      <c r="AP211" s="40"/>
      <c r="AS211" s="41"/>
      <c r="AT211" s="41"/>
      <c r="AW211" t="str">
        <f t="shared" si="84"/>
        <v/>
      </c>
      <c r="AX211" t="str">
        <f t="shared" si="85"/>
        <v/>
      </c>
      <c r="AY211" t="str">
        <f t="shared" si="86"/>
        <v/>
      </c>
      <c r="AZ211" s="40"/>
      <c r="BL211" s="47" t="str">
        <f t="shared" si="87"/>
        <v/>
      </c>
      <c r="BM211" s="47" t="str">
        <f t="shared" si="88"/>
        <v/>
      </c>
      <c r="BN211" s="47" t="str">
        <f t="shared" si="89"/>
        <v/>
      </c>
      <c r="BO211" s="47" t="str">
        <f t="shared" si="90"/>
        <v/>
      </c>
      <c r="BP211" s="47" t="str">
        <f t="shared" si="91"/>
        <v/>
      </c>
      <c r="BQ211" s="48" t="str">
        <f t="shared" si="92"/>
        <v/>
      </c>
      <c r="BR211" s="48" t="str">
        <f t="shared" si="93"/>
        <v/>
      </c>
      <c r="BS211" s="48" t="str">
        <f t="shared" si="94"/>
        <v/>
      </c>
      <c r="BT211" s="47" t="str">
        <f t="shared" si="95"/>
        <v/>
      </c>
      <c r="CA211" s="47" t="str">
        <f t="shared" si="96"/>
        <v/>
      </c>
      <c r="CB211" s="47" t="str">
        <f t="shared" si="97"/>
        <v/>
      </c>
      <c r="CC211" s="47" t="str">
        <f t="shared" si="98"/>
        <v/>
      </c>
      <c r="CD211" s="47" t="str">
        <f t="shared" si="99"/>
        <v/>
      </c>
      <c r="CE211" s="47" t="str">
        <f>IF(AH211="","",IF(OR(AI211&lt;&gt;'Seasonal Tercile Tally'!$B$3,AM211&lt;&gt;'Seasonal Tercile Tally'!$B$4),"Other site/ season",IF(DT211=0,"Excluded: duplicate (later row)",IF(N211&lt;&gt;1,"Excluded: not sighted",IF(AC211&lt;&gt;1,"Excluded: not confirmed",IF(AD211&lt;&gt;1,"Excluded: not approved",IF(AP211="Contested","Excluded: contested",IF(OR(U211="",U211=0),"Excluded: no tercile",IF(CB211="","Counted (simple tally only — no weight)","Counted")))))))))</f>
        <v/>
      </c>
      <c r="CF211" s="49" t="str">
        <f>IF(AH211="","",IFERROR(INDEX('Prior Multipliers'!$C$6:$C$70,MATCH(LEFT(AH211,10),'Prior Multipliers'!$A$6:$A$70,0)),IFERROR(INDEX('Prior Multipliers'!$C$6:$C$70,MATCH(LEFT(AH211,6),'Prior Multipliers'!$A$6:$A$70,0)),IFERROR(INDEX('Prior Multipliers'!$C$6:$C$70,MATCH(LEFT(AH211,2),'Prior Multipliers'!$A$6:$A$70,0)),1))))</f>
        <v/>
      </c>
      <c r="CG211" s="49" t="str">
        <f>IF(CB211="","",IF(AND('Seasonal Tercile Tally'!$B$5=1,BT211="Rating-based"),CB211*CF211,CB211))</f>
        <v/>
      </c>
      <c r="CH211" s="47">
        <f t="shared" si="100"/>
        <v>0</v>
      </c>
      <c r="CI211" s="45"/>
      <c r="CJ211" s="42" t="str">
        <f t="shared" si="101"/>
        <v/>
      </c>
      <c r="CM211" s="42" t="str">
        <f t="shared" si="102"/>
        <v/>
      </c>
      <c r="CP211" s="46" t="str">
        <f t="shared" si="103"/>
        <v/>
      </c>
      <c r="CS211" s="46" t="str">
        <f t="shared" si="104"/>
        <v/>
      </c>
      <c r="CT211" s="42" t="str">
        <f t="shared" si="105"/>
        <v/>
      </c>
      <c r="CU211" s="42" t="str">
        <f t="shared" si="106"/>
        <v/>
      </c>
      <c r="CV211" s="42" t="str">
        <f t="shared" si="107"/>
        <v/>
      </c>
      <c r="DB211" s="45"/>
      <c r="DH211" s="42" t="str">
        <f t="shared" si="108"/>
        <v/>
      </c>
      <c r="DI211" s="43" t="str">
        <f t="shared" si="109"/>
        <v/>
      </c>
      <c r="DK211" s="46" t="str">
        <f t="shared" si="110"/>
        <v/>
      </c>
      <c r="DQ211" s="42" t="str">
        <f>IF(AH211="","",IFERROR(ROUND(100*('Weighting Options'!$D$7*IF(ISNUMBER(CA211),CA211/3,0)+'Weighting Options'!$D$8*MIN(N(BL211),3)/3+'Weighting Options'!$D$9*IF(AP211="Community/Plenary-endorsed",1,IF(AP211="FGD-validated only",0.75,IF(AP211="Sub-community-specific",0.5,IF(AP211="Provisional/emerging",0.25,0))))+'Weighting Options'!$D$10*IF(ISNUMBER(K211),K211/3,0)+'Weighting Options'!$D$11*IF(CC211="",0.5,IF(CC211="OK",1,0.25))+'Weighting Options'!$D$12*IF(DK211="",0.5,IF(DK211="Agrees",1,IF(DK211="Opposite",0,0.5)))+'Weighting Options'!$D$13*MIN(N(BG211),3)/3+'Weighting Options'!$D$14*IF(AE211=1,1,0))/SUM('Weighting Options'!$D$7:$D$14),0),""))</f>
        <v/>
      </c>
      <c r="DR211" s="44" t="str">
        <f>IF(AH211="","",IFERROR(INDEX('Weighting Options'!$D$20:$D$27,VALUE(LEFT(TRIM(BU211),1))),1))</f>
        <v/>
      </c>
      <c r="DS211" s="44" t="str">
        <f t="shared" si="111"/>
        <v/>
      </c>
      <c r="DT211" s="42" t="str">
        <f>IF(AH211="","",IF(COUNTIFS($AH$12:AH211,AH211,$AI$12:AI211,AI211,$AM$12:AM211,AM211)=1,1,0))</f>
        <v/>
      </c>
    </row>
    <row r="212" spans="16:124" ht="12.75" customHeight="1" x14ac:dyDescent="0.35">
      <c r="P212" s="41"/>
      <c r="Q212" s="41"/>
      <c r="R212" s="41"/>
      <c r="S212" s="41"/>
      <c r="AH212" s="40"/>
      <c r="AP212" s="40"/>
      <c r="AS212" s="41"/>
      <c r="AT212" s="41"/>
      <c r="AW212" t="str">
        <f t="shared" si="84"/>
        <v/>
      </c>
      <c r="AX212" t="str">
        <f t="shared" si="85"/>
        <v/>
      </c>
      <c r="AY212" t="str">
        <f t="shared" si="86"/>
        <v/>
      </c>
      <c r="AZ212" s="40"/>
      <c r="BL212" s="47" t="str">
        <f t="shared" si="87"/>
        <v/>
      </c>
      <c r="BM212" s="47" t="str">
        <f t="shared" si="88"/>
        <v/>
      </c>
      <c r="BN212" s="47" t="str">
        <f t="shared" si="89"/>
        <v/>
      </c>
      <c r="BO212" s="47" t="str">
        <f t="shared" si="90"/>
        <v/>
      </c>
      <c r="BP212" s="47" t="str">
        <f t="shared" si="91"/>
        <v/>
      </c>
      <c r="BQ212" s="48" t="str">
        <f t="shared" si="92"/>
        <v/>
      </c>
      <c r="BR212" s="48" t="str">
        <f t="shared" si="93"/>
        <v/>
      </c>
      <c r="BS212" s="48" t="str">
        <f t="shared" si="94"/>
        <v/>
      </c>
      <c r="BT212" s="47" t="str">
        <f t="shared" si="95"/>
        <v/>
      </c>
      <c r="CA212" s="47" t="str">
        <f t="shared" si="96"/>
        <v/>
      </c>
      <c r="CB212" s="47" t="str">
        <f t="shared" si="97"/>
        <v/>
      </c>
      <c r="CC212" s="47" t="str">
        <f t="shared" si="98"/>
        <v/>
      </c>
      <c r="CD212" s="47" t="str">
        <f t="shared" si="99"/>
        <v/>
      </c>
      <c r="CE212" s="47" t="str">
        <f>IF(AH212="","",IF(OR(AI212&lt;&gt;'Seasonal Tercile Tally'!$B$3,AM212&lt;&gt;'Seasonal Tercile Tally'!$B$4),"Other site/ season",IF(DT212=0,"Excluded: duplicate (later row)",IF(N212&lt;&gt;1,"Excluded: not sighted",IF(AC212&lt;&gt;1,"Excluded: not confirmed",IF(AD212&lt;&gt;1,"Excluded: not approved",IF(AP212="Contested","Excluded: contested",IF(OR(U212="",U212=0),"Excluded: no tercile",IF(CB212="","Counted (simple tally only — no weight)","Counted")))))))))</f>
        <v/>
      </c>
      <c r="CF212" s="49" t="str">
        <f>IF(AH212="","",IFERROR(INDEX('Prior Multipliers'!$C$6:$C$70,MATCH(LEFT(AH212,10),'Prior Multipliers'!$A$6:$A$70,0)),IFERROR(INDEX('Prior Multipliers'!$C$6:$C$70,MATCH(LEFT(AH212,6),'Prior Multipliers'!$A$6:$A$70,0)),IFERROR(INDEX('Prior Multipliers'!$C$6:$C$70,MATCH(LEFT(AH212,2),'Prior Multipliers'!$A$6:$A$70,0)),1))))</f>
        <v/>
      </c>
      <c r="CG212" s="49" t="str">
        <f>IF(CB212="","",IF(AND('Seasonal Tercile Tally'!$B$5=1,BT212="Rating-based"),CB212*CF212,CB212))</f>
        <v/>
      </c>
      <c r="CH212" s="47">
        <f t="shared" si="100"/>
        <v>0</v>
      </c>
      <c r="CI212" s="45"/>
      <c r="CJ212" s="42" t="str">
        <f t="shared" si="101"/>
        <v/>
      </c>
      <c r="CM212" s="42" t="str">
        <f t="shared" si="102"/>
        <v/>
      </c>
      <c r="CP212" s="46" t="str">
        <f t="shared" si="103"/>
        <v/>
      </c>
      <c r="CS212" s="46" t="str">
        <f t="shared" si="104"/>
        <v/>
      </c>
      <c r="CT212" s="42" t="str">
        <f t="shared" si="105"/>
        <v/>
      </c>
      <c r="CU212" s="42" t="str">
        <f t="shared" si="106"/>
        <v/>
      </c>
      <c r="CV212" s="42" t="str">
        <f t="shared" si="107"/>
        <v/>
      </c>
      <c r="DB212" s="45"/>
      <c r="DH212" s="42" t="str">
        <f t="shared" si="108"/>
        <v/>
      </c>
      <c r="DI212" s="43" t="str">
        <f t="shared" si="109"/>
        <v/>
      </c>
      <c r="DK212" s="46" t="str">
        <f t="shared" si="110"/>
        <v/>
      </c>
      <c r="DQ212" s="42" t="str">
        <f>IF(AH212="","",IFERROR(ROUND(100*('Weighting Options'!$D$7*IF(ISNUMBER(CA212),CA212/3,0)+'Weighting Options'!$D$8*MIN(N(BL212),3)/3+'Weighting Options'!$D$9*IF(AP212="Community/Plenary-endorsed",1,IF(AP212="FGD-validated only",0.75,IF(AP212="Sub-community-specific",0.5,IF(AP212="Provisional/emerging",0.25,0))))+'Weighting Options'!$D$10*IF(ISNUMBER(K212),K212/3,0)+'Weighting Options'!$D$11*IF(CC212="",0.5,IF(CC212="OK",1,0.25))+'Weighting Options'!$D$12*IF(DK212="",0.5,IF(DK212="Agrees",1,IF(DK212="Opposite",0,0.5)))+'Weighting Options'!$D$13*MIN(N(BG212),3)/3+'Weighting Options'!$D$14*IF(AE212=1,1,0))/SUM('Weighting Options'!$D$7:$D$14),0),""))</f>
        <v/>
      </c>
      <c r="DR212" s="44" t="str">
        <f>IF(AH212="","",IFERROR(INDEX('Weighting Options'!$D$20:$D$27,VALUE(LEFT(TRIM(BU212),1))),1))</f>
        <v/>
      </c>
      <c r="DS212" s="44" t="str">
        <f t="shared" si="111"/>
        <v/>
      </c>
      <c r="DT212" s="42" t="str">
        <f>IF(AH212="","",IF(COUNTIFS($AH$12:AH212,AH212,$AI$12:AI212,AI212,$AM$12:AM212,AM212)=1,1,0))</f>
        <v/>
      </c>
    </row>
    <row r="213" spans="16:124" ht="12.75" customHeight="1" x14ac:dyDescent="0.35">
      <c r="P213" s="41"/>
      <c r="Q213" s="41"/>
      <c r="R213" s="41"/>
      <c r="S213" s="41"/>
      <c r="AH213" s="40"/>
      <c r="AP213" s="40"/>
      <c r="AS213" s="41"/>
      <c r="AT213" s="41"/>
      <c r="AW213" t="str">
        <f t="shared" si="84"/>
        <v/>
      </c>
      <c r="AX213" t="str">
        <f t="shared" si="85"/>
        <v/>
      </c>
      <c r="AY213" t="str">
        <f t="shared" si="86"/>
        <v/>
      </c>
      <c r="AZ213" s="40"/>
      <c r="BL213" s="47" t="str">
        <f t="shared" si="87"/>
        <v/>
      </c>
      <c r="BM213" s="47" t="str">
        <f t="shared" si="88"/>
        <v/>
      </c>
      <c r="BN213" s="47" t="str">
        <f t="shared" si="89"/>
        <v/>
      </c>
      <c r="BO213" s="47" t="str">
        <f t="shared" si="90"/>
        <v/>
      </c>
      <c r="BP213" s="47" t="str">
        <f t="shared" si="91"/>
        <v/>
      </c>
      <c r="BQ213" s="48" t="str">
        <f t="shared" si="92"/>
        <v/>
      </c>
      <c r="BR213" s="48" t="str">
        <f t="shared" si="93"/>
        <v/>
      </c>
      <c r="BS213" s="48" t="str">
        <f t="shared" si="94"/>
        <v/>
      </c>
      <c r="BT213" s="47" t="str">
        <f t="shared" si="95"/>
        <v/>
      </c>
      <c r="CA213" s="47" t="str">
        <f t="shared" si="96"/>
        <v/>
      </c>
      <c r="CB213" s="47" t="str">
        <f t="shared" si="97"/>
        <v/>
      </c>
      <c r="CC213" s="47" t="str">
        <f t="shared" si="98"/>
        <v/>
      </c>
      <c r="CD213" s="47" t="str">
        <f t="shared" si="99"/>
        <v/>
      </c>
      <c r="CE213" s="47" t="str">
        <f>IF(AH213="","",IF(OR(AI213&lt;&gt;'Seasonal Tercile Tally'!$B$3,AM213&lt;&gt;'Seasonal Tercile Tally'!$B$4),"Other site/ season",IF(DT213=0,"Excluded: duplicate (later row)",IF(N213&lt;&gt;1,"Excluded: not sighted",IF(AC213&lt;&gt;1,"Excluded: not confirmed",IF(AD213&lt;&gt;1,"Excluded: not approved",IF(AP213="Contested","Excluded: contested",IF(OR(U213="",U213=0),"Excluded: no tercile",IF(CB213="","Counted (simple tally only — no weight)","Counted")))))))))</f>
        <v/>
      </c>
      <c r="CF213" s="49" t="str">
        <f>IF(AH213="","",IFERROR(INDEX('Prior Multipliers'!$C$6:$C$70,MATCH(LEFT(AH213,10),'Prior Multipliers'!$A$6:$A$70,0)),IFERROR(INDEX('Prior Multipliers'!$C$6:$C$70,MATCH(LEFT(AH213,6),'Prior Multipliers'!$A$6:$A$70,0)),IFERROR(INDEX('Prior Multipliers'!$C$6:$C$70,MATCH(LEFT(AH213,2),'Prior Multipliers'!$A$6:$A$70,0)),1))))</f>
        <v/>
      </c>
      <c r="CG213" s="49" t="str">
        <f>IF(CB213="","",IF(AND('Seasonal Tercile Tally'!$B$5=1,BT213="Rating-based"),CB213*CF213,CB213))</f>
        <v/>
      </c>
      <c r="CH213" s="47">
        <f t="shared" si="100"/>
        <v>0</v>
      </c>
      <c r="CI213" s="45"/>
      <c r="CJ213" s="42" t="str">
        <f t="shared" si="101"/>
        <v/>
      </c>
      <c r="CM213" s="42" t="str">
        <f t="shared" si="102"/>
        <v/>
      </c>
      <c r="CP213" s="46" t="str">
        <f t="shared" si="103"/>
        <v/>
      </c>
      <c r="CS213" s="46" t="str">
        <f t="shared" si="104"/>
        <v/>
      </c>
      <c r="CT213" s="42" t="str">
        <f t="shared" si="105"/>
        <v/>
      </c>
      <c r="CU213" s="42" t="str">
        <f t="shared" si="106"/>
        <v/>
      </c>
      <c r="CV213" s="42" t="str">
        <f t="shared" si="107"/>
        <v/>
      </c>
      <c r="DB213" s="45"/>
      <c r="DH213" s="42" t="str">
        <f t="shared" si="108"/>
        <v/>
      </c>
      <c r="DI213" s="43" t="str">
        <f t="shared" si="109"/>
        <v/>
      </c>
      <c r="DK213" s="46" t="str">
        <f t="shared" si="110"/>
        <v/>
      </c>
      <c r="DQ213" s="42" t="str">
        <f>IF(AH213="","",IFERROR(ROUND(100*('Weighting Options'!$D$7*IF(ISNUMBER(CA213),CA213/3,0)+'Weighting Options'!$D$8*MIN(N(BL213),3)/3+'Weighting Options'!$D$9*IF(AP213="Community/Plenary-endorsed",1,IF(AP213="FGD-validated only",0.75,IF(AP213="Sub-community-specific",0.5,IF(AP213="Provisional/emerging",0.25,0))))+'Weighting Options'!$D$10*IF(ISNUMBER(K213),K213/3,0)+'Weighting Options'!$D$11*IF(CC213="",0.5,IF(CC213="OK",1,0.25))+'Weighting Options'!$D$12*IF(DK213="",0.5,IF(DK213="Agrees",1,IF(DK213="Opposite",0,0.5)))+'Weighting Options'!$D$13*MIN(N(BG213),3)/3+'Weighting Options'!$D$14*IF(AE213=1,1,0))/SUM('Weighting Options'!$D$7:$D$14),0),""))</f>
        <v/>
      </c>
      <c r="DR213" s="44" t="str">
        <f>IF(AH213="","",IFERROR(INDEX('Weighting Options'!$D$20:$D$27,VALUE(LEFT(TRIM(BU213),1))),1))</f>
        <v/>
      </c>
      <c r="DS213" s="44" t="str">
        <f t="shared" si="111"/>
        <v/>
      </c>
      <c r="DT213" s="42" t="str">
        <f>IF(AH213="","",IF(COUNTIFS($AH$12:AH213,AH213,$AI$12:AI213,AI213,$AM$12:AM213,AM213)=1,1,0))</f>
        <v/>
      </c>
    </row>
    <row r="214" spans="16:124" ht="12.75" customHeight="1" x14ac:dyDescent="0.35">
      <c r="P214" s="41"/>
      <c r="Q214" s="41"/>
      <c r="R214" s="41"/>
      <c r="S214" s="41"/>
      <c r="AH214" s="40"/>
      <c r="AP214" s="40"/>
      <c r="AS214" s="41"/>
      <c r="AT214" s="41"/>
      <c r="AW214" t="str">
        <f t="shared" si="84"/>
        <v/>
      </c>
      <c r="AX214" t="str">
        <f t="shared" si="85"/>
        <v/>
      </c>
      <c r="AY214" t="str">
        <f t="shared" si="86"/>
        <v/>
      </c>
      <c r="AZ214" s="40"/>
      <c r="BL214" s="47" t="str">
        <f t="shared" si="87"/>
        <v/>
      </c>
      <c r="BM214" s="47" t="str">
        <f t="shared" si="88"/>
        <v/>
      </c>
      <c r="BN214" s="47" t="str">
        <f t="shared" si="89"/>
        <v/>
      </c>
      <c r="BO214" s="47" t="str">
        <f t="shared" si="90"/>
        <v/>
      </c>
      <c r="BP214" s="47" t="str">
        <f t="shared" si="91"/>
        <v/>
      </c>
      <c r="BQ214" s="48" t="str">
        <f t="shared" si="92"/>
        <v/>
      </c>
      <c r="BR214" s="48" t="str">
        <f t="shared" si="93"/>
        <v/>
      </c>
      <c r="BS214" s="48" t="str">
        <f t="shared" si="94"/>
        <v/>
      </c>
      <c r="BT214" s="47" t="str">
        <f t="shared" si="95"/>
        <v/>
      </c>
      <c r="CA214" s="47" t="str">
        <f t="shared" si="96"/>
        <v/>
      </c>
      <c r="CB214" s="47" t="str">
        <f t="shared" si="97"/>
        <v/>
      </c>
      <c r="CC214" s="47" t="str">
        <f t="shared" si="98"/>
        <v/>
      </c>
      <c r="CD214" s="47" t="str">
        <f t="shared" si="99"/>
        <v/>
      </c>
      <c r="CE214" s="47" t="str">
        <f>IF(AH214="","",IF(OR(AI214&lt;&gt;'Seasonal Tercile Tally'!$B$3,AM214&lt;&gt;'Seasonal Tercile Tally'!$B$4),"Other site/ season",IF(DT214=0,"Excluded: duplicate (later row)",IF(N214&lt;&gt;1,"Excluded: not sighted",IF(AC214&lt;&gt;1,"Excluded: not confirmed",IF(AD214&lt;&gt;1,"Excluded: not approved",IF(AP214="Contested","Excluded: contested",IF(OR(U214="",U214=0),"Excluded: no tercile",IF(CB214="","Counted (simple tally only — no weight)","Counted")))))))))</f>
        <v/>
      </c>
      <c r="CF214" s="49" t="str">
        <f>IF(AH214="","",IFERROR(INDEX('Prior Multipliers'!$C$6:$C$70,MATCH(LEFT(AH214,10),'Prior Multipliers'!$A$6:$A$70,0)),IFERROR(INDEX('Prior Multipliers'!$C$6:$C$70,MATCH(LEFT(AH214,6),'Prior Multipliers'!$A$6:$A$70,0)),IFERROR(INDEX('Prior Multipliers'!$C$6:$C$70,MATCH(LEFT(AH214,2),'Prior Multipliers'!$A$6:$A$70,0)),1))))</f>
        <v/>
      </c>
      <c r="CG214" s="49" t="str">
        <f>IF(CB214="","",IF(AND('Seasonal Tercile Tally'!$B$5=1,BT214="Rating-based"),CB214*CF214,CB214))</f>
        <v/>
      </c>
      <c r="CH214" s="47">
        <f t="shared" si="100"/>
        <v>0</v>
      </c>
      <c r="CI214" s="45"/>
      <c r="CJ214" s="42" t="str">
        <f t="shared" si="101"/>
        <v/>
      </c>
      <c r="CM214" s="42" t="str">
        <f t="shared" si="102"/>
        <v/>
      </c>
      <c r="CP214" s="46" t="str">
        <f t="shared" si="103"/>
        <v/>
      </c>
      <c r="CS214" s="46" t="str">
        <f t="shared" si="104"/>
        <v/>
      </c>
      <c r="CT214" s="42" t="str">
        <f t="shared" si="105"/>
        <v/>
      </c>
      <c r="CU214" s="42" t="str">
        <f t="shared" si="106"/>
        <v/>
      </c>
      <c r="CV214" s="42" t="str">
        <f t="shared" si="107"/>
        <v/>
      </c>
      <c r="DB214" s="45"/>
      <c r="DH214" s="42" t="str">
        <f t="shared" si="108"/>
        <v/>
      </c>
      <c r="DI214" s="43" t="str">
        <f t="shared" si="109"/>
        <v/>
      </c>
      <c r="DK214" s="46" t="str">
        <f t="shared" si="110"/>
        <v/>
      </c>
      <c r="DQ214" s="42" t="str">
        <f>IF(AH214="","",IFERROR(ROUND(100*('Weighting Options'!$D$7*IF(ISNUMBER(CA214),CA214/3,0)+'Weighting Options'!$D$8*MIN(N(BL214),3)/3+'Weighting Options'!$D$9*IF(AP214="Community/Plenary-endorsed",1,IF(AP214="FGD-validated only",0.75,IF(AP214="Sub-community-specific",0.5,IF(AP214="Provisional/emerging",0.25,0))))+'Weighting Options'!$D$10*IF(ISNUMBER(K214),K214/3,0)+'Weighting Options'!$D$11*IF(CC214="",0.5,IF(CC214="OK",1,0.25))+'Weighting Options'!$D$12*IF(DK214="",0.5,IF(DK214="Agrees",1,IF(DK214="Opposite",0,0.5)))+'Weighting Options'!$D$13*MIN(N(BG214),3)/3+'Weighting Options'!$D$14*IF(AE214=1,1,0))/SUM('Weighting Options'!$D$7:$D$14),0),""))</f>
        <v/>
      </c>
      <c r="DR214" s="44" t="str">
        <f>IF(AH214="","",IFERROR(INDEX('Weighting Options'!$D$20:$D$27,VALUE(LEFT(TRIM(BU214),1))),1))</f>
        <v/>
      </c>
      <c r="DS214" s="44" t="str">
        <f t="shared" si="111"/>
        <v/>
      </c>
      <c r="DT214" s="42" t="str">
        <f>IF(AH214="","",IF(COUNTIFS($AH$12:AH214,AH214,$AI$12:AI214,AI214,$AM$12:AM214,AM214)=1,1,0))</f>
        <v/>
      </c>
    </row>
    <row r="215" spans="16:124" ht="12.75" customHeight="1" x14ac:dyDescent="0.35">
      <c r="P215" s="41"/>
      <c r="Q215" s="41"/>
      <c r="R215" s="41"/>
      <c r="S215" s="41"/>
      <c r="AH215" s="40"/>
      <c r="AP215" s="40"/>
      <c r="AS215" s="41"/>
      <c r="AT215" s="41"/>
      <c r="AW215" t="str">
        <f t="shared" si="84"/>
        <v/>
      </c>
      <c r="AX215" t="str">
        <f t="shared" si="85"/>
        <v/>
      </c>
      <c r="AY215" t="str">
        <f t="shared" si="86"/>
        <v/>
      </c>
      <c r="AZ215" s="40"/>
      <c r="BL215" s="47" t="str">
        <f t="shared" si="87"/>
        <v/>
      </c>
      <c r="BM215" s="47" t="str">
        <f t="shared" si="88"/>
        <v/>
      </c>
      <c r="BN215" s="47" t="str">
        <f t="shared" si="89"/>
        <v/>
      </c>
      <c r="BO215" s="47" t="str">
        <f t="shared" si="90"/>
        <v/>
      </c>
      <c r="BP215" s="47" t="str">
        <f t="shared" si="91"/>
        <v/>
      </c>
      <c r="BQ215" s="48" t="str">
        <f t="shared" si="92"/>
        <v/>
      </c>
      <c r="BR215" s="48" t="str">
        <f t="shared" si="93"/>
        <v/>
      </c>
      <c r="BS215" s="48" t="str">
        <f t="shared" si="94"/>
        <v/>
      </c>
      <c r="BT215" s="47" t="str">
        <f t="shared" si="95"/>
        <v/>
      </c>
      <c r="CA215" s="47" t="str">
        <f t="shared" si="96"/>
        <v/>
      </c>
      <c r="CB215" s="47" t="str">
        <f t="shared" si="97"/>
        <v/>
      </c>
      <c r="CC215" s="47" t="str">
        <f t="shared" si="98"/>
        <v/>
      </c>
      <c r="CD215" s="47" t="str">
        <f t="shared" si="99"/>
        <v/>
      </c>
      <c r="CE215" s="47" t="str">
        <f>IF(AH215="","",IF(OR(AI215&lt;&gt;'Seasonal Tercile Tally'!$B$3,AM215&lt;&gt;'Seasonal Tercile Tally'!$B$4),"Other site/ season",IF(DT215=0,"Excluded: duplicate (later row)",IF(N215&lt;&gt;1,"Excluded: not sighted",IF(AC215&lt;&gt;1,"Excluded: not confirmed",IF(AD215&lt;&gt;1,"Excluded: not approved",IF(AP215="Contested","Excluded: contested",IF(OR(U215="",U215=0),"Excluded: no tercile",IF(CB215="","Counted (simple tally only — no weight)","Counted")))))))))</f>
        <v/>
      </c>
      <c r="CF215" s="49" t="str">
        <f>IF(AH215="","",IFERROR(INDEX('Prior Multipliers'!$C$6:$C$70,MATCH(LEFT(AH215,10),'Prior Multipliers'!$A$6:$A$70,0)),IFERROR(INDEX('Prior Multipliers'!$C$6:$C$70,MATCH(LEFT(AH215,6),'Prior Multipliers'!$A$6:$A$70,0)),IFERROR(INDEX('Prior Multipliers'!$C$6:$C$70,MATCH(LEFT(AH215,2),'Prior Multipliers'!$A$6:$A$70,0)),1))))</f>
        <v/>
      </c>
      <c r="CG215" s="49" t="str">
        <f>IF(CB215="","",IF(AND('Seasonal Tercile Tally'!$B$5=1,BT215="Rating-based"),CB215*CF215,CB215))</f>
        <v/>
      </c>
      <c r="CH215" s="47">
        <f t="shared" si="100"/>
        <v>0</v>
      </c>
      <c r="CI215" s="45"/>
      <c r="CJ215" s="42" t="str">
        <f t="shared" si="101"/>
        <v/>
      </c>
      <c r="CM215" s="42" t="str">
        <f t="shared" si="102"/>
        <v/>
      </c>
      <c r="CP215" s="46" t="str">
        <f t="shared" si="103"/>
        <v/>
      </c>
      <c r="CS215" s="46" t="str">
        <f t="shared" si="104"/>
        <v/>
      </c>
      <c r="CT215" s="42" t="str">
        <f t="shared" si="105"/>
        <v/>
      </c>
      <c r="CU215" s="42" t="str">
        <f t="shared" si="106"/>
        <v/>
      </c>
      <c r="CV215" s="42" t="str">
        <f t="shared" si="107"/>
        <v/>
      </c>
      <c r="DB215" s="45"/>
      <c r="DH215" s="42" t="str">
        <f t="shared" si="108"/>
        <v/>
      </c>
      <c r="DI215" s="43" t="str">
        <f t="shared" si="109"/>
        <v/>
      </c>
      <c r="DK215" s="46" t="str">
        <f t="shared" si="110"/>
        <v/>
      </c>
      <c r="DQ215" s="42" t="str">
        <f>IF(AH215="","",IFERROR(ROUND(100*('Weighting Options'!$D$7*IF(ISNUMBER(CA215),CA215/3,0)+'Weighting Options'!$D$8*MIN(N(BL215),3)/3+'Weighting Options'!$D$9*IF(AP215="Community/Plenary-endorsed",1,IF(AP215="FGD-validated only",0.75,IF(AP215="Sub-community-specific",0.5,IF(AP215="Provisional/emerging",0.25,0))))+'Weighting Options'!$D$10*IF(ISNUMBER(K215),K215/3,0)+'Weighting Options'!$D$11*IF(CC215="",0.5,IF(CC215="OK",1,0.25))+'Weighting Options'!$D$12*IF(DK215="",0.5,IF(DK215="Agrees",1,IF(DK215="Opposite",0,0.5)))+'Weighting Options'!$D$13*MIN(N(BG215),3)/3+'Weighting Options'!$D$14*IF(AE215=1,1,0))/SUM('Weighting Options'!$D$7:$D$14),0),""))</f>
        <v/>
      </c>
      <c r="DR215" s="44" t="str">
        <f>IF(AH215="","",IFERROR(INDEX('Weighting Options'!$D$20:$D$27,VALUE(LEFT(TRIM(BU215),1))),1))</f>
        <v/>
      </c>
      <c r="DS215" s="44" t="str">
        <f t="shared" si="111"/>
        <v/>
      </c>
      <c r="DT215" s="42" t="str">
        <f>IF(AH215="","",IF(COUNTIFS($AH$12:AH215,AH215,$AI$12:AI215,AI215,$AM$12:AM215,AM215)=1,1,0))</f>
        <v/>
      </c>
    </row>
    <row r="216" spans="16:124" ht="12.75" customHeight="1" x14ac:dyDescent="0.35">
      <c r="P216" s="41"/>
      <c r="Q216" s="41"/>
      <c r="R216" s="41"/>
      <c r="S216" s="41"/>
      <c r="AH216" s="40"/>
      <c r="AP216" s="40"/>
      <c r="AS216" s="41"/>
      <c r="AT216" s="41"/>
      <c r="AW216" t="str">
        <f t="shared" si="84"/>
        <v/>
      </c>
      <c r="AX216" t="str">
        <f t="shared" si="85"/>
        <v/>
      </c>
      <c r="AY216" t="str">
        <f t="shared" si="86"/>
        <v/>
      </c>
      <c r="AZ216" s="40"/>
      <c r="BL216" s="47" t="str">
        <f t="shared" si="87"/>
        <v/>
      </c>
      <c r="BM216" s="47" t="str">
        <f t="shared" si="88"/>
        <v/>
      </c>
      <c r="BN216" s="47" t="str">
        <f t="shared" si="89"/>
        <v/>
      </c>
      <c r="BO216" s="47" t="str">
        <f t="shared" si="90"/>
        <v/>
      </c>
      <c r="BP216" s="47" t="str">
        <f t="shared" si="91"/>
        <v/>
      </c>
      <c r="BQ216" s="48" t="str">
        <f t="shared" si="92"/>
        <v/>
      </c>
      <c r="BR216" s="48" t="str">
        <f t="shared" si="93"/>
        <v/>
      </c>
      <c r="BS216" s="48" t="str">
        <f t="shared" si="94"/>
        <v/>
      </c>
      <c r="BT216" s="47" t="str">
        <f t="shared" si="95"/>
        <v/>
      </c>
      <c r="CA216" s="47" t="str">
        <f t="shared" si="96"/>
        <v/>
      </c>
      <c r="CB216" s="47" t="str">
        <f t="shared" si="97"/>
        <v/>
      </c>
      <c r="CC216" s="47" t="str">
        <f t="shared" si="98"/>
        <v/>
      </c>
      <c r="CD216" s="47" t="str">
        <f t="shared" si="99"/>
        <v/>
      </c>
      <c r="CE216" s="47" t="str">
        <f>IF(AH216="","",IF(OR(AI216&lt;&gt;'Seasonal Tercile Tally'!$B$3,AM216&lt;&gt;'Seasonal Tercile Tally'!$B$4),"Other site/ season",IF(DT216=0,"Excluded: duplicate (later row)",IF(N216&lt;&gt;1,"Excluded: not sighted",IF(AC216&lt;&gt;1,"Excluded: not confirmed",IF(AD216&lt;&gt;1,"Excluded: not approved",IF(AP216="Contested","Excluded: contested",IF(OR(U216="",U216=0),"Excluded: no tercile",IF(CB216="","Counted (simple tally only — no weight)","Counted")))))))))</f>
        <v/>
      </c>
      <c r="CF216" s="49" t="str">
        <f>IF(AH216="","",IFERROR(INDEX('Prior Multipliers'!$C$6:$C$70,MATCH(LEFT(AH216,10),'Prior Multipliers'!$A$6:$A$70,0)),IFERROR(INDEX('Prior Multipliers'!$C$6:$C$70,MATCH(LEFT(AH216,6),'Prior Multipliers'!$A$6:$A$70,0)),IFERROR(INDEX('Prior Multipliers'!$C$6:$C$70,MATCH(LEFT(AH216,2),'Prior Multipliers'!$A$6:$A$70,0)),1))))</f>
        <v/>
      </c>
      <c r="CG216" s="49" t="str">
        <f>IF(CB216="","",IF(AND('Seasonal Tercile Tally'!$B$5=1,BT216="Rating-based"),CB216*CF216,CB216))</f>
        <v/>
      </c>
      <c r="CH216" s="47">
        <f t="shared" si="100"/>
        <v>0</v>
      </c>
      <c r="CI216" s="45"/>
      <c r="CJ216" s="42" t="str">
        <f t="shared" si="101"/>
        <v/>
      </c>
      <c r="CM216" s="42" t="str">
        <f t="shared" si="102"/>
        <v/>
      </c>
      <c r="CP216" s="46" t="str">
        <f t="shared" si="103"/>
        <v/>
      </c>
      <c r="CS216" s="46" t="str">
        <f t="shared" si="104"/>
        <v/>
      </c>
      <c r="CT216" s="42" t="str">
        <f t="shared" si="105"/>
        <v/>
      </c>
      <c r="CU216" s="42" t="str">
        <f t="shared" si="106"/>
        <v/>
      </c>
      <c r="CV216" s="42" t="str">
        <f t="shared" si="107"/>
        <v/>
      </c>
      <c r="DB216" s="45"/>
      <c r="DH216" s="42" t="str">
        <f t="shared" si="108"/>
        <v/>
      </c>
      <c r="DI216" s="43" t="str">
        <f t="shared" si="109"/>
        <v/>
      </c>
      <c r="DK216" s="46" t="str">
        <f t="shared" si="110"/>
        <v/>
      </c>
      <c r="DQ216" s="42" t="str">
        <f>IF(AH216="","",IFERROR(ROUND(100*('Weighting Options'!$D$7*IF(ISNUMBER(CA216),CA216/3,0)+'Weighting Options'!$D$8*MIN(N(BL216),3)/3+'Weighting Options'!$D$9*IF(AP216="Community/Plenary-endorsed",1,IF(AP216="FGD-validated only",0.75,IF(AP216="Sub-community-specific",0.5,IF(AP216="Provisional/emerging",0.25,0))))+'Weighting Options'!$D$10*IF(ISNUMBER(K216),K216/3,0)+'Weighting Options'!$D$11*IF(CC216="",0.5,IF(CC216="OK",1,0.25))+'Weighting Options'!$D$12*IF(DK216="",0.5,IF(DK216="Agrees",1,IF(DK216="Opposite",0,0.5)))+'Weighting Options'!$D$13*MIN(N(BG216),3)/3+'Weighting Options'!$D$14*IF(AE216=1,1,0))/SUM('Weighting Options'!$D$7:$D$14),0),""))</f>
        <v/>
      </c>
      <c r="DR216" s="44" t="str">
        <f>IF(AH216="","",IFERROR(INDEX('Weighting Options'!$D$20:$D$27,VALUE(LEFT(TRIM(BU216),1))),1))</f>
        <v/>
      </c>
      <c r="DS216" s="44" t="str">
        <f t="shared" si="111"/>
        <v/>
      </c>
      <c r="DT216" s="42" t="str">
        <f>IF(AH216="","",IF(COUNTIFS($AH$12:AH216,AH216,$AI$12:AI216,AI216,$AM$12:AM216,AM216)=1,1,0))</f>
        <v/>
      </c>
    </row>
    <row r="217" spans="16:124" ht="12.75" customHeight="1" x14ac:dyDescent="0.35">
      <c r="P217" s="41"/>
      <c r="Q217" s="41"/>
      <c r="R217" s="41"/>
      <c r="S217" s="41"/>
      <c r="AH217" s="40"/>
      <c r="AP217" s="40"/>
      <c r="AS217" s="41"/>
      <c r="AT217" s="41"/>
      <c r="AW217" t="str">
        <f t="shared" si="84"/>
        <v/>
      </c>
      <c r="AX217" t="str">
        <f t="shared" si="85"/>
        <v/>
      </c>
      <c r="AY217" t="str">
        <f t="shared" si="86"/>
        <v/>
      </c>
      <c r="AZ217" s="40"/>
      <c r="BL217" s="47" t="str">
        <f t="shared" si="87"/>
        <v/>
      </c>
      <c r="BM217" s="47" t="str">
        <f t="shared" si="88"/>
        <v/>
      </c>
      <c r="BN217" s="47" t="str">
        <f t="shared" si="89"/>
        <v/>
      </c>
      <c r="BO217" s="47" t="str">
        <f t="shared" si="90"/>
        <v/>
      </c>
      <c r="BP217" s="47" t="str">
        <f t="shared" si="91"/>
        <v/>
      </c>
      <c r="BQ217" s="48" t="str">
        <f t="shared" si="92"/>
        <v/>
      </c>
      <c r="BR217" s="48" t="str">
        <f t="shared" si="93"/>
        <v/>
      </c>
      <c r="BS217" s="48" t="str">
        <f t="shared" si="94"/>
        <v/>
      </c>
      <c r="BT217" s="47" t="str">
        <f t="shared" si="95"/>
        <v/>
      </c>
      <c r="CA217" s="47" t="str">
        <f t="shared" si="96"/>
        <v/>
      </c>
      <c r="CB217" s="47" t="str">
        <f t="shared" si="97"/>
        <v/>
      </c>
      <c r="CC217" s="47" t="str">
        <f t="shared" si="98"/>
        <v/>
      </c>
      <c r="CD217" s="47" t="str">
        <f t="shared" si="99"/>
        <v/>
      </c>
      <c r="CE217" s="47" t="str">
        <f>IF(AH217="","",IF(OR(AI217&lt;&gt;'Seasonal Tercile Tally'!$B$3,AM217&lt;&gt;'Seasonal Tercile Tally'!$B$4),"Other site/ season",IF(DT217=0,"Excluded: duplicate (later row)",IF(N217&lt;&gt;1,"Excluded: not sighted",IF(AC217&lt;&gt;1,"Excluded: not confirmed",IF(AD217&lt;&gt;1,"Excluded: not approved",IF(AP217="Contested","Excluded: contested",IF(OR(U217="",U217=0),"Excluded: no tercile",IF(CB217="","Counted (simple tally only — no weight)","Counted")))))))))</f>
        <v/>
      </c>
      <c r="CF217" s="49" t="str">
        <f>IF(AH217="","",IFERROR(INDEX('Prior Multipliers'!$C$6:$C$70,MATCH(LEFT(AH217,10),'Prior Multipliers'!$A$6:$A$70,0)),IFERROR(INDEX('Prior Multipliers'!$C$6:$C$70,MATCH(LEFT(AH217,6),'Prior Multipliers'!$A$6:$A$70,0)),IFERROR(INDEX('Prior Multipliers'!$C$6:$C$70,MATCH(LEFT(AH217,2),'Prior Multipliers'!$A$6:$A$70,0)),1))))</f>
        <v/>
      </c>
      <c r="CG217" s="49" t="str">
        <f>IF(CB217="","",IF(AND('Seasonal Tercile Tally'!$B$5=1,BT217="Rating-based"),CB217*CF217,CB217))</f>
        <v/>
      </c>
      <c r="CH217" s="47">
        <f t="shared" si="100"/>
        <v>0</v>
      </c>
      <c r="CI217" s="45"/>
      <c r="CJ217" s="42" t="str">
        <f t="shared" si="101"/>
        <v/>
      </c>
      <c r="CM217" s="42" t="str">
        <f t="shared" si="102"/>
        <v/>
      </c>
      <c r="CP217" s="46" t="str">
        <f t="shared" si="103"/>
        <v/>
      </c>
      <c r="CS217" s="46" t="str">
        <f t="shared" si="104"/>
        <v/>
      </c>
      <c r="CT217" s="42" t="str">
        <f t="shared" si="105"/>
        <v/>
      </c>
      <c r="CU217" s="42" t="str">
        <f t="shared" si="106"/>
        <v/>
      </c>
      <c r="CV217" s="42" t="str">
        <f t="shared" si="107"/>
        <v/>
      </c>
      <c r="DB217" s="45"/>
      <c r="DH217" s="42" t="str">
        <f t="shared" si="108"/>
        <v/>
      </c>
      <c r="DI217" s="43" t="str">
        <f t="shared" si="109"/>
        <v/>
      </c>
      <c r="DK217" s="46" t="str">
        <f t="shared" si="110"/>
        <v/>
      </c>
      <c r="DQ217" s="42" t="str">
        <f>IF(AH217="","",IFERROR(ROUND(100*('Weighting Options'!$D$7*IF(ISNUMBER(CA217),CA217/3,0)+'Weighting Options'!$D$8*MIN(N(BL217),3)/3+'Weighting Options'!$D$9*IF(AP217="Community/Plenary-endorsed",1,IF(AP217="FGD-validated only",0.75,IF(AP217="Sub-community-specific",0.5,IF(AP217="Provisional/emerging",0.25,0))))+'Weighting Options'!$D$10*IF(ISNUMBER(K217),K217/3,0)+'Weighting Options'!$D$11*IF(CC217="",0.5,IF(CC217="OK",1,0.25))+'Weighting Options'!$D$12*IF(DK217="",0.5,IF(DK217="Agrees",1,IF(DK217="Opposite",0,0.5)))+'Weighting Options'!$D$13*MIN(N(BG217),3)/3+'Weighting Options'!$D$14*IF(AE217=1,1,0))/SUM('Weighting Options'!$D$7:$D$14),0),""))</f>
        <v/>
      </c>
      <c r="DR217" s="44" t="str">
        <f>IF(AH217="","",IFERROR(INDEX('Weighting Options'!$D$20:$D$27,VALUE(LEFT(TRIM(BU217),1))),1))</f>
        <v/>
      </c>
      <c r="DS217" s="44" t="str">
        <f t="shared" si="111"/>
        <v/>
      </c>
      <c r="DT217" s="42" t="str">
        <f>IF(AH217="","",IF(COUNTIFS($AH$12:AH217,AH217,$AI$12:AI217,AI217,$AM$12:AM217,AM217)=1,1,0))</f>
        <v/>
      </c>
    </row>
    <row r="218" spans="16:124" ht="12.75" customHeight="1" x14ac:dyDescent="0.35">
      <c r="P218" s="41"/>
      <c r="Q218" s="41"/>
      <c r="R218" s="41"/>
      <c r="S218" s="41"/>
      <c r="AH218" s="40"/>
      <c r="AP218" s="40"/>
      <c r="AS218" s="41"/>
      <c r="AT218" s="41"/>
      <c r="AW218" t="str">
        <f t="shared" si="84"/>
        <v/>
      </c>
      <c r="AX218" t="str">
        <f t="shared" si="85"/>
        <v/>
      </c>
      <c r="AY218" t="str">
        <f t="shared" si="86"/>
        <v/>
      </c>
      <c r="AZ218" s="40"/>
      <c r="BL218" s="47" t="str">
        <f t="shared" si="87"/>
        <v/>
      </c>
      <c r="BM218" s="47" t="str">
        <f t="shared" si="88"/>
        <v/>
      </c>
      <c r="BN218" s="47" t="str">
        <f t="shared" si="89"/>
        <v/>
      </c>
      <c r="BO218" s="47" t="str">
        <f t="shared" si="90"/>
        <v/>
      </c>
      <c r="BP218" s="47" t="str">
        <f t="shared" si="91"/>
        <v/>
      </c>
      <c r="BQ218" s="48" t="str">
        <f t="shared" si="92"/>
        <v/>
      </c>
      <c r="BR218" s="48" t="str">
        <f t="shared" si="93"/>
        <v/>
      </c>
      <c r="BS218" s="48" t="str">
        <f t="shared" si="94"/>
        <v/>
      </c>
      <c r="BT218" s="47" t="str">
        <f t="shared" si="95"/>
        <v/>
      </c>
      <c r="CA218" s="47" t="str">
        <f t="shared" si="96"/>
        <v/>
      </c>
      <c r="CB218" s="47" t="str">
        <f t="shared" si="97"/>
        <v/>
      </c>
      <c r="CC218" s="47" t="str">
        <f t="shared" si="98"/>
        <v/>
      </c>
      <c r="CD218" s="47" t="str">
        <f t="shared" si="99"/>
        <v/>
      </c>
      <c r="CE218" s="47" t="str">
        <f>IF(AH218="","",IF(OR(AI218&lt;&gt;'Seasonal Tercile Tally'!$B$3,AM218&lt;&gt;'Seasonal Tercile Tally'!$B$4),"Other site/ season",IF(DT218=0,"Excluded: duplicate (later row)",IF(N218&lt;&gt;1,"Excluded: not sighted",IF(AC218&lt;&gt;1,"Excluded: not confirmed",IF(AD218&lt;&gt;1,"Excluded: not approved",IF(AP218="Contested","Excluded: contested",IF(OR(U218="",U218=0),"Excluded: no tercile",IF(CB218="","Counted (simple tally only — no weight)","Counted")))))))))</f>
        <v/>
      </c>
      <c r="CF218" s="49" t="str">
        <f>IF(AH218="","",IFERROR(INDEX('Prior Multipliers'!$C$6:$C$70,MATCH(LEFT(AH218,10),'Prior Multipliers'!$A$6:$A$70,0)),IFERROR(INDEX('Prior Multipliers'!$C$6:$C$70,MATCH(LEFT(AH218,6),'Prior Multipliers'!$A$6:$A$70,0)),IFERROR(INDEX('Prior Multipliers'!$C$6:$C$70,MATCH(LEFT(AH218,2),'Prior Multipliers'!$A$6:$A$70,0)),1))))</f>
        <v/>
      </c>
      <c r="CG218" s="49" t="str">
        <f>IF(CB218="","",IF(AND('Seasonal Tercile Tally'!$B$5=1,BT218="Rating-based"),CB218*CF218,CB218))</f>
        <v/>
      </c>
      <c r="CH218" s="47">
        <f t="shared" si="100"/>
        <v>0</v>
      </c>
      <c r="CI218" s="45"/>
      <c r="CJ218" s="42" t="str">
        <f t="shared" si="101"/>
        <v/>
      </c>
      <c r="CM218" s="42" t="str">
        <f t="shared" si="102"/>
        <v/>
      </c>
      <c r="CP218" s="46" t="str">
        <f t="shared" si="103"/>
        <v/>
      </c>
      <c r="CS218" s="46" t="str">
        <f t="shared" si="104"/>
        <v/>
      </c>
      <c r="CT218" s="42" t="str">
        <f t="shared" si="105"/>
        <v/>
      </c>
      <c r="CU218" s="42" t="str">
        <f t="shared" si="106"/>
        <v/>
      </c>
      <c r="CV218" s="42" t="str">
        <f t="shared" si="107"/>
        <v/>
      </c>
      <c r="DB218" s="45"/>
      <c r="DH218" s="42" t="str">
        <f t="shared" si="108"/>
        <v/>
      </c>
      <c r="DI218" s="43" t="str">
        <f t="shared" si="109"/>
        <v/>
      </c>
      <c r="DK218" s="46" t="str">
        <f t="shared" si="110"/>
        <v/>
      </c>
      <c r="DQ218" s="42" t="str">
        <f>IF(AH218="","",IFERROR(ROUND(100*('Weighting Options'!$D$7*IF(ISNUMBER(CA218),CA218/3,0)+'Weighting Options'!$D$8*MIN(N(BL218),3)/3+'Weighting Options'!$D$9*IF(AP218="Community/Plenary-endorsed",1,IF(AP218="FGD-validated only",0.75,IF(AP218="Sub-community-specific",0.5,IF(AP218="Provisional/emerging",0.25,0))))+'Weighting Options'!$D$10*IF(ISNUMBER(K218),K218/3,0)+'Weighting Options'!$D$11*IF(CC218="",0.5,IF(CC218="OK",1,0.25))+'Weighting Options'!$D$12*IF(DK218="",0.5,IF(DK218="Agrees",1,IF(DK218="Opposite",0,0.5)))+'Weighting Options'!$D$13*MIN(N(BG218),3)/3+'Weighting Options'!$D$14*IF(AE218=1,1,0))/SUM('Weighting Options'!$D$7:$D$14),0),""))</f>
        <v/>
      </c>
      <c r="DR218" s="44" t="str">
        <f>IF(AH218="","",IFERROR(INDEX('Weighting Options'!$D$20:$D$27,VALUE(LEFT(TRIM(BU218),1))),1))</f>
        <v/>
      </c>
      <c r="DS218" s="44" t="str">
        <f t="shared" si="111"/>
        <v/>
      </c>
      <c r="DT218" s="42" t="str">
        <f>IF(AH218="","",IF(COUNTIFS($AH$12:AH218,AH218,$AI$12:AI218,AI218,$AM$12:AM218,AM218)=1,1,0))</f>
        <v/>
      </c>
    </row>
    <row r="219" spans="16:124" ht="12.75" customHeight="1" x14ac:dyDescent="0.35">
      <c r="P219" s="41"/>
      <c r="Q219" s="41"/>
      <c r="R219" s="41"/>
      <c r="S219" s="41"/>
      <c r="AH219" s="40"/>
      <c r="AP219" s="40"/>
      <c r="AS219" s="41"/>
      <c r="AT219" s="41"/>
      <c r="AW219" t="str">
        <f t="shared" si="84"/>
        <v/>
      </c>
      <c r="AX219" t="str">
        <f t="shared" si="85"/>
        <v/>
      </c>
      <c r="AY219" t="str">
        <f t="shared" si="86"/>
        <v/>
      </c>
      <c r="AZ219" s="40"/>
      <c r="BL219" s="47" t="str">
        <f t="shared" si="87"/>
        <v/>
      </c>
      <c r="BM219" s="47" t="str">
        <f t="shared" si="88"/>
        <v/>
      </c>
      <c r="BN219" s="47" t="str">
        <f t="shared" si="89"/>
        <v/>
      </c>
      <c r="BO219" s="47" t="str">
        <f t="shared" si="90"/>
        <v/>
      </c>
      <c r="BP219" s="47" t="str">
        <f t="shared" si="91"/>
        <v/>
      </c>
      <c r="BQ219" s="48" t="str">
        <f t="shared" si="92"/>
        <v/>
      </c>
      <c r="BR219" s="48" t="str">
        <f t="shared" si="93"/>
        <v/>
      </c>
      <c r="BS219" s="48" t="str">
        <f t="shared" si="94"/>
        <v/>
      </c>
      <c r="BT219" s="47" t="str">
        <f t="shared" si="95"/>
        <v/>
      </c>
      <c r="CA219" s="47" t="str">
        <f t="shared" si="96"/>
        <v/>
      </c>
      <c r="CB219" s="47" t="str">
        <f t="shared" si="97"/>
        <v/>
      </c>
      <c r="CC219" s="47" t="str">
        <f t="shared" si="98"/>
        <v/>
      </c>
      <c r="CD219" s="47" t="str">
        <f t="shared" si="99"/>
        <v/>
      </c>
      <c r="CE219" s="47" t="str">
        <f>IF(AH219="","",IF(OR(AI219&lt;&gt;'Seasonal Tercile Tally'!$B$3,AM219&lt;&gt;'Seasonal Tercile Tally'!$B$4),"Other site/ season",IF(DT219=0,"Excluded: duplicate (later row)",IF(N219&lt;&gt;1,"Excluded: not sighted",IF(AC219&lt;&gt;1,"Excluded: not confirmed",IF(AD219&lt;&gt;1,"Excluded: not approved",IF(AP219="Contested","Excluded: contested",IF(OR(U219="",U219=0),"Excluded: no tercile",IF(CB219="","Counted (simple tally only — no weight)","Counted")))))))))</f>
        <v/>
      </c>
      <c r="CF219" s="49" t="str">
        <f>IF(AH219="","",IFERROR(INDEX('Prior Multipliers'!$C$6:$C$70,MATCH(LEFT(AH219,10),'Prior Multipliers'!$A$6:$A$70,0)),IFERROR(INDEX('Prior Multipliers'!$C$6:$C$70,MATCH(LEFT(AH219,6),'Prior Multipliers'!$A$6:$A$70,0)),IFERROR(INDEX('Prior Multipliers'!$C$6:$C$70,MATCH(LEFT(AH219,2),'Prior Multipliers'!$A$6:$A$70,0)),1))))</f>
        <v/>
      </c>
      <c r="CG219" s="49" t="str">
        <f>IF(CB219="","",IF(AND('Seasonal Tercile Tally'!$B$5=1,BT219="Rating-based"),CB219*CF219,CB219))</f>
        <v/>
      </c>
      <c r="CH219" s="47">
        <f t="shared" si="100"/>
        <v>0</v>
      </c>
      <c r="CI219" s="45"/>
      <c r="CJ219" s="42" t="str">
        <f t="shared" si="101"/>
        <v/>
      </c>
      <c r="CM219" s="42" t="str">
        <f t="shared" si="102"/>
        <v/>
      </c>
      <c r="CP219" s="46" t="str">
        <f t="shared" si="103"/>
        <v/>
      </c>
      <c r="CS219" s="46" t="str">
        <f t="shared" si="104"/>
        <v/>
      </c>
      <c r="CT219" s="42" t="str">
        <f t="shared" si="105"/>
        <v/>
      </c>
      <c r="CU219" s="42" t="str">
        <f t="shared" si="106"/>
        <v/>
      </c>
      <c r="CV219" s="42" t="str">
        <f t="shared" si="107"/>
        <v/>
      </c>
      <c r="DB219" s="45"/>
      <c r="DH219" s="42" t="str">
        <f t="shared" si="108"/>
        <v/>
      </c>
      <c r="DI219" s="43" t="str">
        <f t="shared" si="109"/>
        <v/>
      </c>
      <c r="DK219" s="46" t="str">
        <f t="shared" si="110"/>
        <v/>
      </c>
      <c r="DQ219" s="42" t="str">
        <f>IF(AH219="","",IFERROR(ROUND(100*('Weighting Options'!$D$7*IF(ISNUMBER(CA219),CA219/3,0)+'Weighting Options'!$D$8*MIN(N(BL219),3)/3+'Weighting Options'!$D$9*IF(AP219="Community/Plenary-endorsed",1,IF(AP219="FGD-validated only",0.75,IF(AP219="Sub-community-specific",0.5,IF(AP219="Provisional/emerging",0.25,0))))+'Weighting Options'!$D$10*IF(ISNUMBER(K219),K219/3,0)+'Weighting Options'!$D$11*IF(CC219="",0.5,IF(CC219="OK",1,0.25))+'Weighting Options'!$D$12*IF(DK219="",0.5,IF(DK219="Agrees",1,IF(DK219="Opposite",0,0.5)))+'Weighting Options'!$D$13*MIN(N(BG219),3)/3+'Weighting Options'!$D$14*IF(AE219=1,1,0))/SUM('Weighting Options'!$D$7:$D$14),0),""))</f>
        <v/>
      </c>
      <c r="DR219" s="44" t="str">
        <f>IF(AH219="","",IFERROR(INDEX('Weighting Options'!$D$20:$D$27,VALUE(LEFT(TRIM(BU219),1))),1))</f>
        <v/>
      </c>
      <c r="DS219" s="44" t="str">
        <f t="shared" si="111"/>
        <v/>
      </c>
      <c r="DT219" s="42" t="str">
        <f>IF(AH219="","",IF(COUNTIFS($AH$12:AH219,AH219,$AI$12:AI219,AI219,$AM$12:AM219,AM219)=1,1,0))</f>
        <v/>
      </c>
    </row>
    <row r="220" spans="16:124" ht="12.75" customHeight="1" x14ac:dyDescent="0.35">
      <c r="P220" s="41"/>
      <c r="Q220" s="41"/>
      <c r="R220" s="41"/>
      <c r="S220" s="41"/>
      <c r="AH220" s="40"/>
      <c r="AP220" s="40"/>
      <c r="AS220" s="41"/>
      <c r="AT220" s="41"/>
      <c r="AW220" t="str">
        <f t="shared" si="84"/>
        <v/>
      </c>
      <c r="AX220" t="str">
        <f t="shared" si="85"/>
        <v/>
      </c>
      <c r="AY220" t="str">
        <f t="shared" si="86"/>
        <v/>
      </c>
      <c r="AZ220" s="40"/>
      <c r="BL220" s="47" t="str">
        <f t="shared" si="87"/>
        <v/>
      </c>
      <c r="BM220" s="47" t="str">
        <f t="shared" si="88"/>
        <v/>
      </c>
      <c r="BN220" s="47" t="str">
        <f t="shared" si="89"/>
        <v/>
      </c>
      <c r="BO220" s="47" t="str">
        <f t="shared" si="90"/>
        <v/>
      </c>
      <c r="BP220" s="47" t="str">
        <f t="shared" si="91"/>
        <v/>
      </c>
      <c r="BQ220" s="48" t="str">
        <f t="shared" si="92"/>
        <v/>
      </c>
      <c r="BR220" s="48" t="str">
        <f t="shared" si="93"/>
        <v/>
      </c>
      <c r="BS220" s="48" t="str">
        <f t="shared" si="94"/>
        <v/>
      </c>
      <c r="BT220" s="47" t="str">
        <f t="shared" si="95"/>
        <v/>
      </c>
      <c r="CA220" s="47" t="str">
        <f t="shared" si="96"/>
        <v/>
      </c>
      <c r="CB220" s="47" t="str">
        <f t="shared" si="97"/>
        <v/>
      </c>
      <c r="CC220" s="47" t="str">
        <f t="shared" si="98"/>
        <v/>
      </c>
      <c r="CD220" s="47" t="str">
        <f t="shared" si="99"/>
        <v/>
      </c>
      <c r="CE220" s="47" t="str">
        <f>IF(AH220="","",IF(OR(AI220&lt;&gt;'Seasonal Tercile Tally'!$B$3,AM220&lt;&gt;'Seasonal Tercile Tally'!$B$4),"Other site/ season",IF(DT220=0,"Excluded: duplicate (later row)",IF(N220&lt;&gt;1,"Excluded: not sighted",IF(AC220&lt;&gt;1,"Excluded: not confirmed",IF(AD220&lt;&gt;1,"Excluded: not approved",IF(AP220="Contested","Excluded: contested",IF(OR(U220="",U220=0),"Excluded: no tercile",IF(CB220="","Counted (simple tally only — no weight)","Counted")))))))))</f>
        <v/>
      </c>
      <c r="CF220" s="49" t="str">
        <f>IF(AH220="","",IFERROR(INDEX('Prior Multipliers'!$C$6:$C$70,MATCH(LEFT(AH220,10),'Prior Multipliers'!$A$6:$A$70,0)),IFERROR(INDEX('Prior Multipliers'!$C$6:$C$70,MATCH(LEFT(AH220,6),'Prior Multipliers'!$A$6:$A$70,0)),IFERROR(INDEX('Prior Multipliers'!$C$6:$C$70,MATCH(LEFT(AH220,2),'Prior Multipliers'!$A$6:$A$70,0)),1))))</f>
        <v/>
      </c>
      <c r="CG220" s="49" t="str">
        <f>IF(CB220="","",IF(AND('Seasonal Tercile Tally'!$B$5=1,BT220="Rating-based"),CB220*CF220,CB220))</f>
        <v/>
      </c>
      <c r="CH220" s="47">
        <f t="shared" si="100"/>
        <v>0</v>
      </c>
      <c r="CI220" s="45"/>
      <c r="CJ220" s="42" t="str">
        <f t="shared" si="101"/>
        <v/>
      </c>
      <c r="CM220" s="42" t="str">
        <f t="shared" si="102"/>
        <v/>
      </c>
      <c r="CP220" s="46" t="str">
        <f t="shared" si="103"/>
        <v/>
      </c>
      <c r="CS220" s="46" t="str">
        <f t="shared" si="104"/>
        <v/>
      </c>
      <c r="CT220" s="42" t="str">
        <f t="shared" si="105"/>
        <v/>
      </c>
      <c r="CU220" s="42" t="str">
        <f t="shared" si="106"/>
        <v/>
      </c>
      <c r="CV220" s="42" t="str">
        <f t="shared" si="107"/>
        <v/>
      </c>
      <c r="DB220" s="45"/>
      <c r="DH220" s="42" t="str">
        <f t="shared" si="108"/>
        <v/>
      </c>
      <c r="DI220" s="43" t="str">
        <f t="shared" si="109"/>
        <v/>
      </c>
      <c r="DK220" s="46" t="str">
        <f t="shared" si="110"/>
        <v/>
      </c>
      <c r="DQ220" s="42" t="str">
        <f>IF(AH220="","",IFERROR(ROUND(100*('Weighting Options'!$D$7*IF(ISNUMBER(CA220),CA220/3,0)+'Weighting Options'!$D$8*MIN(N(BL220),3)/3+'Weighting Options'!$D$9*IF(AP220="Community/Plenary-endorsed",1,IF(AP220="FGD-validated only",0.75,IF(AP220="Sub-community-specific",0.5,IF(AP220="Provisional/emerging",0.25,0))))+'Weighting Options'!$D$10*IF(ISNUMBER(K220),K220/3,0)+'Weighting Options'!$D$11*IF(CC220="",0.5,IF(CC220="OK",1,0.25))+'Weighting Options'!$D$12*IF(DK220="",0.5,IF(DK220="Agrees",1,IF(DK220="Opposite",0,0.5)))+'Weighting Options'!$D$13*MIN(N(BG220),3)/3+'Weighting Options'!$D$14*IF(AE220=1,1,0))/SUM('Weighting Options'!$D$7:$D$14),0),""))</f>
        <v/>
      </c>
      <c r="DR220" s="44" t="str">
        <f>IF(AH220="","",IFERROR(INDEX('Weighting Options'!$D$20:$D$27,VALUE(LEFT(TRIM(BU220),1))),1))</f>
        <v/>
      </c>
      <c r="DS220" s="44" t="str">
        <f t="shared" si="111"/>
        <v/>
      </c>
      <c r="DT220" s="42" t="str">
        <f>IF(AH220="","",IF(COUNTIFS($AH$12:AH220,AH220,$AI$12:AI220,AI220,$AM$12:AM220,AM220)=1,1,0))</f>
        <v/>
      </c>
    </row>
    <row r="221" spans="16:124" ht="12.75" customHeight="1" x14ac:dyDescent="0.35">
      <c r="P221" s="41"/>
      <c r="Q221" s="41"/>
      <c r="R221" s="41"/>
      <c r="S221" s="41"/>
      <c r="AH221" s="40"/>
      <c r="AP221" s="40"/>
      <c r="AS221" s="41"/>
      <c r="AT221" s="41"/>
      <c r="AW221" t="str">
        <f t="shared" si="84"/>
        <v/>
      </c>
      <c r="AX221" t="str">
        <f t="shared" si="85"/>
        <v/>
      </c>
      <c r="AY221" t="str">
        <f t="shared" si="86"/>
        <v/>
      </c>
      <c r="AZ221" s="40"/>
      <c r="BL221" s="47" t="str">
        <f t="shared" si="87"/>
        <v/>
      </c>
      <c r="BM221" s="47" t="str">
        <f t="shared" si="88"/>
        <v/>
      </c>
      <c r="BN221" s="47" t="str">
        <f t="shared" si="89"/>
        <v/>
      </c>
      <c r="BO221" s="47" t="str">
        <f t="shared" si="90"/>
        <v/>
      </c>
      <c r="BP221" s="47" t="str">
        <f t="shared" si="91"/>
        <v/>
      </c>
      <c r="BQ221" s="48" t="str">
        <f t="shared" si="92"/>
        <v/>
      </c>
      <c r="BR221" s="48" t="str">
        <f t="shared" si="93"/>
        <v/>
      </c>
      <c r="BS221" s="48" t="str">
        <f t="shared" si="94"/>
        <v/>
      </c>
      <c r="BT221" s="47" t="str">
        <f t="shared" si="95"/>
        <v/>
      </c>
      <c r="CA221" s="47" t="str">
        <f t="shared" si="96"/>
        <v/>
      </c>
      <c r="CB221" s="47" t="str">
        <f t="shared" si="97"/>
        <v/>
      </c>
      <c r="CC221" s="47" t="str">
        <f t="shared" si="98"/>
        <v/>
      </c>
      <c r="CD221" s="47" t="str">
        <f t="shared" si="99"/>
        <v/>
      </c>
      <c r="CE221" s="47" t="str">
        <f>IF(AH221="","",IF(OR(AI221&lt;&gt;'Seasonal Tercile Tally'!$B$3,AM221&lt;&gt;'Seasonal Tercile Tally'!$B$4),"Other site/ season",IF(DT221=0,"Excluded: duplicate (later row)",IF(N221&lt;&gt;1,"Excluded: not sighted",IF(AC221&lt;&gt;1,"Excluded: not confirmed",IF(AD221&lt;&gt;1,"Excluded: not approved",IF(AP221="Contested","Excluded: contested",IF(OR(U221="",U221=0),"Excluded: no tercile",IF(CB221="","Counted (simple tally only — no weight)","Counted")))))))))</f>
        <v/>
      </c>
      <c r="CF221" s="49" t="str">
        <f>IF(AH221="","",IFERROR(INDEX('Prior Multipliers'!$C$6:$C$70,MATCH(LEFT(AH221,10),'Prior Multipliers'!$A$6:$A$70,0)),IFERROR(INDEX('Prior Multipliers'!$C$6:$C$70,MATCH(LEFT(AH221,6),'Prior Multipliers'!$A$6:$A$70,0)),IFERROR(INDEX('Prior Multipliers'!$C$6:$C$70,MATCH(LEFT(AH221,2),'Prior Multipliers'!$A$6:$A$70,0)),1))))</f>
        <v/>
      </c>
      <c r="CG221" s="49" t="str">
        <f>IF(CB221="","",IF(AND('Seasonal Tercile Tally'!$B$5=1,BT221="Rating-based"),CB221*CF221,CB221))</f>
        <v/>
      </c>
      <c r="CH221" s="47">
        <f t="shared" si="100"/>
        <v>0</v>
      </c>
      <c r="CI221" s="45"/>
      <c r="CJ221" s="42" t="str">
        <f t="shared" si="101"/>
        <v/>
      </c>
      <c r="CM221" s="42" t="str">
        <f t="shared" si="102"/>
        <v/>
      </c>
      <c r="CP221" s="46" t="str">
        <f t="shared" si="103"/>
        <v/>
      </c>
      <c r="CS221" s="46" t="str">
        <f t="shared" si="104"/>
        <v/>
      </c>
      <c r="CT221" s="42" t="str">
        <f t="shared" si="105"/>
        <v/>
      </c>
      <c r="CU221" s="42" t="str">
        <f t="shared" si="106"/>
        <v/>
      </c>
      <c r="CV221" s="42" t="str">
        <f t="shared" si="107"/>
        <v/>
      </c>
      <c r="DB221" s="45"/>
      <c r="DH221" s="42" t="str">
        <f t="shared" si="108"/>
        <v/>
      </c>
      <c r="DI221" s="43" t="str">
        <f t="shared" si="109"/>
        <v/>
      </c>
      <c r="DK221" s="46" t="str">
        <f t="shared" si="110"/>
        <v/>
      </c>
      <c r="DQ221" s="42" t="str">
        <f>IF(AH221="","",IFERROR(ROUND(100*('Weighting Options'!$D$7*IF(ISNUMBER(CA221),CA221/3,0)+'Weighting Options'!$D$8*MIN(N(BL221),3)/3+'Weighting Options'!$D$9*IF(AP221="Community/Plenary-endorsed",1,IF(AP221="FGD-validated only",0.75,IF(AP221="Sub-community-specific",0.5,IF(AP221="Provisional/emerging",0.25,0))))+'Weighting Options'!$D$10*IF(ISNUMBER(K221),K221/3,0)+'Weighting Options'!$D$11*IF(CC221="",0.5,IF(CC221="OK",1,0.25))+'Weighting Options'!$D$12*IF(DK221="",0.5,IF(DK221="Agrees",1,IF(DK221="Opposite",0,0.5)))+'Weighting Options'!$D$13*MIN(N(BG221),3)/3+'Weighting Options'!$D$14*IF(AE221=1,1,0))/SUM('Weighting Options'!$D$7:$D$14),0),""))</f>
        <v/>
      </c>
      <c r="DR221" s="44" t="str">
        <f>IF(AH221="","",IFERROR(INDEX('Weighting Options'!$D$20:$D$27,VALUE(LEFT(TRIM(BU221),1))),1))</f>
        <v/>
      </c>
      <c r="DS221" s="44" t="str">
        <f t="shared" si="111"/>
        <v/>
      </c>
      <c r="DT221" s="42" t="str">
        <f>IF(AH221="","",IF(COUNTIFS($AH$12:AH221,AH221,$AI$12:AI221,AI221,$AM$12:AM221,AM221)=1,1,0))</f>
        <v/>
      </c>
    </row>
    <row r="222" spans="16:124" ht="12.75" customHeight="1" x14ac:dyDescent="0.35">
      <c r="P222" s="41"/>
      <c r="Q222" s="41"/>
      <c r="R222" s="41"/>
      <c r="S222" s="41"/>
      <c r="AH222" s="40"/>
      <c r="AP222" s="40"/>
      <c r="AS222" s="41"/>
      <c r="AT222" s="41"/>
      <c r="AW222" t="str">
        <f t="shared" si="84"/>
        <v/>
      </c>
      <c r="AX222" t="str">
        <f t="shared" si="85"/>
        <v/>
      </c>
      <c r="AY222" t="str">
        <f t="shared" si="86"/>
        <v/>
      </c>
      <c r="AZ222" s="40"/>
      <c r="BL222" s="47" t="str">
        <f t="shared" si="87"/>
        <v/>
      </c>
      <c r="BM222" s="47" t="str">
        <f t="shared" si="88"/>
        <v/>
      </c>
      <c r="BN222" s="47" t="str">
        <f t="shared" si="89"/>
        <v/>
      </c>
      <c r="BO222" s="47" t="str">
        <f t="shared" si="90"/>
        <v/>
      </c>
      <c r="BP222" s="47" t="str">
        <f t="shared" si="91"/>
        <v/>
      </c>
      <c r="BQ222" s="48" t="str">
        <f t="shared" si="92"/>
        <v/>
      </c>
      <c r="BR222" s="48" t="str">
        <f t="shared" si="93"/>
        <v/>
      </c>
      <c r="BS222" s="48" t="str">
        <f t="shared" si="94"/>
        <v/>
      </c>
      <c r="BT222" s="47" t="str">
        <f t="shared" si="95"/>
        <v/>
      </c>
      <c r="CA222" s="47" t="str">
        <f t="shared" si="96"/>
        <v/>
      </c>
      <c r="CB222" s="47" t="str">
        <f t="shared" si="97"/>
        <v/>
      </c>
      <c r="CC222" s="47" t="str">
        <f t="shared" si="98"/>
        <v/>
      </c>
      <c r="CD222" s="47" t="str">
        <f t="shared" si="99"/>
        <v/>
      </c>
      <c r="CE222" s="47" t="str">
        <f>IF(AH222="","",IF(OR(AI222&lt;&gt;'Seasonal Tercile Tally'!$B$3,AM222&lt;&gt;'Seasonal Tercile Tally'!$B$4),"Other site/ season",IF(DT222=0,"Excluded: duplicate (later row)",IF(N222&lt;&gt;1,"Excluded: not sighted",IF(AC222&lt;&gt;1,"Excluded: not confirmed",IF(AD222&lt;&gt;1,"Excluded: not approved",IF(AP222="Contested","Excluded: contested",IF(OR(U222="",U222=0),"Excluded: no tercile",IF(CB222="","Counted (simple tally only — no weight)","Counted")))))))))</f>
        <v/>
      </c>
      <c r="CF222" s="49" t="str">
        <f>IF(AH222="","",IFERROR(INDEX('Prior Multipliers'!$C$6:$C$70,MATCH(LEFT(AH222,10),'Prior Multipliers'!$A$6:$A$70,0)),IFERROR(INDEX('Prior Multipliers'!$C$6:$C$70,MATCH(LEFT(AH222,6),'Prior Multipliers'!$A$6:$A$70,0)),IFERROR(INDEX('Prior Multipliers'!$C$6:$C$70,MATCH(LEFT(AH222,2),'Prior Multipliers'!$A$6:$A$70,0)),1))))</f>
        <v/>
      </c>
      <c r="CG222" s="49" t="str">
        <f>IF(CB222="","",IF(AND('Seasonal Tercile Tally'!$B$5=1,BT222="Rating-based"),CB222*CF222,CB222))</f>
        <v/>
      </c>
      <c r="CH222" s="47">
        <f t="shared" si="100"/>
        <v>0</v>
      </c>
      <c r="CI222" s="45"/>
      <c r="CJ222" s="42" t="str">
        <f t="shared" si="101"/>
        <v/>
      </c>
      <c r="CM222" s="42" t="str">
        <f t="shared" si="102"/>
        <v/>
      </c>
      <c r="CP222" s="46" t="str">
        <f t="shared" si="103"/>
        <v/>
      </c>
      <c r="CS222" s="46" t="str">
        <f t="shared" si="104"/>
        <v/>
      </c>
      <c r="CT222" s="42" t="str">
        <f t="shared" si="105"/>
        <v/>
      </c>
      <c r="CU222" s="42" t="str">
        <f t="shared" si="106"/>
        <v/>
      </c>
      <c r="CV222" s="42" t="str">
        <f t="shared" si="107"/>
        <v/>
      </c>
      <c r="DB222" s="45"/>
      <c r="DH222" s="42" t="str">
        <f t="shared" si="108"/>
        <v/>
      </c>
      <c r="DI222" s="43" t="str">
        <f t="shared" si="109"/>
        <v/>
      </c>
      <c r="DK222" s="46" t="str">
        <f t="shared" si="110"/>
        <v/>
      </c>
      <c r="DQ222" s="42" t="str">
        <f>IF(AH222="","",IFERROR(ROUND(100*('Weighting Options'!$D$7*IF(ISNUMBER(CA222),CA222/3,0)+'Weighting Options'!$D$8*MIN(N(BL222),3)/3+'Weighting Options'!$D$9*IF(AP222="Community/Plenary-endorsed",1,IF(AP222="FGD-validated only",0.75,IF(AP222="Sub-community-specific",0.5,IF(AP222="Provisional/emerging",0.25,0))))+'Weighting Options'!$D$10*IF(ISNUMBER(K222),K222/3,0)+'Weighting Options'!$D$11*IF(CC222="",0.5,IF(CC222="OK",1,0.25))+'Weighting Options'!$D$12*IF(DK222="",0.5,IF(DK222="Agrees",1,IF(DK222="Opposite",0,0.5)))+'Weighting Options'!$D$13*MIN(N(BG222),3)/3+'Weighting Options'!$D$14*IF(AE222=1,1,0))/SUM('Weighting Options'!$D$7:$D$14),0),""))</f>
        <v/>
      </c>
      <c r="DR222" s="44" t="str">
        <f>IF(AH222="","",IFERROR(INDEX('Weighting Options'!$D$20:$D$27,VALUE(LEFT(TRIM(BU222),1))),1))</f>
        <v/>
      </c>
      <c r="DS222" s="44" t="str">
        <f t="shared" si="111"/>
        <v/>
      </c>
      <c r="DT222" s="42" t="str">
        <f>IF(AH222="","",IF(COUNTIFS($AH$12:AH222,AH222,$AI$12:AI222,AI222,$AM$12:AM222,AM222)=1,1,0))</f>
        <v/>
      </c>
    </row>
    <row r="223" spans="16:124" ht="12.75" customHeight="1" x14ac:dyDescent="0.35">
      <c r="P223" s="41"/>
      <c r="Q223" s="41"/>
      <c r="R223" s="41"/>
      <c r="S223" s="41"/>
      <c r="AH223" s="40"/>
      <c r="AP223" s="40"/>
      <c r="AS223" s="41"/>
      <c r="AT223" s="41"/>
      <c r="AW223" t="str">
        <f t="shared" si="84"/>
        <v/>
      </c>
      <c r="AX223" t="str">
        <f t="shared" si="85"/>
        <v/>
      </c>
      <c r="AY223" t="str">
        <f t="shared" si="86"/>
        <v/>
      </c>
      <c r="AZ223" s="40"/>
      <c r="BL223" s="47" t="str">
        <f t="shared" si="87"/>
        <v/>
      </c>
      <c r="BM223" s="47" t="str">
        <f t="shared" si="88"/>
        <v/>
      </c>
      <c r="BN223" s="47" t="str">
        <f t="shared" si="89"/>
        <v/>
      </c>
      <c r="BO223" s="47" t="str">
        <f t="shared" si="90"/>
        <v/>
      </c>
      <c r="BP223" s="47" t="str">
        <f t="shared" si="91"/>
        <v/>
      </c>
      <c r="BQ223" s="48" t="str">
        <f t="shared" si="92"/>
        <v/>
      </c>
      <c r="BR223" s="48" t="str">
        <f t="shared" si="93"/>
        <v/>
      </c>
      <c r="BS223" s="48" t="str">
        <f t="shared" si="94"/>
        <v/>
      </c>
      <c r="BT223" s="47" t="str">
        <f t="shared" si="95"/>
        <v/>
      </c>
      <c r="CA223" s="47" t="str">
        <f t="shared" si="96"/>
        <v/>
      </c>
      <c r="CB223" s="47" t="str">
        <f t="shared" si="97"/>
        <v/>
      </c>
      <c r="CC223" s="47" t="str">
        <f t="shared" si="98"/>
        <v/>
      </c>
      <c r="CD223" s="47" t="str">
        <f t="shared" si="99"/>
        <v/>
      </c>
      <c r="CE223" s="47" t="str">
        <f>IF(AH223="","",IF(OR(AI223&lt;&gt;'Seasonal Tercile Tally'!$B$3,AM223&lt;&gt;'Seasonal Tercile Tally'!$B$4),"Other site/ season",IF(DT223=0,"Excluded: duplicate (later row)",IF(N223&lt;&gt;1,"Excluded: not sighted",IF(AC223&lt;&gt;1,"Excluded: not confirmed",IF(AD223&lt;&gt;1,"Excluded: not approved",IF(AP223="Contested","Excluded: contested",IF(OR(U223="",U223=0),"Excluded: no tercile",IF(CB223="","Counted (simple tally only — no weight)","Counted")))))))))</f>
        <v/>
      </c>
      <c r="CF223" s="49" t="str">
        <f>IF(AH223="","",IFERROR(INDEX('Prior Multipliers'!$C$6:$C$70,MATCH(LEFT(AH223,10),'Prior Multipliers'!$A$6:$A$70,0)),IFERROR(INDEX('Prior Multipliers'!$C$6:$C$70,MATCH(LEFT(AH223,6),'Prior Multipliers'!$A$6:$A$70,0)),IFERROR(INDEX('Prior Multipliers'!$C$6:$C$70,MATCH(LEFT(AH223,2),'Prior Multipliers'!$A$6:$A$70,0)),1))))</f>
        <v/>
      </c>
      <c r="CG223" s="49" t="str">
        <f>IF(CB223="","",IF(AND('Seasonal Tercile Tally'!$B$5=1,BT223="Rating-based"),CB223*CF223,CB223))</f>
        <v/>
      </c>
      <c r="CH223" s="47">
        <f t="shared" si="100"/>
        <v>0</v>
      </c>
      <c r="CI223" s="45"/>
      <c r="CJ223" s="42" t="str">
        <f t="shared" si="101"/>
        <v/>
      </c>
      <c r="CM223" s="42" t="str">
        <f t="shared" si="102"/>
        <v/>
      </c>
      <c r="CP223" s="46" t="str">
        <f t="shared" si="103"/>
        <v/>
      </c>
      <c r="CS223" s="46" t="str">
        <f t="shared" si="104"/>
        <v/>
      </c>
      <c r="CT223" s="42" t="str">
        <f t="shared" si="105"/>
        <v/>
      </c>
      <c r="CU223" s="42" t="str">
        <f t="shared" si="106"/>
        <v/>
      </c>
      <c r="CV223" s="42" t="str">
        <f t="shared" si="107"/>
        <v/>
      </c>
      <c r="DB223" s="45"/>
      <c r="DH223" s="42" t="str">
        <f t="shared" si="108"/>
        <v/>
      </c>
      <c r="DI223" s="43" t="str">
        <f t="shared" si="109"/>
        <v/>
      </c>
      <c r="DK223" s="46" t="str">
        <f t="shared" si="110"/>
        <v/>
      </c>
      <c r="DQ223" s="42" t="str">
        <f>IF(AH223="","",IFERROR(ROUND(100*('Weighting Options'!$D$7*IF(ISNUMBER(CA223),CA223/3,0)+'Weighting Options'!$D$8*MIN(N(BL223),3)/3+'Weighting Options'!$D$9*IF(AP223="Community/Plenary-endorsed",1,IF(AP223="FGD-validated only",0.75,IF(AP223="Sub-community-specific",0.5,IF(AP223="Provisional/emerging",0.25,0))))+'Weighting Options'!$D$10*IF(ISNUMBER(K223),K223/3,0)+'Weighting Options'!$D$11*IF(CC223="",0.5,IF(CC223="OK",1,0.25))+'Weighting Options'!$D$12*IF(DK223="",0.5,IF(DK223="Agrees",1,IF(DK223="Opposite",0,0.5)))+'Weighting Options'!$D$13*MIN(N(BG223),3)/3+'Weighting Options'!$D$14*IF(AE223=1,1,0))/SUM('Weighting Options'!$D$7:$D$14),0),""))</f>
        <v/>
      </c>
      <c r="DR223" s="44" t="str">
        <f>IF(AH223="","",IFERROR(INDEX('Weighting Options'!$D$20:$D$27,VALUE(LEFT(TRIM(BU223),1))),1))</f>
        <v/>
      </c>
      <c r="DS223" s="44" t="str">
        <f t="shared" si="111"/>
        <v/>
      </c>
      <c r="DT223" s="42" t="str">
        <f>IF(AH223="","",IF(COUNTIFS($AH$12:AH223,AH223,$AI$12:AI223,AI223,$AM$12:AM223,AM223)=1,1,0))</f>
        <v/>
      </c>
    </row>
    <row r="224" spans="16:124" ht="12.75" customHeight="1" x14ac:dyDescent="0.35">
      <c r="P224" s="41"/>
      <c r="Q224" s="41"/>
      <c r="R224" s="41"/>
      <c r="S224" s="41"/>
      <c r="AH224" s="40"/>
      <c r="AP224" s="40"/>
      <c r="AS224" s="41"/>
      <c r="AT224" s="41"/>
      <c r="AW224" t="str">
        <f t="shared" si="84"/>
        <v/>
      </c>
      <c r="AX224" t="str">
        <f t="shared" si="85"/>
        <v/>
      </c>
      <c r="AY224" t="str">
        <f t="shared" si="86"/>
        <v/>
      </c>
      <c r="AZ224" s="40"/>
      <c r="BL224" s="47" t="str">
        <f t="shared" si="87"/>
        <v/>
      </c>
      <c r="BM224" s="47" t="str">
        <f t="shared" si="88"/>
        <v/>
      </c>
      <c r="BN224" s="47" t="str">
        <f t="shared" si="89"/>
        <v/>
      </c>
      <c r="BO224" s="47" t="str">
        <f t="shared" si="90"/>
        <v/>
      </c>
      <c r="BP224" s="47" t="str">
        <f t="shared" si="91"/>
        <v/>
      </c>
      <c r="BQ224" s="48" t="str">
        <f t="shared" si="92"/>
        <v/>
      </c>
      <c r="BR224" s="48" t="str">
        <f t="shared" si="93"/>
        <v/>
      </c>
      <c r="BS224" s="48" t="str">
        <f t="shared" si="94"/>
        <v/>
      </c>
      <c r="BT224" s="47" t="str">
        <f t="shared" si="95"/>
        <v/>
      </c>
      <c r="CA224" s="47" t="str">
        <f t="shared" si="96"/>
        <v/>
      </c>
      <c r="CB224" s="47" t="str">
        <f t="shared" si="97"/>
        <v/>
      </c>
      <c r="CC224" s="47" t="str">
        <f t="shared" si="98"/>
        <v/>
      </c>
      <c r="CD224" s="47" t="str">
        <f t="shared" si="99"/>
        <v/>
      </c>
      <c r="CE224" s="47" t="str">
        <f>IF(AH224="","",IF(OR(AI224&lt;&gt;'Seasonal Tercile Tally'!$B$3,AM224&lt;&gt;'Seasonal Tercile Tally'!$B$4),"Other site/ season",IF(DT224=0,"Excluded: duplicate (later row)",IF(N224&lt;&gt;1,"Excluded: not sighted",IF(AC224&lt;&gt;1,"Excluded: not confirmed",IF(AD224&lt;&gt;1,"Excluded: not approved",IF(AP224="Contested","Excluded: contested",IF(OR(U224="",U224=0),"Excluded: no tercile",IF(CB224="","Counted (simple tally only — no weight)","Counted")))))))))</f>
        <v/>
      </c>
      <c r="CF224" s="49" t="str">
        <f>IF(AH224="","",IFERROR(INDEX('Prior Multipliers'!$C$6:$C$70,MATCH(LEFT(AH224,10),'Prior Multipliers'!$A$6:$A$70,0)),IFERROR(INDEX('Prior Multipliers'!$C$6:$C$70,MATCH(LEFT(AH224,6),'Prior Multipliers'!$A$6:$A$70,0)),IFERROR(INDEX('Prior Multipliers'!$C$6:$C$70,MATCH(LEFT(AH224,2),'Prior Multipliers'!$A$6:$A$70,0)),1))))</f>
        <v/>
      </c>
      <c r="CG224" s="49" t="str">
        <f>IF(CB224="","",IF(AND('Seasonal Tercile Tally'!$B$5=1,BT224="Rating-based"),CB224*CF224,CB224))</f>
        <v/>
      </c>
      <c r="CH224" s="47">
        <f t="shared" si="100"/>
        <v>0</v>
      </c>
      <c r="CI224" s="45"/>
      <c r="CJ224" s="42" t="str">
        <f t="shared" si="101"/>
        <v/>
      </c>
      <c r="CM224" s="42" t="str">
        <f t="shared" si="102"/>
        <v/>
      </c>
      <c r="CP224" s="46" t="str">
        <f t="shared" si="103"/>
        <v/>
      </c>
      <c r="CS224" s="46" t="str">
        <f t="shared" si="104"/>
        <v/>
      </c>
      <c r="CT224" s="42" t="str">
        <f t="shared" si="105"/>
        <v/>
      </c>
      <c r="CU224" s="42" t="str">
        <f t="shared" si="106"/>
        <v/>
      </c>
      <c r="CV224" s="42" t="str">
        <f t="shared" si="107"/>
        <v/>
      </c>
      <c r="DB224" s="45"/>
      <c r="DH224" s="42" t="str">
        <f t="shared" si="108"/>
        <v/>
      </c>
      <c r="DI224" s="43" t="str">
        <f t="shared" si="109"/>
        <v/>
      </c>
      <c r="DK224" s="46" t="str">
        <f t="shared" si="110"/>
        <v/>
      </c>
      <c r="DQ224" s="42" t="str">
        <f>IF(AH224="","",IFERROR(ROUND(100*('Weighting Options'!$D$7*IF(ISNUMBER(CA224),CA224/3,0)+'Weighting Options'!$D$8*MIN(N(BL224),3)/3+'Weighting Options'!$D$9*IF(AP224="Community/Plenary-endorsed",1,IF(AP224="FGD-validated only",0.75,IF(AP224="Sub-community-specific",0.5,IF(AP224="Provisional/emerging",0.25,0))))+'Weighting Options'!$D$10*IF(ISNUMBER(K224),K224/3,0)+'Weighting Options'!$D$11*IF(CC224="",0.5,IF(CC224="OK",1,0.25))+'Weighting Options'!$D$12*IF(DK224="",0.5,IF(DK224="Agrees",1,IF(DK224="Opposite",0,0.5)))+'Weighting Options'!$D$13*MIN(N(BG224),3)/3+'Weighting Options'!$D$14*IF(AE224=1,1,0))/SUM('Weighting Options'!$D$7:$D$14),0),""))</f>
        <v/>
      </c>
      <c r="DR224" s="44" t="str">
        <f>IF(AH224="","",IFERROR(INDEX('Weighting Options'!$D$20:$D$27,VALUE(LEFT(TRIM(BU224),1))),1))</f>
        <v/>
      </c>
      <c r="DS224" s="44" t="str">
        <f t="shared" si="111"/>
        <v/>
      </c>
      <c r="DT224" s="42" t="str">
        <f>IF(AH224="","",IF(COUNTIFS($AH$12:AH224,AH224,$AI$12:AI224,AI224,$AM$12:AM224,AM224)=1,1,0))</f>
        <v/>
      </c>
    </row>
    <row r="225" spans="16:124" ht="12.75" customHeight="1" x14ac:dyDescent="0.35">
      <c r="P225" s="41"/>
      <c r="Q225" s="41"/>
      <c r="R225" s="41"/>
      <c r="S225" s="41"/>
      <c r="AH225" s="40"/>
      <c r="AP225" s="40"/>
      <c r="AS225" s="41"/>
      <c r="AT225" s="41"/>
      <c r="AW225" t="str">
        <f t="shared" si="84"/>
        <v/>
      </c>
      <c r="AX225" t="str">
        <f t="shared" si="85"/>
        <v/>
      </c>
      <c r="AY225" t="str">
        <f t="shared" si="86"/>
        <v/>
      </c>
      <c r="AZ225" s="40"/>
      <c r="BL225" s="47" t="str">
        <f t="shared" si="87"/>
        <v/>
      </c>
      <c r="BM225" s="47" t="str">
        <f t="shared" si="88"/>
        <v/>
      </c>
      <c r="BN225" s="47" t="str">
        <f t="shared" si="89"/>
        <v/>
      </c>
      <c r="BO225" s="47" t="str">
        <f t="shared" si="90"/>
        <v/>
      </c>
      <c r="BP225" s="47" t="str">
        <f t="shared" si="91"/>
        <v/>
      </c>
      <c r="BQ225" s="48" t="str">
        <f t="shared" si="92"/>
        <v/>
      </c>
      <c r="BR225" s="48" t="str">
        <f t="shared" si="93"/>
        <v/>
      </c>
      <c r="BS225" s="48" t="str">
        <f t="shared" si="94"/>
        <v/>
      </c>
      <c r="BT225" s="47" t="str">
        <f t="shared" si="95"/>
        <v/>
      </c>
      <c r="CA225" s="47" t="str">
        <f t="shared" si="96"/>
        <v/>
      </c>
      <c r="CB225" s="47" t="str">
        <f t="shared" si="97"/>
        <v/>
      </c>
      <c r="CC225" s="47" t="str">
        <f t="shared" si="98"/>
        <v/>
      </c>
      <c r="CD225" s="47" t="str">
        <f t="shared" si="99"/>
        <v/>
      </c>
      <c r="CE225" s="47" t="str">
        <f>IF(AH225="","",IF(OR(AI225&lt;&gt;'Seasonal Tercile Tally'!$B$3,AM225&lt;&gt;'Seasonal Tercile Tally'!$B$4),"Other site/ season",IF(DT225=0,"Excluded: duplicate (later row)",IF(N225&lt;&gt;1,"Excluded: not sighted",IF(AC225&lt;&gt;1,"Excluded: not confirmed",IF(AD225&lt;&gt;1,"Excluded: not approved",IF(AP225="Contested","Excluded: contested",IF(OR(U225="",U225=0),"Excluded: no tercile",IF(CB225="","Counted (simple tally only — no weight)","Counted")))))))))</f>
        <v/>
      </c>
      <c r="CF225" s="49" t="str">
        <f>IF(AH225="","",IFERROR(INDEX('Prior Multipliers'!$C$6:$C$70,MATCH(LEFT(AH225,10),'Prior Multipliers'!$A$6:$A$70,0)),IFERROR(INDEX('Prior Multipliers'!$C$6:$C$70,MATCH(LEFT(AH225,6),'Prior Multipliers'!$A$6:$A$70,0)),IFERROR(INDEX('Prior Multipliers'!$C$6:$C$70,MATCH(LEFT(AH225,2),'Prior Multipliers'!$A$6:$A$70,0)),1))))</f>
        <v/>
      </c>
      <c r="CG225" s="49" t="str">
        <f>IF(CB225="","",IF(AND('Seasonal Tercile Tally'!$B$5=1,BT225="Rating-based"),CB225*CF225,CB225))</f>
        <v/>
      </c>
      <c r="CH225" s="47">
        <f t="shared" si="100"/>
        <v>0</v>
      </c>
      <c r="CI225" s="45"/>
      <c r="CJ225" s="42" t="str">
        <f t="shared" si="101"/>
        <v/>
      </c>
      <c r="CM225" s="42" t="str">
        <f t="shared" si="102"/>
        <v/>
      </c>
      <c r="CP225" s="46" t="str">
        <f t="shared" si="103"/>
        <v/>
      </c>
      <c r="CS225" s="46" t="str">
        <f t="shared" si="104"/>
        <v/>
      </c>
      <c r="CT225" s="42" t="str">
        <f t="shared" si="105"/>
        <v/>
      </c>
      <c r="CU225" s="42" t="str">
        <f t="shared" si="106"/>
        <v/>
      </c>
      <c r="CV225" s="42" t="str">
        <f t="shared" si="107"/>
        <v/>
      </c>
      <c r="DB225" s="45"/>
      <c r="DH225" s="42" t="str">
        <f t="shared" si="108"/>
        <v/>
      </c>
      <c r="DI225" s="43" t="str">
        <f t="shared" si="109"/>
        <v/>
      </c>
      <c r="DK225" s="46" t="str">
        <f t="shared" si="110"/>
        <v/>
      </c>
      <c r="DQ225" s="42" t="str">
        <f>IF(AH225="","",IFERROR(ROUND(100*('Weighting Options'!$D$7*IF(ISNUMBER(CA225),CA225/3,0)+'Weighting Options'!$D$8*MIN(N(BL225),3)/3+'Weighting Options'!$D$9*IF(AP225="Community/Plenary-endorsed",1,IF(AP225="FGD-validated only",0.75,IF(AP225="Sub-community-specific",0.5,IF(AP225="Provisional/emerging",0.25,0))))+'Weighting Options'!$D$10*IF(ISNUMBER(K225),K225/3,0)+'Weighting Options'!$D$11*IF(CC225="",0.5,IF(CC225="OK",1,0.25))+'Weighting Options'!$D$12*IF(DK225="",0.5,IF(DK225="Agrees",1,IF(DK225="Opposite",0,0.5)))+'Weighting Options'!$D$13*MIN(N(BG225),3)/3+'Weighting Options'!$D$14*IF(AE225=1,1,0))/SUM('Weighting Options'!$D$7:$D$14),0),""))</f>
        <v/>
      </c>
      <c r="DR225" s="44" t="str">
        <f>IF(AH225="","",IFERROR(INDEX('Weighting Options'!$D$20:$D$27,VALUE(LEFT(TRIM(BU225),1))),1))</f>
        <v/>
      </c>
      <c r="DS225" s="44" t="str">
        <f t="shared" si="111"/>
        <v/>
      </c>
      <c r="DT225" s="42" t="str">
        <f>IF(AH225="","",IF(COUNTIFS($AH$12:AH225,AH225,$AI$12:AI225,AI225,$AM$12:AM225,AM225)=1,1,0))</f>
        <v/>
      </c>
    </row>
    <row r="226" spans="16:124" ht="12.75" customHeight="1" x14ac:dyDescent="0.35">
      <c r="P226" s="41"/>
      <c r="Q226" s="41"/>
      <c r="R226" s="41"/>
      <c r="S226" s="41"/>
      <c r="AH226" s="40"/>
      <c r="AP226" s="40"/>
      <c r="AS226" s="41"/>
      <c r="AT226" s="41"/>
      <c r="AW226" t="str">
        <f t="shared" si="84"/>
        <v/>
      </c>
      <c r="AX226" t="str">
        <f t="shared" si="85"/>
        <v/>
      </c>
      <c r="AY226" t="str">
        <f t="shared" si="86"/>
        <v/>
      </c>
      <c r="AZ226" s="40"/>
      <c r="BL226" s="47" t="str">
        <f t="shared" si="87"/>
        <v/>
      </c>
      <c r="BM226" s="47" t="str">
        <f t="shared" si="88"/>
        <v/>
      </c>
      <c r="BN226" s="47" t="str">
        <f t="shared" si="89"/>
        <v/>
      </c>
      <c r="BO226" s="47" t="str">
        <f t="shared" si="90"/>
        <v/>
      </c>
      <c r="BP226" s="47" t="str">
        <f t="shared" si="91"/>
        <v/>
      </c>
      <c r="BQ226" s="48" t="str">
        <f t="shared" si="92"/>
        <v/>
      </c>
      <c r="BR226" s="48" t="str">
        <f t="shared" si="93"/>
        <v/>
      </c>
      <c r="BS226" s="48" t="str">
        <f t="shared" si="94"/>
        <v/>
      </c>
      <c r="BT226" s="47" t="str">
        <f t="shared" si="95"/>
        <v/>
      </c>
      <c r="CA226" s="47" t="str">
        <f t="shared" si="96"/>
        <v/>
      </c>
      <c r="CB226" s="47" t="str">
        <f t="shared" si="97"/>
        <v/>
      </c>
      <c r="CC226" s="47" t="str">
        <f t="shared" si="98"/>
        <v/>
      </c>
      <c r="CD226" s="47" t="str">
        <f t="shared" si="99"/>
        <v/>
      </c>
      <c r="CE226" s="47" t="str">
        <f>IF(AH226="","",IF(OR(AI226&lt;&gt;'Seasonal Tercile Tally'!$B$3,AM226&lt;&gt;'Seasonal Tercile Tally'!$B$4),"Other site/ season",IF(DT226=0,"Excluded: duplicate (later row)",IF(N226&lt;&gt;1,"Excluded: not sighted",IF(AC226&lt;&gt;1,"Excluded: not confirmed",IF(AD226&lt;&gt;1,"Excluded: not approved",IF(AP226="Contested","Excluded: contested",IF(OR(U226="",U226=0),"Excluded: no tercile",IF(CB226="","Counted (simple tally only — no weight)","Counted")))))))))</f>
        <v/>
      </c>
      <c r="CF226" s="49" t="str">
        <f>IF(AH226="","",IFERROR(INDEX('Prior Multipliers'!$C$6:$C$70,MATCH(LEFT(AH226,10),'Prior Multipliers'!$A$6:$A$70,0)),IFERROR(INDEX('Prior Multipliers'!$C$6:$C$70,MATCH(LEFT(AH226,6),'Prior Multipliers'!$A$6:$A$70,0)),IFERROR(INDEX('Prior Multipliers'!$C$6:$C$70,MATCH(LEFT(AH226,2),'Prior Multipliers'!$A$6:$A$70,0)),1))))</f>
        <v/>
      </c>
      <c r="CG226" s="49" t="str">
        <f>IF(CB226="","",IF(AND('Seasonal Tercile Tally'!$B$5=1,BT226="Rating-based"),CB226*CF226,CB226))</f>
        <v/>
      </c>
      <c r="CH226" s="47">
        <f t="shared" si="100"/>
        <v>0</v>
      </c>
      <c r="CI226" s="45"/>
      <c r="CJ226" s="42" t="str">
        <f t="shared" si="101"/>
        <v/>
      </c>
      <c r="CM226" s="42" t="str">
        <f t="shared" si="102"/>
        <v/>
      </c>
      <c r="CP226" s="46" t="str">
        <f t="shared" si="103"/>
        <v/>
      </c>
      <c r="CS226" s="46" t="str">
        <f t="shared" si="104"/>
        <v/>
      </c>
      <c r="CT226" s="42" t="str">
        <f t="shared" si="105"/>
        <v/>
      </c>
      <c r="CU226" s="42" t="str">
        <f t="shared" si="106"/>
        <v/>
      </c>
      <c r="CV226" s="42" t="str">
        <f t="shared" si="107"/>
        <v/>
      </c>
      <c r="DB226" s="45"/>
      <c r="DH226" s="42" t="str">
        <f t="shared" si="108"/>
        <v/>
      </c>
      <c r="DI226" s="43" t="str">
        <f t="shared" si="109"/>
        <v/>
      </c>
      <c r="DK226" s="46" t="str">
        <f t="shared" si="110"/>
        <v/>
      </c>
      <c r="DQ226" s="42" t="str">
        <f>IF(AH226="","",IFERROR(ROUND(100*('Weighting Options'!$D$7*IF(ISNUMBER(CA226),CA226/3,0)+'Weighting Options'!$D$8*MIN(N(BL226),3)/3+'Weighting Options'!$D$9*IF(AP226="Community/Plenary-endorsed",1,IF(AP226="FGD-validated only",0.75,IF(AP226="Sub-community-specific",0.5,IF(AP226="Provisional/emerging",0.25,0))))+'Weighting Options'!$D$10*IF(ISNUMBER(K226),K226/3,0)+'Weighting Options'!$D$11*IF(CC226="",0.5,IF(CC226="OK",1,0.25))+'Weighting Options'!$D$12*IF(DK226="",0.5,IF(DK226="Agrees",1,IF(DK226="Opposite",0,0.5)))+'Weighting Options'!$D$13*MIN(N(BG226),3)/3+'Weighting Options'!$D$14*IF(AE226=1,1,0))/SUM('Weighting Options'!$D$7:$D$14),0),""))</f>
        <v/>
      </c>
      <c r="DR226" s="44" t="str">
        <f>IF(AH226="","",IFERROR(INDEX('Weighting Options'!$D$20:$D$27,VALUE(LEFT(TRIM(BU226),1))),1))</f>
        <v/>
      </c>
      <c r="DS226" s="44" t="str">
        <f t="shared" si="111"/>
        <v/>
      </c>
      <c r="DT226" s="42" t="str">
        <f>IF(AH226="","",IF(COUNTIFS($AH$12:AH226,AH226,$AI$12:AI226,AI226,$AM$12:AM226,AM226)=1,1,0))</f>
        <v/>
      </c>
    </row>
    <row r="227" spans="16:124" ht="12.75" customHeight="1" x14ac:dyDescent="0.35">
      <c r="P227" s="41"/>
      <c r="Q227" s="41"/>
      <c r="R227" s="41"/>
      <c r="S227" s="41"/>
      <c r="AH227" s="40"/>
      <c r="AP227" s="40"/>
      <c r="AS227" s="41"/>
      <c r="AT227" s="41"/>
      <c r="AW227" t="str">
        <f t="shared" si="84"/>
        <v/>
      </c>
      <c r="AX227" t="str">
        <f t="shared" si="85"/>
        <v/>
      </c>
      <c r="AY227" t="str">
        <f t="shared" si="86"/>
        <v/>
      </c>
      <c r="AZ227" s="40"/>
      <c r="BL227" s="47" t="str">
        <f t="shared" si="87"/>
        <v/>
      </c>
      <c r="BM227" s="47" t="str">
        <f t="shared" si="88"/>
        <v/>
      </c>
      <c r="BN227" s="47" t="str">
        <f t="shared" si="89"/>
        <v/>
      </c>
      <c r="BO227" s="47" t="str">
        <f t="shared" si="90"/>
        <v/>
      </c>
      <c r="BP227" s="47" t="str">
        <f t="shared" si="91"/>
        <v/>
      </c>
      <c r="BQ227" s="48" t="str">
        <f t="shared" si="92"/>
        <v/>
      </c>
      <c r="BR227" s="48" t="str">
        <f t="shared" si="93"/>
        <v/>
      </c>
      <c r="BS227" s="48" t="str">
        <f t="shared" si="94"/>
        <v/>
      </c>
      <c r="BT227" s="47" t="str">
        <f t="shared" si="95"/>
        <v/>
      </c>
      <c r="CA227" s="47" t="str">
        <f t="shared" si="96"/>
        <v/>
      </c>
      <c r="CB227" s="47" t="str">
        <f t="shared" si="97"/>
        <v/>
      </c>
      <c r="CC227" s="47" t="str">
        <f t="shared" si="98"/>
        <v/>
      </c>
      <c r="CD227" s="47" t="str">
        <f t="shared" si="99"/>
        <v/>
      </c>
      <c r="CE227" s="47" t="str">
        <f>IF(AH227="","",IF(OR(AI227&lt;&gt;'Seasonal Tercile Tally'!$B$3,AM227&lt;&gt;'Seasonal Tercile Tally'!$B$4),"Other site/ season",IF(DT227=0,"Excluded: duplicate (later row)",IF(N227&lt;&gt;1,"Excluded: not sighted",IF(AC227&lt;&gt;1,"Excluded: not confirmed",IF(AD227&lt;&gt;1,"Excluded: not approved",IF(AP227="Contested","Excluded: contested",IF(OR(U227="",U227=0),"Excluded: no tercile",IF(CB227="","Counted (simple tally only — no weight)","Counted")))))))))</f>
        <v/>
      </c>
      <c r="CF227" s="49" t="str">
        <f>IF(AH227="","",IFERROR(INDEX('Prior Multipliers'!$C$6:$C$70,MATCH(LEFT(AH227,10),'Prior Multipliers'!$A$6:$A$70,0)),IFERROR(INDEX('Prior Multipliers'!$C$6:$C$70,MATCH(LEFT(AH227,6),'Prior Multipliers'!$A$6:$A$70,0)),IFERROR(INDEX('Prior Multipliers'!$C$6:$C$70,MATCH(LEFT(AH227,2),'Prior Multipliers'!$A$6:$A$70,0)),1))))</f>
        <v/>
      </c>
      <c r="CG227" s="49" t="str">
        <f>IF(CB227="","",IF(AND('Seasonal Tercile Tally'!$B$5=1,BT227="Rating-based"),CB227*CF227,CB227))</f>
        <v/>
      </c>
      <c r="CH227" s="47">
        <f t="shared" si="100"/>
        <v>0</v>
      </c>
      <c r="CI227" s="45"/>
      <c r="CJ227" s="42" t="str">
        <f t="shared" si="101"/>
        <v/>
      </c>
      <c r="CM227" s="42" t="str">
        <f t="shared" si="102"/>
        <v/>
      </c>
      <c r="CP227" s="46" t="str">
        <f t="shared" si="103"/>
        <v/>
      </c>
      <c r="CS227" s="46" t="str">
        <f t="shared" si="104"/>
        <v/>
      </c>
      <c r="CT227" s="42" t="str">
        <f t="shared" si="105"/>
        <v/>
      </c>
      <c r="CU227" s="42" t="str">
        <f t="shared" si="106"/>
        <v/>
      </c>
      <c r="CV227" s="42" t="str">
        <f t="shared" si="107"/>
        <v/>
      </c>
      <c r="DB227" s="45"/>
      <c r="DH227" s="42" t="str">
        <f t="shared" si="108"/>
        <v/>
      </c>
      <c r="DI227" s="43" t="str">
        <f t="shared" si="109"/>
        <v/>
      </c>
      <c r="DK227" s="46" t="str">
        <f t="shared" si="110"/>
        <v/>
      </c>
      <c r="DQ227" s="42" t="str">
        <f>IF(AH227="","",IFERROR(ROUND(100*('Weighting Options'!$D$7*IF(ISNUMBER(CA227),CA227/3,0)+'Weighting Options'!$D$8*MIN(N(BL227),3)/3+'Weighting Options'!$D$9*IF(AP227="Community/Plenary-endorsed",1,IF(AP227="FGD-validated only",0.75,IF(AP227="Sub-community-specific",0.5,IF(AP227="Provisional/emerging",0.25,0))))+'Weighting Options'!$D$10*IF(ISNUMBER(K227),K227/3,0)+'Weighting Options'!$D$11*IF(CC227="",0.5,IF(CC227="OK",1,0.25))+'Weighting Options'!$D$12*IF(DK227="",0.5,IF(DK227="Agrees",1,IF(DK227="Opposite",0,0.5)))+'Weighting Options'!$D$13*MIN(N(BG227),3)/3+'Weighting Options'!$D$14*IF(AE227=1,1,0))/SUM('Weighting Options'!$D$7:$D$14),0),""))</f>
        <v/>
      </c>
      <c r="DR227" s="44" t="str">
        <f>IF(AH227="","",IFERROR(INDEX('Weighting Options'!$D$20:$D$27,VALUE(LEFT(TRIM(BU227),1))),1))</f>
        <v/>
      </c>
      <c r="DS227" s="44" t="str">
        <f t="shared" si="111"/>
        <v/>
      </c>
      <c r="DT227" s="42" t="str">
        <f>IF(AH227="","",IF(COUNTIFS($AH$12:AH227,AH227,$AI$12:AI227,AI227,$AM$12:AM227,AM227)=1,1,0))</f>
        <v/>
      </c>
    </row>
    <row r="228" spans="16:124" ht="12.75" customHeight="1" x14ac:dyDescent="0.35">
      <c r="P228" s="41"/>
      <c r="Q228" s="41"/>
      <c r="R228" s="41"/>
      <c r="S228" s="41"/>
      <c r="AH228" s="40"/>
      <c r="AP228" s="40"/>
      <c r="AS228" s="41"/>
      <c r="AT228" s="41"/>
      <c r="AW228" t="str">
        <f t="shared" si="84"/>
        <v/>
      </c>
      <c r="AX228" t="str">
        <f t="shared" si="85"/>
        <v/>
      </c>
      <c r="AY228" t="str">
        <f t="shared" si="86"/>
        <v/>
      </c>
      <c r="AZ228" s="40"/>
      <c r="BL228" s="47" t="str">
        <f t="shared" si="87"/>
        <v/>
      </c>
      <c r="BM228" s="47" t="str">
        <f t="shared" si="88"/>
        <v/>
      </c>
      <c r="BN228" s="47" t="str">
        <f t="shared" si="89"/>
        <v/>
      </c>
      <c r="BO228" s="47" t="str">
        <f t="shared" si="90"/>
        <v/>
      </c>
      <c r="BP228" s="47" t="str">
        <f t="shared" si="91"/>
        <v/>
      </c>
      <c r="BQ228" s="48" t="str">
        <f t="shared" si="92"/>
        <v/>
      </c>
      <c r="BR228" s="48" t="str">
        <f t="shared" si="93"/>
        <v/>
      </c>
      <c r="BS228" s="48" t="str">
        <f t="shared" si="94"/>
        <v/>
      </c>
      <c r="BT228" s="47" t="str">
        <f t="shared" si="95"/>
        <v/>
      </c>
      <c r="CA228" s="47" t="str">
        <f t="shared" si="96"/>
        <v/>
      </c>
      <c r="CB228" s="47" t="str">
        <f t="shared" si="97"/>
        <v/>
      </c>
      <c r="CC228" s="47" t="str">
        <f t="shared" si="98"/>
        <v/>
      </c>
      <c r="CD228" s="47" t="str">
        <f t="shared" si="99"/>
        <v/>
      </c>
      <c r="CE228" s="47" t="str">
        <f>IF(AH228="","",IF(OR(AI228&lt;&gt;'Seasonal Tercile Tally'!$B$3,AM228&lt;&gt;'Seasonal Tercile Tally'!$B$4),"Other site/ season",IF(DT228=0,"Excluded: duplicate (later row)",IF(N228&lt;&gt;1,"Excluded: not sighted",IF(AC228&lt;&gt;1,"Excluded: not confirmed",IF(AD228&lt;&gt;1,"Excluded: not approved",IF(AP228="Contested","Excluded: contested",IF(OR(U228="",U228=0),"Excluded: no tercile",IF(CB228="","Counted (simple tally only — no weight)","Counted")))))))))</f>
        <v/>
      </c>
      <c r="CF228" s="49" t="str">
        <f>IF(AH228="","",IFERROR(INDEX('Prior Multipliers'!$C$6:$C$70,MATCH(LEFT(AH228,10),'Prior Multipliers'!$A$6:$A$70,0)),IFERROR(INDEX('Prior Multipliers'!$C$6:$C$70,MATCH(LEFT(AH228,6),'Prior Multipliers'!$A$6:$A$70,0)),IFERROR(INDEX('Prior Multipliers'!$C$6:$C$70,MATCH(LEFT(AH228,2),'Prior Multipliers'!$A$6:$A$70,0)),1))))</f>
        <v/>
      </c>
      <c r="CG228" s="49" t="str">
        <f>IF(CB228="","",IF(AND('Seasonal Tercile Tally'!$B$5=1,BT228="Rating-based"),CB228*CF228,CB228))</f>
        <v/>
      </c>
      <c r="CH228" s="47">
        <f t="shared" si="100"/>
        <v>0</v>
      </c>
      <c r="CI228" s="45"/>
      <c r="CJ228" s="42" t="str">
        <f t="shared" si="101"/>
        <v/>
      </c>
      <c r="CM228" s="42" t="str">
        <f t="shared" si="102"/>
        <v/>
      </c>
      <c r="CP228" s="46" t="str">
        <f t="shared" si="103"/>
        <v/>
      </c>
      <c r="CS228" s="46" t="str">
        <f t="shared" si="104"/>
        <v/>
      </c>
      <c r="CT228" s="42" t="str">
        <f t="shared" si="105"/>
        <v/>
      </c>
      <c r="CU228" s="42" t="str">
        <f t="shared" si="106"/>
        <v/>
      </c>
      <c r="CV228" s="42" t="str">
        <f t="shared" si="107"/>
        <v/>
      </c>
      <c r="DB228" s="45"/>
      <c r="DH228" s="42" t="str">
        <f t="shared" si="108"/>
        <v/>
      </c>
      <c r="DI228" s="43" t="str">
        <f t="shared" si="109"/>
        <v/>
      </c>
      <c r="DK228" s="46" t="str">
        <f t="shared" si="110"/>
        <v/>
      </c>
      <c r="DQ228" s="42" t="str">
        <f>IF(AH228="","",IFERROR(ROUND(100*('Weighting Options'!$D$7*IF(ISNUMBER(CA228),CA228/3,0)+'Weighting Options'!$D$8*MIN(N(BL228),3)/3+'Weighting Options'!$D$9*IF(AP228="Community/Plenary-endorsed",1,IF(AP228="FGD-validated only",0.75,IF(AP228="Sub-community-specific",0.5,IF(AP228="Provisional/emerging",0.25,0))))+'Weighting Options'!$D$10*IF(ISNUMBER(K228),K228/3,0)+'Weighting Options'!$D$11*IF(CC228="",0.5,IF(CC228="OK",1,0.25))+'Weighting Options'!$D$12*IF(DK228="",0.5,IF(DK228="Agrees",1,IF(DK228="Opposite",0,0.5)))+'Weighting Options'!$D$13*MIN(N(BG228),3)/3+'Weighting Options'!$D$14*IF(AE228=1,1,0))/SUM('Weighting Options'!$D$7:$D$14),0),""))</f>
        <v/>
      </c>
      <c r="DR228" s="44" t="str">
        <f>IF(AH228="","",IFERROR(INDEX('Weighting Options'!$D$20:$D$27,VALUE(LEFT(TRIM(BU228),1))),1))</f>
        <v/>
      </c>
      <c r="DS228" s="44" t="str">
        <f t="shared" si="111"/>
        <v/>
      </c>
      <c r="DT228" s="42" t="str">
        <f>IF(AH228="","",IF(COUNTIFS($AH$12:AH228,AH228,$AI$12:AI228,AI228,$AM$12:AM228,AM228)=1,1,0))</f>
        <v/>
      </c>
    </row>
    <row r="229" spans="16:124" ht="12.75" customHeight="1" x14ac:dyDescent="0.35">
      <c r="P229" s="41"/>
      <c r="Q229" s="41"/>
      <c r="R229" s="41"/>
      <c r="S229" s="41"/>
      <c r="AH229" s="40"/>
      <c r="AP229" s="40"/>
      <c r="AS229" s="41"/>
      <c r="AT229" s="41"/>
      <c r="AW229" t="str">
        <f t="shared" si="84"/>
        <v/>
      </c>
      <c r="AX229" t="str">
        <f t="shared" si="85"/>
        <v/>
      </c>
      <c r="AY229" t="str">
        <f t="shared" si="86"/>
        <v/>
      </c>
      <c r="AZ229" s="40"/>
      <c r="BL229" s="47" t="str">
        <f t="shared" si="87"/>
        <v/>
      </c>
      <c r="BM229" s="47" t="str">
        <f t="shared" si="88"/>
        <v/>
      </c>
      <c r="BN229" s="47" t="str">
        <f t="shared" si="89"/>
        <v/>
      </c>
      <c r="BO229" s="47" t="str">
        <f t="shared" si="90"/>
        <v/>
      </c>
      <c r="BP229" s="47" t="str">
        <f t="shared" si="91"/>
        <v/>
      </c>
      <c r="BQ229" s="48" t="str">
        <f t="shared" si="92"/>
        <v/>
      </c>
      <c r="BR229" s="48" t="str">
        <f t="shared" si="93"/>
        <v/>
      </c>
      <c r="BS229" s="48" t="str">
        <f t="shared" si="94"/>
        <v/>
      </c>
      <c r="BT229" s="47" t="str">
        <f t="shared" si="95"/>
        <v/>
      </c>
      <c r="CA229" s="47" t="str">
        <f t="shared" si="96"/>
        <v/>
      </c>
      <c r="CB229" s="47" t="str">
        <f t="shared" si="97"/>
        <v/>
      </c>
      <c r="CC229" s="47" t="str">
        <f t="shared" si="98"/>
        <v/>
      </c>
      <c r="CD229" s="47" t="str">
        <f t="shared" si="99"/>
        <v/>
      </c>
      <c r="CE229" s="47" t="str">
        <f>IF(AH229="","",IF(OR(AI229&lt;&gt;'Seasonal Tercile Tally'!$B$3,AM229&lt;&gt;'Seasonal Tercile Tally'!$B$4),"Other site/ season",IF(DT229=0,"Excluded: duplicate (later row)",IF(N229&lt;&gt;1,"Excluded: not sighted",IF(AC229&lt;&gt;1,"Excluded: not confirmed",IF(AD229&lt;&gt;1,"Excluded: not approved",IF(AP229="Contested","Excluded: contested",IF(OR(U229="",U229=0),"Excluded: no tercile",IF(CB229="","Counted (simple tally only — no weight)","Counted")))))))))</f>
        <v/>
      </c>
      <c r="CF229" s="49" t="str">
        <f>IF(AH229="","",IFERROR(INDEX('Prior Multipliers'!$C$6:$C$70,MATCH(LEFT(AH229,10),'Prior Multipliers'!$A$6:$A$70,0)),IFERROR(INDEX('Prior Multipliers'!$C$6:$C$70,MATCH(LEFT(AH229,6),'Prior Multipliers'!$A$6:$A$70,0)),IFERROR(INDEX('Prior Multipliers'!$C$6:$C$70,MATCH(LEFT(AH229,2),'Prior Multipliers'!$A$6:$A$70,0)),1))))</f>
        <v/>
      </c>
      <c r="CG229" s="49" t="str">
        <f>IF(CB229="","",IF(AND('Seasonal Tercile Tally'!$B$5=1,BT229="Rating-based"),CB229*CF229,CB229))</f>
        <v/>
      </c>
      <c r="CH229" s="47">
        <f t="shared" si="100"/>
        <v>0</v>
      </c>
      <c r="CI229" s="45"/>
      <c r="CJ229" s="42" t="str">
        <f t="shared" si="101"/>
        <v/>
      </c>
      <c r="CM229" s="42" t="str">
        <f t="shared" si="102"/>
        <v/>
      </c>
      <c r="CP229" s="46" t="str">
        <f t="shared" si="103"/>
        <v/>
      </c>
      <c r="CS229" s="46" t="str">
        <f t="shared" si="104"/>
        <v/>
      </c>
      <c r="CT229" s="42" t="str">
        <f t="shared" si="105"/>
        <v/>
      </c>
      <c r="CU229" s="42" t="str">
        <f t="shared" si="106"/>
        <v/>
      </c>
      <c r="CV229" s="42" t="str">
        <f t="shared" si="107"/>
        <v/>
      </c>
      <c r="DB229" s="45"/>
      <c r="DH229" s="42" t="str">
        <f t="shared" si="108"/>
        <v/>
      </c>
      <c r="DI229" s="43" t="str">
        <f t="shared" si="109"/>
        <v/>
      </c>
      <c r="DK229" s="46" t="str">
        <f t="shared" si="110"/>
        <v/>
      </c>
      <c r="DQ229" s="42" t="str">
        <f>IF(AH229="","",IFERROR(ROUND(100*('Weighting Options'!$D$7*IF(ISNUMBER(CA229),CA229/3,0)+'Weighting Options'!$D$8*MIN(N(BL229),3)/3+'Weighting Options'!$D$9*IF(AP229="Community/Plenary-endorsed",1,IF(AP229="FGD-validated only",0.75,IF(AP229="Sub-community-specific",0.5,IF(AP229="Provisional/emerging",0.25,0))))+'Weighting Options'!$D$10*IF(ISNUMBER(K229),K229/3,0)+'Weighting Options'!$D$11*IF(CC229="",0.5,IF(CC229="OK",1,0.25))+'Weighting Options'!$D$12*IF(DK229="",0.5,IF(DK229="Agrees",1,IF(DK229="Opposite",0,0.5)))+'Weighting Options'!$D$13*MIN(N(BG229),3)/3+'Weighting Options'!$D$14*IF(AE229=1,1,0))/SUM('Weighting Options'!$D$7:$D$14),0),""))</f>
        <v/>
      </c>
      <c r="DR229" s="44" t="str">
        <f>IF(AH229="","",IFERROR(INDEX('Weighting Options'!$D$20:$D$27,VALUE(LEFT(TRIM(BU229),1))),1))</f>
        <v/>
      </c>
      <c r="DS229" s="44" t="str">
        <f t="shared" si="111"/>
        <v/>
      </c>
      <c r="DT229" s="42" t="str">
        <f>IF(AH229="","",IF(COUNTIFS($AH$12:AH229,AH229,$AI$12:AI229,AI229,$AM$12:AM229,AM229)=1,1,0))</f>
        <v/>
      </c>
    </row>
    <row r="230" spans="16:124" ht="12.75" customHeight="1" x14ac:dyDescent="0.35">
      <c r="P230" s="41"/>
      <c r="Q230" s="41"/>
      <c r="R230" s="41"/>
      <c r="S230" s="41"/>
      <c r="AH230" s="40"/>
      <c r="AP230" s="40"/>
      <c r="AS230" s="41"/>
      <c r="AT230" s="41"/>
      <c r="AW230" t="str">
        <f t="shared" si="84"/>
        <v/>
      </c>
      <c r="AX230" t="str">
        <f t="shared" si="85"/>
        <v/>
      </c>
      <c r="AY230" t="str">
        <f t="shared" si="86"/>
        <v/>
      </c>
      <c r="AZ230" s="40"/>
      <c r="BL230" s="47" t="str">
        <f t="shared" si="87"/>
        <v/>
      </c>
      <c r="BM230" s="47" t="str">
        <f t="shared" si="88"/>
        <v/>
      </c>
      <c r="BN230" s="47" t="str">
        <f t="shared" si="89"/>
        <v/>
      </c>
      <c r="BO230" s="47" t="str">
        <f t="shared" si="90"/>
        <v/>
      </c>
      <c r="BP230" s="47" t="str">
        <f t="shared" si="91"/>
        <v/>
      </c>
      <c r="BQ230" s="48" t="str">
        <f t="shared" si="92"/>
        <v/>
      </c>
      <c r="BR230" s="48" t="str">
        <f t="shared" si="93"/>
        <v/>
      </c>
      <c r="BS230" s="48" t="str">
        <f t="shared" si="94"/>
        <v/>
      </c>
      <c r="BT230" s="47" t="str">
        <f t="shared" si="95"/>
        <v/>
      </c>
      <c r="CA230" s="47" t="str">
        <f t="shared" si="96"/>
        <v/>
      </c>
      <c r="CB230" s="47" t="str">
        <f t="shared" si="97"/>
        <v/>
      </c>
      <c r="CC230" s="47" t="str">
        <f t="shared" si="98"/>
        <v/>
      </c>
      <c r="CD230" s="47" t="str">
        <f t="shared" si="99"/>
        <v/>
      </c>
      <c r="CE230" s="47" t="str">
        <f>IF(AH230="","",IF(OR(AI230&lt;&gt;'Seasonal Tercile Tally'!$B$3,AM230&lt;&gt;'Seasonal Tercile Tally'!$B$4),"Other site/ season",IF(DT230=0,"Excluded: duplicate (later row)",IF(N230&lt;&gt;1,"Excluded: not sighted",IF(AC230&lt;&gt;1,"Excluded: not confirmed",IF(AD230&lt;&gt;1,"Excluded: not approved",IF(AP230="Contested","Excluded: contested",IF(OR(U230="",U230=0),"Excluded: no tercile",IF(CB230="","Counted (simple tally only — no weight)","Counted")))))))))</f>
        <v/>
      </c>
      <c r="CF230" s="49" t="str">
        <f>IF(AH230="","",IFERROR(INDEX('Prior Multipliers'!$C$6:$C$70,MATCH(LEFT(AH230,10),'Prior Multipliers'!$A$6:$A$70,0)),IFERROR(INDEX('Prior Multipliers'!$C$6:$C$70,MATCH(LEFT(AH230,6),'Prior Multipliers'!$A$6:$A$70,0)),IFERROR(INDEX('Prior Multipliers'!$C$6:$C$70,MATCH(LEFT(AH230,2),'Prior Multipliers'!$A$6:$A$70,0)),1))))</f>
        <v/>
      </c>
      <c r="CG230" s="49" t="str">
        <f>IF(CB230="","",IF(AND('Seasonal Tercile Tally'!$B$5=1,BT230="Rating-based"),CB230*CF230,CB230))</f>
        <v/>
      </c>
      <c r="CH230" s="47">
        <f t="shared" si="100"/>
        <v>0</v>
      </c>
      <c r="CI230" s="45"/>
      <c r="CJ230" s="42" t="str">
        <f t="shared" si="101"/>
        <v/>
      </c>
      <c r="CM230" s="42" t="str">
        <f t="shared" si="102"/>
        <v/>
      </c>
      <c r="CP230" s="46" t="str">
        <f t="shared" si="103"/>
        <v/>
      </c>
      <c r="CS230" s="46" t="str">
        <f t="shared" si="104"/>
        <v/>
      </c>
      <c r="CT230" s="42" t="str">
        <f t="shared" si="105"/>
        <v/>
      </c>
      <c r="CU230" s="42" t="str">
        <f t="shared" si="106"/>
        <v/>
      </c>
      <c r="CV230" s="42" t="str">
        <f t="shared" si="107"/>
        <v/>
      </c>
      <c r="DB230" s="45"/>
      <c r="DH230" s="42" t="str">
        <f t="shared" si="108"/>
        <v/>
      </c>
      <c r="DI230" s="43" t="str">
        <f t="shared" si="109"/>
        <v/>
      </c>
      <c r="DK230" s="46" t="str">
        <f t="shared" si="110"/>
        <v/>
      </c>
      <c r="DQ230" s="42" t="str">
        <f>IF(AH230="","",IFERROR(ROUND(100*('Weighting Options'!$D$7*IF(ISNUMBER(CA230),CA230/3,0)+'Weighting Options'!$D$8*MIN(N(BL230),3)/3+'Weighting Options'!$D$9*IF(AP230="Community/Plenary-endorsed",1,IF(AP230="FGD-validated only",0.75,IF(AP230="Sub-community-specific",0.5,IF(AP230="Provisional/emerging",0.25,0))))+'Weighting Options'!$D$10*IF(ISNUMBER(K230),K230/3,0)+'Weighting Options'!$D$11*IF(CC230="",0.5,IF(CC230="OK",1,0.25))+'Weighting Options'!$D$12*IF(DK230="",0.5,IF(DK230="Agrees",1,IF(DK230="Opposite",0,0.5)))+'Weighting Options'!$D$13*MIN(N(BG230),3)/3+'Weighting Options'!$D$14*IF(AE230=1,1,0))/SUM('Weighting Options'!$D$7:$D$14),0),""))</f>
        <v/>
      </c>
      <c r="DR230" s="44" t="str">
        <f>IF(AH230="","",IFERROR(INDEX('Weighting Options'!$D$20:$D$27,VALUE(LEFT(TRIM(BU230),1))),1))</f>
        <v/>
      </c>
      <c r="DS230" s="44" t="str">
        <f t="shared" si="111"/>
        <v/>
      </c>
      <c r="DT230" s="42" t="str">
        <f>IF(AH230="","",IF(COUNTIFS($AH$12:AH230,AH230,$AI$12:AI230,AI230,$AM$12:AM230,AM230)=1,1,0))</f>
        <v/>
      </c>
    </row>
    <row r="231" spans="16:124" ht="12.75" customHeight="1" x14ac:dyDescent="0.35">
      <c r="P231" s="41"/>
      <c r="Q231" s="41"/>
      <c r="R231" s="41"/>
      <c r="S231" s="41"/>
      <c r="AH231" s="40"/>
      <c r="AP231" s="40"/>
      <c r="AS231" s="41"/>
      <c r="AT231" s="41"/>
      <c r="AW231" t="str">
        <f t="shared" si="84"/>
        <v/>
      </c>
      <c r="AX231" t="str">
        <f t="shared" si="85"/>
        <v/>
      </c>
      <c r="AY231" t="str">
        <f t="shared" si="86"/>
        <v/>
      </c>
      <c r="AZ231" s="40"/>
      <c r="BL231" s="47" t="str">
        <f t="shared" si="87"/>
        <v/>
      </c>
      <c r="BM231" s="47" t="str">
        <f t="shared" si="88"/>
        <v/>
      </c>
      <c r="BN231" s="47" t="str">
        <f t="shared" si="89"/>
        <v/>
      </c>
      <c r="BO231" s="47" t="str">
        <f t="shared" si="90"/>
        <v/>
      </c>
      <c r="BP231" s="47" t="str">
        <f t="shared" si="91"/>
        <v/>
      </c>
      <c r="BQ231" s="48" t="str">
        <f t="shared" si="92"/>
        <v/>
      </c>
      <c r="BR231" s="48" t="str">
        <f t="shared" si="93"/>
        <v/>
      </c>
      <c r="BS231" s="48" t="str">
        <f t="shared" si="94"/>
        <v/>
      </c>
      <c r="BT231" s="47" t="str">
        <f t="shared" si="95"/>
        <v/>
      </c>
      <c r="CA231" s="47" t="str">
        <f t="shared" si="96"/>
        <v/>
      </c>
      <c r="CB231" s="47" t="str">
        <f t="shared" si="97"/>
        <v/>
      </c>
      <c r="CC231" s="47" t="str">
        <f t="shared" si="98"/>
        <v/>
      </c>
      <c r="CD231" s="47" t="str">
        <f t="shared" si="99"/>
        <v/>
      </c>
      <c r="CE231" s="47" t="str">
        <f>IF(AH231="","",IF(OR(AI231&lt;&gt;'Seasonal Tercile Tally'!$B$3,AM231&lt;&gt;'Seasonal Tercile Tally'!$B$4),"Other site/ season",IF(DT231=0,"Excluded: duplicate (later row)",IF(N231&lt;&gt;1,"Excluded: not sighted",IF(AC231&lt;&gt;1,"Excluded: not confirmed",IF(AD231&lt;&gt;1,"Excluded: not approved",IF(AP231="Contested","Excluded: contested",IF(OR(U231="",U231=0),"Excluded: no tercile",IF(CB231="","Counted (simple tally only — no weight)","Counted")))))))))</f>
        <v/>
      </c>
      <c r="CF231" s="49" t="str">
        <f>IF(AH231="","",IFERROR(INDEX('Prior Multipliers'!$C$6:$C$70,MATCH(LEFT(AH231,10),'Prior Multipliers'!$A$6:$A$70,0)),IFERROR(INDEX('Prior Multipliers'!$C$6:$C$70,MATCH(LEFT(AH231,6),'Prior Multipliers'!$A$6:$A$70,0)),IFERROR(INDEX('Prior Multipliers'!$C$6:$C$70,MATCH(LEFT(AH231,2),'Prior Multipliers'!$A$6:$A$70,0)),1))))</f>
        <v/>
      </c>
      <c r="CG231" s="49" t="str">
        <f>IF(CB231="","",IF(AND('Seasonal Tercile Tally'!$B$5=1,BT231="Rating-based"),CB231*CF231,CB231))</f>
        <v/>
      </c>
      <c r="CH231" s="47">
        <f t="shared" si="100"/>
        <v>0</v>
      </c>
      <c r="CI231" s="45"/>
      <c r="CJ231" s="42" t="str">
        <f t="shared" si="101"/>
        <v/>
      </c>
      <c r="CM231" s="42" t="str">
        <f t="shared" si="102"/>
        <v/>
      </c>
      <c r="CP231" s="46" t="str">
        <f t="shared" si="103"/>
        <v/>
      </c>
      <c r="CS231" s="46" t="str">
        <f t="shared" si="104"/>
        <v/>
      </c>
      <c r="CT231" s="42" t="str">
        <f t="shared" si="105"/>
        <v/>
      </c>
      <c r="CU231" s="42" t="str">
        <f t="shared" si="106"/>
        <v/>
      </c>
      <c r="CV231" s="42" t="str">
        <f t="shared" si="107"/>
        <v/>
      </c>
      <c r="DB231" s="45"/>
      <c r="DH231" s="42" t="str">
        <f t="shared" si="108"/>
        <v/>
      </c>
      <c r="DI231" s="43" t="str">
        <f t="shared" si="109"/>
        <v/>
      </c>
      <c r="DK231" s="46" t="str">
        <f t="shared" si="110"/>
        <v/>
      </c>
      <c r="DQ231" s="42" t="str">
        <f>IF(AH231="","",IFERROR(ROUND(100*('Weighting Options'!$D$7*IF(ISNUMBER(CA231),CA231/3,0)+'Weighting Options'!$D$8*MIN(N(BL231),3)/3+'Weighting Options'!$D$9*IF(AP231="Community/Plenary-endorsed",1,IF(AP231="FGD-validated only",0.75,IF(AP231="Sub-community-specific",0.5,IF(AP231="Provisional/emerging",0.25,0))))+'Weighting Options'!$D$10*IF(ISNUMBER(K231),K231/3,0)+'Weighting Options'!$D$11*IF(CC231="",0.5,IF(CC231="OK",1,0.25))+'Weighting Options'!$D$12*IF(DK231="",0.5,IF(DK231="Agrees",1,IF(DK231="Opposite",0,0.5)))+'Weighting Options'!$D$13*MIN(N(BG231),3)/3+'Weighting Options'!$D$14*IF(AE231=1,1,0))/SUM('Weighting Options'!$D$7:$D$14),0),""))</f>
        <v/>
      </c>
      <c r="DR231" s="44" t="str">
        <f>IF(AH231="","",IFERROR(INDEX('Weighting Options'!$D$20:$D$27,VALUE(LEFT(TRIM(BU231),1))),1))</f>
        <v/>
      </c>
      <c r="DS231" s="44" t="str">
        <f t="shared" si="111"/>
        <v/>
      </c>
      <c r="DT231" s="42" t="str">
        <f>IF(AH231="","",IF(COUNTIFS($AH$12:AH231,AH231,$AI$12:AI231,AI231,$AM$12:AM231,AM231)=1,1,0))</f>
        <v/>
      </c>
    </row>
    <row r="232" spans="16:124" ht="12.75" customHeight="1" x14ac:dyDescent="0.35">
      <c r="P232" s="41"/>
      <c r="Q232" s="41"/>
      <c r="R232" s="41"/>
      <c r="S232" s="41"/>
      <c r="AH232" s="40"/>
      <c r="AP232" s="40"/>
      <c r="AS232" s="41"/>
      <c r="AT232" s="41"/>
      <c r="AW232" t="str">
        <f t="shared" si="84"/>
        <v/>
      </c>
      <c r="AX232" t="str">
        <f t="shared" si="85"/>
        <v/>
      </c>
      <c r="AY232" t="str">
        <f t="shared" si="86"/>
        <v/>
      </c>
      <c r="AZ232" s="40"/>
      <c r="BL232" s="47" t="str">
        <f t="shared" si="87"/>
        <v/>
      </c>
      <c r="BM232" s="47" t="str">
        <f t="shared" si="88"/>
        <v/>
      </c>
      <c r="BN232" s="47" t="str">
        <f t="shared" si="89"/>
        <v/>
      </c>
      <c r="BO232" s="47" t="str">
        <f t="shared" si="90"/>
        <v/>
      </c>
      <c r="BP232" s="47" t="str">
        <f t="shared" si="91"/>
        <v/>
      </c>
      <c r="BQ232" s="48" t="str">
        <f t="shared" si="92"/>
        <v/>
      </c>
      <c r="BR232" s="48" t="str">
        <f t="shared" si="93"/>
        <v/>
      </c>
      <c r="BS232" s="48" t="str">
        <f t="shared" si="94"/>
        <v/>
      </c>
      <c r="BT232" s="47" t="str">
        <f t="shared" si="95"/>
        <v/>
      </c>
      <c r="CA232" s="47" t="str">
        <f t="shared" si="96"/>
        <v/>
      </c>
      <c r="CB232" s="47" t="str">
        <f t="shared" si="97"/>
        <v/>
      </c>
      <c r="CC232" s="47" t="str">
        <f t="shared" si="98"/>
        <v/>
      </c>
      <c r="CD232" s="47" t="str">
        <f t="shared" si="99"/>
        <v/>
      </c>
      <c r="CE232" s="47" t="str">
        <f>IF(AH232="","",IF(OR(AI232&lt;&gt;'Seasonal Tercile Tally'!$B$3,AM232&lt;&gt;'Seasonal Tercile Tally'!$B$4),"Other site/ season",IF(DT232=0,"Excluded: duplicate (later row)",IF(N232&lt;&gt;1,"Excluded: not sighted",IF(AC232&lt;&gt;1,"Excluded: not confirmed",IF(AD232&lt;&gt;1,"Excluded: not approved",IF(AP232="Contested","Excluded: contested",IF(OR(U232="",U232=0),"Excluded: no tercile",IF(CB232="","Counted (simple tally only — no weight)","Counted")))))))))</f>
        <v/>
      </c>
      <c r="CF232" s="49" t="str">
        <f>IF(AH232="","",IFERROR(INDEX('Prior Multipliers'!$C$6:$C$70,MATCH(LEFT(AH232,10),'Prior Multipliers'!$A$6:$A$70,0)),IFERROR(INDEX('Prior Multipliers'!$C$6:$C$70,MATCH(LEFT(AH232,6),'Prior Multipliers'!$A$6:$A$70,0)),IFERROR(INDEX('Prior Multipliers'!$C$6:$C$70,MATCH(LEFT(AH232,2),'Prior Multipliers'!$A$6:$A$70,0)),1))))</f>
        <v/>
      </c>
      <c r="CG232" s="49" t="str">
        <f>IF(CB232="","",IF(AND('Seasonal Tercile Tally'!$B$5=1,BT232="Rating-based"),CB232*CF232,CB232))</f>
        <v/>
      </c>
      <c r="CH232" s="47">
        <f t="shared" si="100"/>
        <v>0</v>
      </c>
      <c r="CI232" s="45"/>
      <c r="CJ232" s="42" t="str">
        <f t="shared" si="101"/>
        <v/>
      </c>
      <c r="CM232" s="42" t="str">
        <f t="shared" si="102"/>
        <v/>
      </c>
      <c r="CP232" s="46" t="str">
        <f t="shared" si="103"/>
        <v/>
      </c>
      <c r="CS232" s="46" t="str">
        <f t="shared" si="104"/>
        <v/>
      </c>
      <c r="CT232" s="42" t="str">
        <f t="shared" si="105"/>
        <v/>
      </c>
      <c r="CU232" s="42" t="str">
        <f t="shared" si="106"/>
        <v/>
      </c>
      <c r="CV232" s="42" t="str">
        <f t="shared" si="107"/>
        <v/>
      </c>
      <c r="DB232" s="45"/>
      <c r="DH232" s="42" t="str">
        <f t="shared" si="108"/>
        <v/>
      </c>
      <c r="DI232" s="43" t="str">
        <f t="shared" si="109"/>
        <v/>
      </c>
      <c r="DK232" s="46" t="str">
        <f t="shared" si="110"/>
        <v/>
      </c>
      <c r="DQ232" s="42" t="str">
        <f>IF(AH232="","",IFERROR(ROUND(100*('Weighting Options'!$D$7*IF(ISNUMBER(CA232),CA232/3,0)+'Weighting Options'!$D$8*MIN(N(BL232),3)/3+'Weighting Options'!$D$9*IF(AP232="Community/Plenary-endorsed",1,IF(AP232="FGD-validated only",0.75,IF(AP232="Sub-community-specific",0.5,IF(AP232="Provisional/emerging",0.25,0))))+'Weighting Options'!$D$10*IF(ISNUMBER(K232),K232/3,0)+'Weighting Options'!$D$11*IF(CC232="",0.5,IF(CC232="OK",1,0.25))+'Weighting Options'!$D$12*IF(DK232="",0.5,IF(DK232="Agrees",1,IF(DK232="Opposite",0,0.5)))+'Weighting Options'!$D$13*MIN(N(BG232),3)/3+'Weighting Options'!$D$14*IF(AE232=1,1,0))/SUM('Weighting Options'!$D$7:$D$14),0),""))</f>
        <v/>
      </c>
      <c r="DR232" s="44" t="str">
        <f>IF(AH232="","",IFERROR(INDEX('Weighting Options'!$D$20:$D$27,VALUE(LEFT(TRIM(BU232),1))),1))</f>
        <v/>
      </c>
      <c r="DS232" s="44" t="str">
        <f t="shared" si="111"/>
        <v/>
      </c>
      <c r="DT232" s="42" t="str">
        <f>IF(AH232="","",IF(COUNTIFS($AH$12:AH232,AH232,$AI$12:AI232,AI232,$AM$12:AM232,AM232)=1,1,0))</f>
        <v/>
      </c>
    </row>
    <row r="233" spans="16:124" ht="12.75" customHeight="1" x14ac:dyDescent="0.35">
      <c r="P233" s="41"/>
      <c r="Q233" s="41"/>
      <c r="R233" s="41"/>
      <c r="S233" s="41"/>
      <c r="AH233" s="40"/>
      <c r="AP233" s="40"/>
      <c r="AS233" s="41"/>
      <c r="AT233" s="41"/>
      <c r="AW233" t="str">
        <f t="shared" si="84"/>
        <v/>
      </c>
      <c r="AX233" t="str">
        <f t="shared" si="85"/>
        <v/>
      </c>
      <c r="AY233" t="str">
        <f t="shared" si="86"/>
        <v/>
      </c>
      <c r="AZ233" s="40"/>
      <c r="BL233" s="47" t="str">
        <f t="shared" si="87"/>
        <v/>
      </c>
      <c r="BM233" s="47" t="str">
        <f t="shared" si="88"/>
        <v/>
      </c>
      <c r="BN233" s="47" t="str">
        <f t="shared" si="89"/>
        <v/>
      </c>
      <c r="BO233" s="47" t="str">
        <f t="shared" si="90"/>
        <v/>
      </c>
      <c r="BP233" s="47" t="str">
        <f t="shared" si="91"/>
        <v/>
      </c>
      <c r="BQ233" s="48" t="str">
        <f t="shared" si="92"/>
        <v/>
      </c>
      <c r="BR233" s="48" t="str">
        <f t="shared" si="93"/>
        <v/>
      </c>
      <c r="BS233" s="48" t="str">
        <f t="shared" si="94"/>
        <v/>
      </c>
      <c r="BT233" s="47" t="str">
        <f t="shared" si="95"/>
        <v/>
      </c>
      <c r="CA233" s="47" t="str">
        <f t="shared" si="96"/>
        <v/>
      </c>
      <c r="CB233" s="47" t="str">
        <f t="shared" si="97"/>
        <v/>
      </c>
      <c r="CC233" s="47" t="str">
        <f t="shared" si="98"/>
        <v/>
      </c>
      <c r="CD233" s="47" t="str">
        <f t="shared" si="99"/>
        <v/>
      </c>
      <c r="CE233" s="47" t="str">
        <f>IF(AH233="","",IF(OR(AI233&lt;&gt;'Seasonal Tercile Tally'!$B$3,AM233&lt;&gt;'Seasonal Tercile Tally'!$B$4),"Other site/ season",IF(DT233=0,"Excluded: duplicate (later row)",IF(N233&lt;&gt;1,"Excluded: not sighted",IF(AC233&lt;&gt;1,"Excluded: not confirmed",IF(AD233&lt;&gt;1,"Excluded: not approved",IF(AP233="Contested","Excluded: contested",IF(OR(U233="",U233=0),"Excluded: no tercile",IF(CB233="","Counted (simple tally only — no weight)","Counted")))))))))</f>
        <v/>
      </c>
      <c r="CF233" s="49" t="str">
        <f>IF(AH233="","",IFERROR(INDEX('Prior Multipliers'!$C$6:$C$70,MATCH(LEFT(AH233,10),'Prior Multipliers'!$A$6:$A$70,0)),IFERROR(INDEX('Prior Multipliers'!$C$6:$C$70,MATCH(LEFT(AH233,6),'Prior Multipliers'!$A$6:$A$70,0)),IFERROR(INDEX('Prior Multipliers'!$C$6:$C$70,MATCH(LEFT(AH233,2),'Prior Multipliers'!$A$6:$A$70,0)),1))))</f>
        <v/>
      </c>
      <c r="CG233" s="49" t="str">
        <f>IF(CB233="","",IF(AND('Seasonal Tercile Tally'!$B$5=1,BT233="Rating-based"),CB233*CF233,CB233))</f>
        <v/>
      </c>
      <c r="CH233" s="47">
        <f t="shared" si="100"/>
        <v>0</v>
      </c>
      <c r="CI233" s="45"/>
      <c r="CJ233" s="42" t="str">
        <f t="shared" si="101"/>
        <v/>
      </c>
      <c r="CM233" s="42" t="str">
        <f t="shared" si="102"/>
        <v/>
      </c>
      <c r="CP233" s="46" t="str">
        <f t="shared" si="103"/>
        <v/>
      </c>
      <c r="CS233" s="46" t="str">
        <f t="shared" si="104"/>
        <v/>
      </c>
      <c r="CT233" s="42" t="str">
        <f t="shared" si="105"/>
        <v/>
      </c>
      <c r="CU233" s="42" t="str">
        <f t="shared" si="106"/>
        <v/>
      </c>
      <c r="CV233" s="42" t="str">
        <f t="shared" si="107"/>
        <v/>
      </c>
      <c r="DB233" s="45"/>
      <c r="DH233" s="42" t="str">
        <f t="shared" si="108"/>
        <v/>
      </c>
      <c r="DI233" s="43" t="str">
        <f t="shared" si="109"/>
        <v/>
      </c>
      <c r="DK233" s="46" t="str">
        <f t="shared" si="110"/>
        <v/>
      </c>
      <c r="DQ233" s="42" t="str">
        <f>IF(AH233="","",IFERROR(ROUND(100*('Weighting Options'!$D$7*IF(ISNUMBER(CA233),CA233/3,0)+'Weighting Options'!$D$8*MIN(N(BL233),3)/3+'Weighting Options'!$D$9*IF(AP233="Community/Plenary-endorsed",1,IF(AP233="FGD-validated only",0.75,IF(AP233="Sub-community-specific",0.5,IF(AP233="Provisional/emerging",0.25,0))))+'Weighting Options'!$D$10*IF(ISNUMBER(K233),K233/3,0)+'Weighting Options'!$D$11*IF(CC233="",0.5,IF(CC233="OK",1,0.25))+'Weighting Options'!$D$12*IF(DK233="",0.5,IF(DK233="Agrees",1,IF(DK233="Opposite",0,0.5)))+'Weighting Options'!$D$13*MIN(N(BG233),3)/3+'Weighting Options'!$D$14*IF(AE233=1,1,0))/SUM('Weighting Options'!$D$7:$D$14),0),""))</f>
        <v/>
      </c>
      <c r="DR233" s="44" t="str">
        <f>IF(AH233="","",IFERROR(INDEX('Weighting Options'!$D$20:$D$27,VALUE(LEFT(TRIM(BU233),1))),1))</f>
        <v/>
      </c>
      <c r="DS233" s="44" t="str">
        <f t="shared" si="111"/>
        <v/>
      </c>
      <c r="DT233" s="42" t="str">
        <f>IF(AH233="","",IF(COUNTIFS($AH$12:AH233,AH233,$AI$12:AI233,AI233,$AM$12:AM233,AM233)=1,1,0))</f>
        <v/>
      </c>
    </row>
    <row r="234" spans="16:124" ht="12.75" customHeight="1" x14ac:dyDescent="0.35">
      <c r="P234" s="41"/>
      <c r="Q234" s="41"/>
      <c r="R234" s="41"/>
      <c r="S234" s="41"/>
      <c r="AH234" s="40"/>
      <c r="AP234" s="40"/>
      <c r="AS234" s="41"/>
      <c r="AT234" s="41"/>
      <c r="AW234" t="str">
        <f t="shared" si="84"/>
        <v/>
      </c>
      <c r="AX234" t="str">
        <f t="shared" si="85"/>
        <v/>
      </c>
      <c r="AY234" t="str">
        <f t="shared" si="86"/>
        <v/>
      </c>
      <c r="AZ234" s="40"/>
      <c r="BL234" s="47" t="str">
        <f t="shared" si="87"/>
        <v/>
      </c>
      <c r="BM234" s="47" t="str">
        <f t="shared" si="88"/>
        <v/>
      </c>
      <c r="BN234" s="47" t="str">
        <f t="shared" si="89"/>
        <v/>
      </c>
      <c r="BO234" s="47" t="str">
        <f t="shared" si="90"/>
        <v/>
      </c>
      <c r="BP234" s="47" t="str">
        <f t="shared" si="91"/>
        <v/>
      </c>
      <c r="BQ234" s="48" t="str">
        <f t="shared" si="92"/>
        <v/>
      </c>
      <c r="BR234" s="48" t="str">
        <f t="shared" si="93"/>
        <v/>
      </c>
      <c r="BS234" s="48" t="str">
        <f t="shared" si="94"/>
        <v/>
      </c>
      <c r="BT234" s="47" t="str">
        <f t="shared" si="95"/>
        <v/>
      </c>
      <c r="CA234" s="47" t="str">
        <f t="shared" si="96"/>
        <v/>
      </c>
      <c r="CB234" s="47" t="str">
        <f t="shared" si="97"/>
        <v/>
      </c>
      <c r="CC234" s="47" t="str">
        <f t="shared" si="98"/>
        <v/>
      </c>
      <c r="CD234" s="47" t="str">
        <f t="shared" si="99"/>
        <v/>
      </c>
      <c r="CE234" s="47" t="str">
        <f>IF(AH234="","",IF(OR(AI234&lt;&gt;'Seasonal Tercile Tally'!$B$3,AM234&lt;&gt;'Seasonal Tercile Tally'!$B$4),"Other site/ season",IF(DT234=0,"Excluded: duplicate (later row)",IF(N234&lt;&gt;1,"Excluded: not sighted",IF(AC234&lt;&gt;1,"Excluded: not confirmed",IF(AD234&lt;&gt;1,"Excluded: not approved",IF(AP234="Contested","Excluded: contested",IF(OR(U234="",U234=0),"Excluded: no tercile",IF(CB234="","Counted (simple tally only — no weight)","Counted")))))))))</f>
        <v/>
      </c>
      <c r="CF234" s="49" t="str">
        <f>IF(AH234="","",IFERROR(INDEX('Prior Multipliers'!$C$6:$C$70,MATCH(LEFT(AH234,10),'Prior Multipliers'!$A$6:$A$70,0)),IFERROR(INDEX('Prior Multipliers'!$C$6:$C$70,MATCH(LEFT(AH234,6),'Prior Multipliers'!$A$6:$A$70,0)),IFERROR(INDEX('Prior Multipliers'!$C$6:$C$70,MATCH(LEFT(AH234,2),'Prior Multipliers'!$A$6:$A$70,0)),1))))</f>
        <v/>
      </c>
      <c r="CG234" s="49" t="str">
        <f>IF(CB234="","",IF(AND('Seasonal Tercile Tally'!$B$5=1,BT234="Rating-based"),CB234*CF234,CB234))</f>
        <v/>
      </c>
      <c r="CH234" s="47">
        <f t="shared" si="100"/>
        <v>0</v>
      </c>
      <c r="CI234" s="45"/>
      <c r="CJ234" s="42" t="str">
        <f t="shared" si="101"/>
        <v/>
      </c>
      <c r="CM234" s="42" t="str">
        <f t="shared" si="102"/>
        <v/>
      </c>
      <c r="CP234" s="46" t="str">
        <f t="shared" si="103"/>
        <v/>
      </c>
      <c r="CS234" s="46" t="str">
        <f t="shared" si="104"/>
        <v/>
      </c>
      <c r="CT234" s="42" t="str">
        <f t="shared" si="105"/>
        <v/>
      </c>
      <c r="CU234" s="42" t="str">
        <f t="shared" si="106"/>
        <v/>
      </c>
      <c r="CV234" s="42" t="str">
        <f t="shared" si="107"/>
        <v/>
      </c>
      <c r="DB234" s="45"/>
      <c r="DH234" s="42" t="str">
        <f t="shared" si="108"/>
        <v/>
      </c>
      <c r="DI234" s="43" t="str">
        <f t="shared" si="109"/>
        <v/>
      </c>
      <c r="DK234" s="46" t="str">
        <f t="shared" si="110"/>
        <v/>
      </c>
      <c r="DQ234" s="42" t="str">
        <f>IF(AH234="","",IFERROR(ROUND(100*('Weighting Options'!$D$7*IF(ISNUMBER(CA234),CA234/3,0)+'Weighting Options'!$D$8*MIN(N(BL234),3)/3+'Weighting Options'!$D$9*IF(AP234="Community/Plenary-endorsed",1,IF(AP234="FGD-validated only",0.75,IF(AP234="Sub-community-specific",0.5,IF(AP234="Provisional/emerging",0.25,0))))+'Weighting Options'!$D$10*IF(ISNUMBER(K234),K234/3,0)+'Weighting Options'!$D$11*IF(CC234="",0.5,IF(CC234="OK",1,0.25))+'Weighting Options'!$D$12*IF(DK234="",0.5,IF(DK234="Agrees",1,IF(DK234="Opposite",0,0.5)))+'Weighting Options'!$D$13*MIN(N(BG234),3)/3+'Weighting Options'!$D$14*IF(AE234=1,1,0))/SUM('Weighting Options'!$D$7:$D$14),0),""))</f>
        <v/>
      </c>
      <c r="DR234" s="44" t="str">
        <f>IF(AH234="","",IFERROR(INDEX('Weighting Options'!$D$20:$D$27,VALUE(LEFT(TRIM(BU234),1))),1))</f>
        <v/>
      </c>
      <c r="DS234" s="44" t="str">
        <f t="shared" si="111"/>
        <v/>
      </c>
      <c r="DT234" s="42" t="str">
        <f>IF(AH234="","",IF(COUNTIFS($AH$12:AH234,AH234,$AI$12:AI234,AI234,$AM$12:AM234,AM234)=1,1,0))</f>
        <v/>
      </c>
    </row>
    <row r="235" spans="16:124" ht="12.75" customHeight="1" x14ac:dyDescent="0.35">
      <c r="P235" s="41"/>
      <c r="Q235" s="41"/>
      <c r="R235" s="41"/>
      <c r="S235" s="41"/>
      <c r="AH235" s="40"/>
      <c r="AP235" s="40"/>
      <c r="AS235" s="41"/>
      <c r="AT235" s="41"/>
      <c r="AW235" t="str">
        <f t="shared" si="84"/>
        <v/>
      </c>
      <c r="AX235" t="str">
        <f t="shared" si="85"/>
        <v/>
      </c>
      <c r="AY235" t="str">
        <f t="shared" si="86"/>
        <v/>
      </c>
      <c r="AZ235" s="40"/>
      <c r="BL235" s="47" t="str">
        <f t="shared" si="87"/>
        <v/>
      </c>
      <c r="BM235" s="47" t="str">
        <f t="shared" si="88"/>
        <v/>
      </c>
      <c r="BN235" s="47" t="str">
        <f t="shared" si="89"/>
        <v/>
      </c>
      <c r="BO235" s="47" t="str">
        <f t="shared" si="90"/>
        <v/>
      </c>
      <c r="BP235" s="47" t="str">
        <f t="shared" si="91"/>
        <v/>
      </c>
      <c r="BQ235" s="48" t="str">
        <f t="shared" si="92"/>
        <v/>
      </c>
      <c r="BR235" s="48" t="str">
        <f t="shared" si="93"/>
        <v/>
      </c>
      <c r="BS235" s="48" t="str">
        <f t="shared" si="94"/>
        <v/>
      </c>
      <c r="BT235" s="47" t="str">
        <f t="shared" si="95"/>
        <v/>
      </c>
      <c r="CA235" s="47" t="str">
        <f t="shared" si="96"/>
        <v/>
      </c>
      <c r="CB235" s="47" t="str">
        <f t="shared" si="97"/>
        <v/>
      </c>
      <c r="CC235" s="47" t="str">
        <f t="shared" si="98"/>
        <v/>
      </c>
      <c r="CD235" s="47" t="str">
        <f t="shared" si="99"/>
        <v/>
      </c>
      <c r="CE235" s="47" t="str">
        <f>IF(AH235="","",IF(OR(AI235&lt;&gt;'Seasonal Tercile Tally'!$B$3,AM235&lt;&gt;'Seasonal Tercile Tally'!$B$4),"Other site/ season",IF(DT235=0,"Excluded: duplicate (later row)",IF(N235&lt;&gt;1,"Excluded: not sighted",IF(AC235&lt;&gt;1,"Excluded: not confirmed",IF(AD235&lt;&gt;1,"Excluded: not approved",IF(AP235="Contested","Excluded: contested",IF(OR(U235="",U235=0),"Excluded: no tercile",IF(CB235="","Counted (simple tally only — no weight)","Counted")))))))))</f>
        <v/>
      </c>
      <c r="CF235" s="49" t="str">
        <f>IF(AH235="","",IFERROR(INDEX('Prior Multipliers'!$C$6:$C$70,MATCH(LEFT(AH235,10),'Prior Multipliers'!$A$6:$A$70,0)),IFERROR(INDEX('Prior Multipliers'!$C$6:$C$70,MATCH(LEFT(AH235,6),'Prior Multipliers'!$A$6:$A$70,0)),IFERROR(INDEX('Prior Multipliers'!$C$6:$C$70,MATCH(LEFT(AH235,2),'Prior Multipliers'!$A$6:$A$70,0)),1))))</f>
        <v/>
      </c>
      <c r="CG235" s="49" t="str">
        <f>IF(CB235="","",IF(AND('Seasonal Tercile Tally'!$B$5=1,BT235="Rating-based"),CB235*CF235,CB235))</f>
        <v/>
      </c>
      <c r="CH235" s="47">
        <f t="shared" si="100"/>
        <v>0</v>
      </c>
      <c r="CI235" s="45"/>
      <c r="CJ235" s="42" t="str">
        <f t="shared" si="101"/>
        <v/>
      </c>
      <c r="CM235" s="42" t="str">
        <f t="shared" si="102"/>
        <v/>
      </c>
      <c r="CP235" s="46" t="str">
        <f t="shared" si="103"/>
        <v/>
      </c>
      <c r="CS235" s="46" t="str">
        <f t="shared" si="104"/>
        <v/>
      </c>
      <c r="CT235" s="42" t="str">
        <f t="shared" si="105"/>
        <v/>
      </c>
      <c r="CU235" s="42" t="str">
        <f t="shared" si="106"/>
        <v/>
      </c>
      <c r="CV235" s="42" t="str">
        <f t="shared" si="107"/>
        <v/>
      </c>
      <c r="DB235" s="45"/>
      <c r="DH235" s="42" t="str">
        <f t="shared" si="108"/>
        <v/>
      </c>
      <c r="DI235" s="43" t="str">
        <f t="shared" si="109"/>
        <v/>
      </c>
      <c r="DK235" s="46" t="str">
        <f t="shared" si="110"/>
        <v/>
      </c>
      <c r="DQ235" s="42" t="str">
        <f>IF(AH235="","",IFERROR(ROUND(100*('Weighting Options'!$D$7*IF(ISNUMBER(CA235),CA235/3,0)+'Weighting Options'!$D$8*MIN(N(BL235),3)/3+'Weighting Options'!$D$9*IF(AP235="Community/Plenary-endorsed",1,IF(AP235="FGD-validated only",0.75,IF(AP235="Sub-community-specific",0.5,IF(AP235="Provisional/emerging",0.25,0))))+'Weighting Options'!$D$10*IF(ISNUMBER(K235),K235/3,0)+'Weighting Options'!$D$11*IF(CC235="",0.5,IF(CC235="OK",1,0.25))+'Weighting Options'!$D$12*IF(DK235="",0.5,IF(DK235="Agrees",1,IF(DK235="Opposite",0,0.5)))+'Weighting Options'!$D$13*MIN(N(BG235),3)/3+'Weighting Options'!$D$14*IF(AE235=1,1,0))/SUM('Weighting Options'!$D$7:$D$14),0),""))</f>
        <v/>
      </c>
      <c r="DR235" s="44" t="str">
        <f>IF(AH235="","",IFERROR(INDEX('Weighting Options'!$D$20:$D$27,VALUE(LEFT(TRIM(BU235),1))),1))</f>
        <v/>
      </c>
      <c r="DS235" s="44" t="str">
        <f t="shared" si="111"/>
        <v/>
      </c>
      <c r="DT235" s="42" t="str">
        <f>IF(AH235="","",IF(COUNTIFS($AH$12:AH235,AH235,$AI$12:AI235,AI235,$AM$12:AM235,AM235)=1,1,0))</f>
        <v/>
      </c>
    </row>
    <row r="236" spans="16:124" ht="12.75" customHeight="1" x14ac:dyDescent="0.35">
      <c r="P236" s="41"/>
      <c r="Q236" s="41"/>
      <c r="R236" s="41"/>
      <c r="S236" s="41"/>
      <c r="AH236" s="40"/>
      <c r="AP236" s="40"/>
      <c r="AS236" s="41"/>
      <c r="AT236" s="41"/>
      <c r="AW236" t="str">
        <f t="shared" si="84"/>
        <v/>
      </c>
      <c r="AX236" t="str">
        <f t="shared" si="85"/>
        <v/>
      </c>
      <c r="AY236" t="str">
        <f t="shared" si="86"/>
        <v/>
      </c>
      <c r="AZ236" s="40"/>
      <c r="BL236" s="47" t="str">
        <f t="shared" si="87"/>
        <v/>
      </c>
      <c r="BM236" s="47" t="str">
        <f t="shared" si="88"/>
        <v/>
      </c>
      <c r="BN236" s="47" t="str">
        <f t="shared" si="89"/>
        <v/>
      </c>
      <c r="BO236" s="47" t="str">
        <f t="shared" si="90"/>
        <v/>
      </c>
      <c r="BP236" s="47" t="str">
        <f t="shared" si="91"/>
        <v/>
      </c>
      <c r="BQ236" s="48" t="str">
        <f t="shared" si="92"/>
        <v/>
      </c>
      <c r="BR236" s="48" t="str">
        <f t="shared" si="93"/>
        <v/>
      </c>
      <c r="BS236" s="48" t="str">
        <f t="shared" si="94"/>
        <v/>
      </c>
      <c r="BT236" s="47" t="str">
        <f t="shared" si="95"/>
        <v/>
      </c>
      <c r="CA236" s="47" t="str">
        <f t="shared" si="96"/>
        <v/>
      </c>
      <c r="CB236" s="47" t="str">
        <f t="shared" si="97"/>
        <v/>
      </c>
      <c r="CC236" s="47" t="str">
        <f t="shared" si="98"/>
        <v/>
      </c>
      <c r="CD236" s="47" t="str">
        <f t="shared" si="99"/>
        <v/>
      </c>
      <c r="CE236" s="47" t="str">
        <f>IF(AH236="","",IF(OR(AI236&lt;&gt;'Seasonal Tercile Tally'!$B$3,AM236&lt;&gt;'Seasonal Tercile Tally'!$B$4),"Other site/ season",IF(DT236=0,"Excluded: duplicate (later row)",IF(N236&lt;&gt;1,"Excluded: not sighted",IF(AC236&lt;&gt;1,"Excluded: not confirmed",IF(AD236&lt;&gt;1,"Excluded: not approved",IF(AP236="Contested","Excluded: contested",IF(OR(U236="",U236=0),"Excluded: no tercile",IF(CB236="","Counted (simple tally only — no weight)","Counted")))))))))</f>
        <v/>
      </c>
      <c r="CF236" s="49" t="str">
        <f>IF(AH236="","",IFERROR(INDEX('Prior Multipliers'!$C$6:$C$70,MATCH(LEFT(AH236,10),'Prior Multipliers'!$A$6:$A$70,0)),IFERROR(INDEX('Prior Multipliers'!$C$6:$C$70,MATCH(LEFT(AH236,6),'Prior Multipliers'!$A$6:$A$70,0)),IFERROR(INDEX('Prior Multipliers'!$C$6:$C$70,MATCH(LEFT(AH236,2),'Prior Multipliers'!$A$6:$A$70,0)),1))))</f>
        <v/>
      </c>
      <c r="CG236" s="49" t="str">
        <f>IF(CB236="","",IF(AND('Seasonal Tercile Tally'!$B$5=1,BT236="Rating-based"),CB236*CF236,CB236))</f>
        <v/>
      </c>
      <c r="CH236" s="47">
        <f t="shared" si="100"/>
        <v>0</v>
      </c>
      <c r="CI236" s="45"/>
      <c r="CJ236" s="42" t="str">
        <f t="shared" si="101"/>
        <v/>
      </c>
      <c r="CM236" s="42" t="str">
        <f t="shared" si="102"/>
        <v/>
      </c>
      <c r="CP236" s="46" t="str">
        <f t="shared" si="103"/>
        <v/>
      </c>
      <c r="CS236" s="46" t="str">
        <f t="shared" si="104"/>
        <v/>
      </c>
      <c r="CT236" s="42" t="str">
        <f t="shared" si="105"/>
        <v/>
      </c>
      <c r="CU236" s="42" t="str">
        <f t="shared" si="106"/>
        <v/>
      </c>
      <c r="CV236" s="42" t="str">
        <f t="shared" si="107"/>
        <v/>
      </c>
      <c r="DB236" s="45"/>
      <c r="DH236" s="42" t="str">
        <f t="shared" si="108"/>
        <v/>
      </c>
      <c r="DI236" s="43" t="str">
        <f t="shared" si="109"/>
        <v/>
      </c>
      <c r="DK236" s="46" t="str">
        <f t="shared" si="110"/>
        <v/>
      </c>
      <c r="DQ236" s="42" t="str">
        <f>IF(AH236="","",IFERROR(ROUND(100*('Weighting Options'!$D$7*IF(ISNUMBER(CA236),CA236/3,0)+'Weighting Options'!$D$8*MIN(N(BL236),3)/3+'Weighting Options'!$D$9*IF(AP236="Community/Plenary-endorsed",1,IF(AP236="FGD-validated only",0.75,IF(AP236="Sub-community-specific",0.5,IF(AP236="Provisional/emerging",0.25,0))))+'Weighting Options'!$D$10*IF(ISNUMBER(K236),K236/3,0)+'Weighting Options'!$D$11*IF(CC236="",0.5,IF(CC236="OK",1,0.25))+'Weighting Options'!$D$12*IF(DK236="",0.5,IF(DK236="Agrees",1,IF(DK236="Opposite",0,0.5)))+'Weighting Options'!$D$13*MIN(N(BG236),3)/3+'Weighting Options'!$D$14*IF(AE236=1,1,0))/SUM('Weighting Options'!$D$7:$D$14),0),""))</f>
        <v/>
      </c>
      <c r="DR236" s="44" t="str">
        <f>IF(AH236="","",IFERROR(INDEX('Weighting Options'!$D$20:$D$27,VALUE(LEFT(TRIM(BU236),1))),1))</f>
        <v/>
      </c>
      <c r="DS236" s="44" t="str">
        <f t="shared" si="111"/>
        <v/>
      </c>
      <c r="DT236" s="42" t="str">
        <f>IF(AH236="","",IF(COUNTIFS($AH$12:AH236,AH236,$AI$12:AI236,AI236,$AM$12:AM236,AM236)=1,1,0))</f>
        <v/>
      </c>
    </row>
    <row r="237" spans="16:124" ht="12.75" customHeight="1" x14ac:dyDescent="0.35">
      <c r="P237" s="41"/>
      <c r="Q237" s="41"/>
      <c r="R237" s="41"/>
      <c r="S237" s="41"/>
      <c r="AH237" s="40"/>
      <c r="AP237" s="40"/>
      <c r="AS237" s="41"/>
      <c r="AT237" s="41"/>
      <c r="AW237" t="str">
        <f t="shared" si="84"/>
        <v/>
      </c>
      <c r="AX237" t="str">
        <f t="shared" si="85"/>
        <v/>
      </c>
      <c r="AY237" t="str">
        <f t="shared" si="86"/>
        <v/>
      </c>
      <c r="AZ237" s="40"/>
      <c r="BL237" s="47" t="str">
        <f t="shared" si="87"/>
        <v/>
      </c>
      <c r="BM237" s="47" t="str">
        <f t="shared" si="88"/>
        <v/>
      </c>
      <c r="BN237" s="47" t="str">
        <f t="shared" si="89"/>
        <v/>
      </c>
      <c r="BO237" s="47" t="str">
        <f t="shared" si="90"/>
        <v/>
      </c>
      <c r="BP237" s="47" t="str">
        <f t="shared" si="91"/>
        <v/>
      </c>
      <c r="BQ237" s="48" t="str">
        <f t="shared" si="92"/>
        <v/>
      </c>
      <c r="BR237" s="48" t="str">
        <f t="shared" si="93"/>
        <v/>
      </c>
      <c r="BS237" s="48" t="str">
        <f t="shared" si="94"/>
        <v/>
      </c>
      <c r="BT237" s="47" t="str">
        <f t="shared" si="95"/>
        <v/>
      </c>
      <c r="CA237" s="47" t="str">
        <f t="shared" si="96"/>
        <v/>
      </c>
      <c r="CB237" s="47" t="str">
        <f t="shared" si="97"/>
        <v/>
      </c>
      <c r="CC237" s="47" t="str">
        <f t="shared" si="98"/>
        <v/>
      </c>
      <c r="CD237" s="47" t="str">
        <f t="shared" si="99"/>
        <v/>
      </c>
      <c r="CE237" s="47" t="str">
        <f>IF(AH237="","",IF(OR(AI237&lt;&gt;'Seasonal Tercile Tally'!$B$3,AM237&lt;&gt;'Seasonal Tercile Tally'!$B$4),"Other site/ season",IF(DT237=0,"Excluded: duplicate (later row)",IF(N237&lt;&gt;1,"Excluded: not sighted",IF(AC237&lt;&gt;1,"Excluded: not confirmed",IF(AD237&lt;&gt;1,"Excluded: not approved",IF(AP237="Contested","Excluded: contested",IF(OR(U237="",U237=0),"Excluded: no tercile",IF(CB237="","Counted (simple tally only — no weight)","Counted")))))))))</f>
        <v/>
      </c>
      <c r="CF237" s="49" t="str">
        <f>IF(AH237="","",IFERROR(INDEX('Prior Multipliers'!$C$6:$C$70,MATCH(LEFT(AH237,10),'Prior Multipliers'!$A$6:$A$70,0)),IFERROR(INDEX('Prior Multipliers'!$C$6:$C$70,MATCH(LEFT(AH237,6),'Prior Multipliers'!$A$6:$A$70,0)),IFERROR(INDEX('Prior Multipliers'!$C$6:$C$70,MATCH(LEFT(AH237,2),'Prior Multipliers'!$A$6:$A$70,0)),1))))</f>
        <v/>
      </c>
      <c r="CG237" s="49" t="str">
        <f>IF(CB237="","",IF(AND('Seasonal Tercile Tally'!$B$5=1,BT237="Rating-based"),CB237*CF237,CB237))</f>
        <v/>
      </c>
      <c r="CH237" s="47">
        <f t="shared" si="100"/>
        <v>0</v>
      </c>
      <c r="CI237" s="45"/>
      <c r="CJ237" s="42" t="str">
        <f t="shared" si="101"/>
        <v/>
      </c>
      <c r="CM237" s="42" t="str">
        <f t="shared" si="102"/>
        <v/>
      </c>
      <c r="CP237" s="46" t="str">
        <f t="shared" si="103"/>
        <v/>
      </c>
      <c r="CS237" s="46" t="str">
        <f t="shared" si="104"/>
        <v/>
      </c>
      <c r="CT237" s="42" t="str">
        <f t="shared" si="105"/>
        <v/>
      </c>
      <c r="CU237" s="42" t="str">
        <f t="shared" si="106"/>
        <v/>
      </c>
      <c r="CV237" s="42" t="str">
        <f t="shared" si="107"/>
        <v/>
      </c>
      <c r="DB237" s="45"/>
      <c r="DH237" s="42" t="str">
        <f t="shared" si="108"/>
        <v/>
      </c>
      <c r="DI237" s="43" t="str">
        <f t="shared" si="109"/>
        <v/>
      </c>
      <c r="DK237" s="46" t="str">
        <f t="shared" si="110"/>
        <v/>
      </c>
      <c r="DQ237" s="42" t="str">
        <f>IF(AH237="","",IFERROR(ROUND(100*('Weighting Options'!$D$7*IF(ISNUMBER(CA237),CA237/3,0)+'Weighting Options'!$D$8*MIN(N(BL237),3)/3+'Weighting Options'!$D$9*IF(AP237="Community/Plenary-endorsed",1,IF(AP237="FGD-validated only",0.75,IF(AP237="Sub-community-specific",0.5,IF(AP237="Provisional/emerging",0.25,0))))+'Weighting Options'!$D$10*IF(ISNUMBER(K237),K237/3,0)+'Weighting Options'!$D$11*IF(CC237="",0.5,IF(CC237="OK",1,0.25))+'Weighting Options'!$D$12*IF(DK237="",0.5,IF(DK237="Agrees",1,IF(DK237="Opposite",0,0.5)))+'Weighting Options'!$D$13*MIN(N(BG237),3)/3+'Weighting Options'!$D$14*IF(AE237=1,1,0))/SUM('Weighting Options'!$D$7:$D$14),0),""))</f>
        <v/>
      </c>
      <c r="DR237" s="44" t="str">
        <f>IF(AH237="","",IFERROR(INDEX('Weighting Options'!$D$20:$D$27,VALUE(LEFT(TRIM(BU237),1))),1))</f>
        <v/>
      </c>
      <c r="DS237" s="44" t="str">
        <f t="shared" si="111"/>
        <v/>
      </c>
      <c r="DT237" s="42" t="str">
        <f>IF(AH237="","",IF(COUNTIFS($AH$12:AH237,AH237,$AI$12:AI237,AI237,$AM$12:AM237,AM237)=1,1,0))</f>
        <v/>
      </c>
    </row>
    <row r="238" spans="16:124" ht="12.75" customHeight="1" x14ac:dyDescent="0.35">
      <c r="P238" s="41"/>
      <c r="Q238" s="41"/>
      <c r="R238" s="41"/>
      <c r="S238" s="41"/>
      <c r="AH238" s="40"/>
      <c r="AP238" s="40"/>
      <c r="AS238" s="41"/>
      <c r="AT238" s="41"/>
      <c r="AW238" t="str">
        <f t="shared" si="84"/>
        <v/>
      </c>
      <c r="AX238" t="str">
        <f t="shared" si="85"/>
        <v/>
      </c>
      <c r="AY238" t="str">
        <f t="shared" si="86"/>
        <v/>
      </c>
      <c r="AZ238" s="40"/>
      <c r="BL238" s="47" t="str">
        <f t="shared" si="87"/>
        <v/>
      </c>
      <c r="BM238" s="47" t="str">
        <f t="shared" si="88"/>
        <v/>
      </c>
      <c r="BN238" s="47" t="str">
        <f t="shared" si="89"/>
        <v/>
      </c>
      <c r="BO238" s="47" t="str">
        <f t="shared" si="90"/>
        <v/>
      </c>
      <c r="BP238" s="47" t="str">
        <f t="shared" si="91"/>
        <v/>
      </c>
      <c r="BQ238" s="48" t="str">
        <f t="shared" si="92"/>
        <v/>
      </c>
      <c r="BR238" s="48" t="str">
        <f t="shared" si="93"/>
        <v/>
      </c>
      <c r="BS238" s="48" t="str">
        <f t="shared" si="94"/>
        <v/>
      </c>
      <c r="BT238" s="47" t="str">
        <f t="shared" si="95"/>
        <v/>
      </c>
      <c r="CA238" s="47" t="str">
        <f t="shared" si="96"/>
        <v/>
      </c>
      <c r="CB238" s="47" t="str">
        <f t="shared" si="97"/>
        <v/>
      </c>
      <c r="CC238" s="47" t="str">
        <f t="shared" si="98"/>
        <v/>
      </c>
      <c r="CD238" s="47" t="str">
        <f t="shared" si="99"/>
        <v/>
      </c>
      <c r="CE238" s="47" t="str">
        <f>IF(AH238="","",IF(OR(AI238&lt;&gt;'Seasonal Tercile Tally'!$B$3,AM238&lt;&gt;'Seasonal Tercile Tally'!$B$4),"Other site/ season",IF(DT238=0,"Excluded: duplicate (later row)",IF(N238&lt;&gt;1,"Excluded: not sighted",IF(AC238&lt;&gt;1,"Excluded: not confirmed",IF(AD238&lt;&gt;1,"Excluded: not approved",IF(AP238="Contested","Excluded: contested",IF(OR(U238="",U238=0),"Excluded: no tercile",IF(CB238="","Counted (simple tally only — no weight)","Counted")))))))))</f>
        <v/>
      </c>
      <c r="CF238" s="49" t="str">
        <f>IF(AH238="","",IFERROR(INDEX('Prior Multipliers'!$C$6:$C$70,MATCH(LEFT(AH238,10),'Prior Multipliers'!$A$6:$A$70,0)),IFERROR(INDEX('Prior Multipliers'!$C$6:$C$70,MATCH(LEFT(AH238,6),'Prior Multipliers'!$A$6:$A$70,0)),IFERROR(INDEX('Prior Multipliers'!$C$6:$C$70,MATCH(LEFT(AH238,2),'Prior Multipliers'!$A$6:$A$70,0)),1))))</f>
        <v/>
      </c>
      <c r="CG238" s="49" t="str">
        <f>IF(CB238="","",IF(AND('Seasonal Tercile Tally'!$B$5=1,BT238="Rating-based"),CB238*CF238,CB238))</f>
        <v/>
      </c>
      <c r="CH238" s="47">
        <f t="shared" si="100"/>
        <v>0</v>
      </c>
      <c r="CI238" s="45"/>
      <c r="CJ238" s="42" t="str">
        <f t="shared" si="101"/>
        <v/>
      </c>
      <c r="CM238" s="42" t="str">
        <f t="shared" si="102"/>
        <v/>
      </c>
      <c r="CP238" s="46" t="str">
        <f t="shared" si="103"/>
        <v/>
      </c>
      <c r="CS238" s="46" t="str">
        <f t="shared" si="104"/>
        <v/>
      </c>
      <c r="CT238" s="42" t="str">
        <f t="shared" si="105"/>
        <v/>
      </c>
      <c r="CU238" s="42" t="str">
        <f t="shared" si="106"/>
        <v/>
      </c>
      <c r="CV238" s="42" t="str">
        <f t="shared" si="107"/>
        <v/>
      </c>
      <c r="DB238" s="45"/>
      <c r="DH238" s="42" t="str">
        <f t="shared" si="108"/>
        <v/>
      </c>
      <c r="DI238" s="43" t="str">
        <f t="shared" si="109"/>
        <v/>
      </c>
      <c r="DK238" s="46" t="str">
        <f t="shared" si="110"/>
        <v/>
      </c>
      <c r="DQ238" s="42" t="str">
        <f>IF(AH238="","",IFERROR(ROUND(100*('Weighting Options'!$D$7*IF(ISNUMBER(CA238),CA238/3,0)+'Weighting Options'!$D$8*MIN(N(BL238),3)/3+'Weighting Options'!$D$9*IF(AP238="Community/Plenary-endorsed",1,IF(AP238="FGD-validated only",0.75,IF(AP238="Sub-community-specific",0.5,IF(AP238="Provisional/emerging",0.25,0))))+'Weighting Options'!$D$10*IF(ISNUMBER(K238),K238/3,0)+'Weighting Options'!$D$11*IF(CC238="",0.5,IF(CC238="OK",1,0.25))+'Weighting Options'!$D$12*IF(DK238="",0.5,IF(DK238="Agrees",1,IF(DK238="Opposite",0,0.5)))+'Weighting Options'!$D$13*MIN(N(BG238),3)/3+'Weighting Options'!$D$14*IF(AE238=1,1,0))/SUM('Weighting Options'!$D$7:$D$14),0),""))</f>
        <v/>
      </c>
      <c r="DR238" s="44" t="str">
        <f>IF(AH238="","",IFERROR(INDEX('Weighting Options'!$D$20:$D$27,VALUE(LEFT(TRIM(BU238),1))),1))</f>
        <v/>
      </c>
      <c r="DS238" s="44" t="str">
        <f t="shared" si="111"/>
        <v/>
      </c>
      <c r="DT238" s="42" t="str">
        <f>IF(AH238="","",IF(COUNTIFS($AH$12:AH238,AH238,$AI$12:AI238,AI238,$AM$12:AM238,AM238)=1,1,0))</f>
        <v/>
      </c>
    </row>
    <row r="239" spans="16:124" ht="12.75" customHeight="1" x14ac:dyDescent="0.35">
      <c r="P239" s="41"/>
      <c r="Q239" s="41"/>
      <c r="R239" s="41"/>
      <c r="S239" s="41"/>
      <c r="AH239" s="40"/>
      <c r="AP239" s="40"/>
      <c r="AS239" s="41"/>
      <c r="AT239" s="41"/>
      <c r="AW239" t="str">
        <f t="shared" si="84"/>
        <v/>
      </c>
      <c r="AX239" t="str">
        <f t="shared" si="85"/>
        <v/>
      </c>
      <c r="AY239" t="str">
        <f t="shared" si="86"/>
        <v/>
      </c>
      <c r="AZ239" s="40"/>
      <c r="BL239" s="47" t="str">
        <f t="shared" si="87"/>
        <v/>
      </c>
      <c r="BM239" s="47" t="str">
        <f t="shared" si="88"/>
        <v/>
      </c>
      <c r="BN239" s="47" t="str">
        <f t="shared" si="89"/>
        <v/>
      </c>
      <c r="BO239" s="47" t="str">
        <f t="shared" si="90"/>
        <v/>
      </c>
      <c r="BP239" s="47" t="str">
        <f t="shared" si="91"/>
        <v/>
      </c>
      <c r="BQ239" s="48" t="str">
        <f t="shared" si="92"/>
        <v/>
      </c>
      <c r="BR239" s="48" t="str">
        <f t="shared" si="93"/>
        <v/>
      </c>
      <c r="BS239" s="48" t="str">
        <f t="shared" si="94"/>
        <v/>
      </c>
      <c r="BT239" s="47" t="str">
        <f t="shared" si="95"/>
        <v/>
      </c>
      <c r="CA239" s="47" t="str">
        <f t="shared" si="96"/>
        <v/>
      </c>
      <c r="CB239" s="47" t="str">
        <f t="shared" si="97"/>
        <v/>
      </c>
      <c r="CC239" s="47" t="str">
        <f t="shared" si="98"/>
        <v/>
      </c>
      <c r="CD239" s="47" t="str">
        <f t="shared" si="99"/>
        <v/>
      </c>
      <c r="CE239" s="47" t="str">
        <f>IF(AH239="","",IF(OR(AI239&lt;&gt;'Seasonal Tercile Tally'!$B$3,AM239&lt;&gt;'Seasonal Tercile Tally'!$B$4),"Other site/ season",IF(DT239=0,"Excluded: duplicate (later row)",IF(N239&lt;&gt;1,"Excluded: not sighted",IF(AC239&lt;&gt;1,"Excluded: not confirmed",IF(AD239&lt;&gt;1,"Excluded: not approved",IF(AP239="Contested","Excluded: contested",IF(OR(U239="",U239=0),"Excluded: no tercile",IF(CB239="","Counted (simple tally only — no weight)","Counted")))))))))</f>
        <v/>
      </c>
      <c r="CF239" s="49" t="str">
        <f>IF(AH239="","",IFERROR(INDEX('Prior Multipliers'!$C$6:$C$70,MATCH(LEFT(AH239,10),'Prior Multipliers'!$A$6:$A$70,0)),IFERROR(INDEX('Prior Multipliers'!$C$6:$C$70,MATCH(LEFT(AH239,6),'Prior Multipliers'!$A$6:$A$70,0)),IFERROR(INDEX('Prior Multipliers'!$C$6:$C$70,MATCH(LEFT(AH239,2),'Prior Multipliers'!$A$6:$A$70,0)),1))))</f>
        <v/>
      </c>
      <c r="CG239" s="49" t="str">
        <f>IF(CB239="","",IF(AND('Seasonal Tercile Tally'!$B$5=1,BT239="Rating-based"),CB239*CF239,CB239))</f>
        <v/>
      </c>
      <c r="CH239" s="47">
        <f t="shared" si="100"/>
        <v>0</v>
      </c>
      <c r="CI239" s="45"/>
      <c r="CJ239" s="42" t="str">
        <f t="shared" si="101"/>
        <v/>
      </c>
      <c r="CM239" s="42" t="str">
        <f t="shared" si="102"/>
        <v/>
      </c>
      <c r="CP239" s="46" t="str">
        <f t="shared" si="103"/>
        <v/>
      </c>
      <c r="CS239" s="46" t="str">
        <f t="shared" si="104"/>
        <v/>
      </c>
      <c r="CT239" s="42" t="str">
        <f t="shared" si="105"/>
        <v/>
      </c>
      <c r="CU239" s="42" t="str">
        <f t="shared" si="106"/>
        <v/>
      </c>
      <c r="CV239" s="42" t="str">
        <f t="shared" si="107"/>
        <v/>
      </c>
      <c r="DB239" s="45"/>
      <c r="DH239" s="42" t="str">
        <f t="shared" si="108"/>
        <v/>
      </c>
      <c r="DI239" s="43" t="str">
        <f t="shared" si="109"/>
        <v/>
      </c>
      <c r="DK239" s="46" t="str">
        <f t="shared" si="110"/>
        <v/>
      </c>
      <c r="DQ239" s="42" t="str">
        <f>IF(AH239="","",IFERROR(ROUND(100*('Weighting Options'!$D$7*IF(ISNUMBER(CA239),CA239/3,0)+'Weighting Options'!$D$8*MIN(N(BL239),3)/3+'Weighting Options'!$D$9*IF(AP239="Community/Plenary-endorsed",1,IF(AP239="FGD-validated only",0.75,IF(AP239="Sub-community-specific",0.5,IF(AP239="Provisional/emerging",0.25,0))))+'Weighting Options'!$D$10*IF(ISNUMBER(K239),K239/3,0)+'Weighting Options'!$D$11*IF(CC239="",0.5,IF(CC239="OK",1,0.25))+'Weighting Options'!$D$12*IF(DK239="",0.5,IF(DK239="Agrees",1,IF(DK239="Opposite",0,0.5)))+'Weighting Options'!$D$13*MIN(N(BG239),3)/3+'Weighting Options'!$D$14*IF(AE239=1,1,0))/SUM('Weighting Options'!$D$7:$D$14),0),""))</f>
        <v/>
      </c>
      <c r="DR239" s="44" t="str">
        <f>IF(AH239="","",IFERROR(INDEX('Weighting Options'!$D$20:$D$27,VALUE(LEFT(TRIM(BU239),1))),1))</f>
        <v/>
      </c>
      <c r="DS239" s="44" t="str">
        <f t="shared" si="111"/>
        <v/>
      </c>
      <c r="DT239" s="42" t="str">
        <f>IF(AH239="","",IF(COUNTIFS($AH$12:AH239,AH239,$AI$12:AI239,AI239,$AM$12:AM239,AM239)=1,1,0))</f>
        <v/>
      </c>
    </row>
    <row r="240" spans="16:124" ht="12.75" customHeight="1" x14ac:dyDescent="0.35">
      <c r="P240" s="41"/>
      <c r="Q240" s="41"/>
      <c r="R240" s="41"/>
      <c r="S240" s="41"/>
      <c r="AH240" s="40"/>
      <c r="AP240" s="40"/>
      <c r="AS240" s="41"/>
      <c r="AT240" s="41"/>
      <c r="AW240" t="str">
        <f t="shared" si="84"/>
        <v/>
      </c>
      <c r="AX240" t="str">
        <f t="shared" si="85"/>
        <v/>
      </c>
      <c r="AY240" t="str">
        <f t="shared" si="86"/>
        <v/>
      </c>
      <c r="AZ240" s="40"/>
      <c r="BL240" s="47" t="str">
        <f t="shared" si="87"/>
        <v/>
      </c>
      <c r="BM240" s="47" t="str">
        <f t="shared" si="88"/>
        <v/>
      </c>
      <c r="BN240" s="47" t="str">
        <f t="shared" si="89"/>
        <v/>
      </c>
      <c r="BO240" s="47" t="str">
        <f t="shared" si="90"/>
        <v/>
      </c>
      <c r="BP240" s="47" t="str">
        <f t="shared" si="91"/>
        <v/>
      </c>
      <c r="BQ240" s="48" t="str">
        <f t="shared" si="92"/>
        <v/>
      </c>
      <c r="BR240" s="48" t="str">
        <f t="shared" si="93"/>
        <v/>
      </c>
      <c r="BS240" s="48" t="str">
        <f t="shared" si="94"/>
        <v/>
      </c>
      <c r="BT240" s="47" t="str">
        <f t="shared" si="95"/>
        <v/>
      </c>
      <c r="CA240" s="47" t="str">
        <f t="shared" si="96"/>
        <v/>
      </c>
      <c r="CB240" s="47" t="str">
        <f t="shared" si="97"/>
        <v/>
      </c>
      <c r="CC240" s="47" t="str">
        <f t="shared" si="98"/>
        <v/>
      </c>
      <c r="CD240" s="47" t="str">
        <f t="shared" si="99"/>
        <v/>
      </c>
      <c r="CE240" s="47" t="str">
        <f>IF(AH240="","",IF(OR(AI240&lt;&gt;'Seasonal Tercile Tally'!$B$3,AM240&lt;&gt;'Seasonal Tercile Tally'!$B$4),"Other site/ season",IF(DT240=0,"Excluded: duplicate (later row)",IF(N240&lt;&gt;1,"Excluded: not sighted",IF(AC240&lt;&gt;1,"Excluded: not confirmed",IF(AD240&lt;&gt;1,"Excluded: not approved",IF(AP240="Contested","Excluded: contested",IF(OR(U240="",U240=0),"Excluded: no tercile",IF(CB240="","Counted (simple tally only — no weight)","Counted")))))))))</f>
        <v/>
      </c>
      <c r="CF240" s="49" t="str">
        <f>IF(AH240="","",IFERROR(INDEX('Prior Multipliers'!$C$6:$C$70,MATCH(LEFT(AH240,10),'Prior Multipliers'!$A$6:$A$70,0)),IFERROR(INDEX('Prior Multipliers'!$C$6:$C$70,MATCH(LEFT(AH240,6),'Prior Multipliers'!$A$6:$A$70,0)),IFERROR(INDEX('Prior Multipliers'!$C$6:$C$70,MATCH(LEFT(AH240,2),'Prior Multipliers'!$A$6:$A$70,0)),1))))</f>
        <v/>
      </c>
      <c r="CG240" s="49" t="str">
        <f>IF(CB240="","",IF(AND('Seasonal Tercile Tally'!$B$5=1,BT240="Rating-based"),CB240*CF240,CB240))</f>
        <v/>
      </c>
      <c r="CH240" s="47">
        <f t="shared" si="100"/>
        <v>0</v>
      </c>
      <c r="CI240" s="45"/>
      <c r="CJ240" s="42" t="str">
        <f t="shared" si="101"/>
        <v/>
      </c>
      <c r="CM240" s="42" t="str">
        <f t="shared" si="102"/>
        <v/>
      </c>
      <c r="CP240" s="46" t="str">
        <f t="shared" si="103"/>
        <v/>
      </c>
      <c r="CS240" s="46" t="str">
        <f t="shared" si="104"/>
        <v/>
      </c>
      <c r="CT240" s="42" t="str">
        <f t="shared" si="105"/>
        <v/>
      </c>
      <c r="CU240" s="42" t="str">
        <f t="shared" si="106"/>
        <v/>
      </c>
      <c r="CV240" s="42" t="str">
        <f t="shared" si="107"/>
        <v/>
      </c>
      <c r="DB240" s="45"/>
      <c r="DH240" s="42" t="str">
        <f t="shared" si="108"/>
        <v/>
      </c>
      <c r="DI240" s="43" t="str">
        <f t="shared" si="109"/>
        <v/>
      </c>
      <c r="DK240" s="46" t="str">
        <f t="shared" si="110"/>
        <v/>
      </c>
      <c r="DQ240" s="42" t="str">
        <f>IF(AH240="","",IFERROR(ROUND(100*('Weighting Options'!$D$7*IF(ISNUMBER(CA240),CA240/3,0)+'Weighting Options'!$D$8*MIN(N(BL240),3)/3+'Weighting Options'!$D$9*IF(AP240="Community/Plenary-endorsed",1,IF(AP240="FGD-validated only",0.75,IF(AP240="Sub-community-specific",0.5,IF(AP240="Provisional/emerging",0.25,0))))+'Weighting Options'!$D$10*IF(ISNUMBER(K240),K240/3,0)+'Weighting Options'!$D$11*IF(CC240="",0.5,IF(CC240="OK",1,0.25))+'Weighting Options'!$D$12*IF(DK240="",0.5,IF(DK240="Agrees",1,IF(DK240="Opposite",0,0.5)))+'Weighting Options'!$D$13*MIN(N(BG240),3)/3+'Weighting Options'!$D$14*IF(AE240=1,1,0))/SUM('Weighting Options'!$D$7:$D$14),0),""))</f>
        <v/>
      </c>
      <c r="DR240" s="44" t="str">
        <f>IF(AH240="","",IFERROR(INDEX('Weighting Options'!$D$20:$D$27,VALUE(LEFT(TRIM(BU240),1))),1))</f>
        <v/>
      </c>
      <c r="DS240" s="44" t="str">
        <f t="shared" si="111"/>
        <v/>
      </c>
      <c r="DT240" s="42" t="str">
        <f>IF(AH240="","",IF(COUNTIFS($AH$12:AH240,AH240,$AI$12:AI240,AI240,$AM$12:AM240,AM240)=1,1,0))</f>
        <v/>
      </c>
    </row>
    <row r="241" spans="16:124" ht="12.75" customHeight="1" x14ac:dyDescent="0.35">
      <c r="P241" s="41"/>
      <c r="Q241" s="41"/>
      <c r="R241" s="41"/>
      <c r="S241" s="41"/>
      <c r="AH241" s="40"/>
      <c r="AP241" s="40"/>
      <c r="AS241" s="41"/>
      <c r="AT241" s="41"/>
      <c r="AW241" t="str">
        <f t="shared" si="84"/>
        <v/>
      </c>
      <c r="AX241" t="str">
        <f t="shared" si="85"/>
        <v/>
      </c>
      <c r="AY241" t="str">
        <f t="shared" si="86"/>
        <v/>
      </c>
      <c r="AZ241" s="40"/>
      <c r="BL241" s="47" t="str">
        <f t="shared" si="87"/>
        <v/>
      </c>
      <c r="BM241" s="47" t="str">
        <f t="shared" si="88"/>
        <v/>
      </c>
      <c r="BN241" s="47" t="str">
        <f t="shared" si="89"/>
        <v/>
      </c>
      <c r="BO241" s="47" t="str">
        <f t="shared" si="90"/>
        <v/>
      </c>
      <c r="BP241" s="47" t="str">
        <f t="shared" si="91"/>
        <v/>
      </c>
      <c r="BQ241" s="48" t="str">
        <f t="shared" si="92"/>
        <v/>
      </c>
      <c r="BR241" s="48" t="str">
        <f t="shared" si="93"/>
        <v/>
      </c>
      <c r="BS241" s="48" t="str">
        <f t="shared" si="94"/>
        <v/>
      </c>
      <c r="BT241" s="47" t="str">
        <f t="shared" si="95"/>
        <v/>
      </c>
      <c r="CA241" s="47" t="str">
        <f t="shared" si="96"/>
        <v/>
      </c>
      <c r="CB241" s="47" t="str">
        <f t="shared" si="97"/>
        <v/>
      </c>
      <c r="CC241" s="47" t="str">
        <f t="shared" si="98"/>
        <v/>
      </c>
      <c r="CD241" s="47" t="str">
        <f t="shared" si="99"/>
        <v/>
      </c>
      <c r="CE241" s="47" t="str">
        <f>IF(AH241="","",IF(OR(AI241&lt;&gt;'Seasonal Tercile Tally'!$B$3,AM241&lt;&gt;'Seasonal Tercile Tally'!$B$4),"Other site/ season",IF(DT241=0,"Excluded: duplicate (later row)",IF(N241&lt;&gt;1,"Excluded: not sighted",IF(AC241&lt;&gt;1,"Excluded: not confirmed",IF(AD241&lt;&gt;1,"Excluded: not approved",IF(AP241="Contested","Excluded: contested",IF(OR(U241="",U241=0),"Excluded: no tercile",IF(CB241="","Counted (simple tally only — no weight)","Counted")))))))))</f>
        <v/>
      </c>
      <c r="CF241" s="49" t="str">
        <f>IF(AH241="","",IFERROR(INDEX('Prior Multipliers'!$C$6:$C$70,MATCH(LEFT(AH241,10),'Prior Multipliers'!$A$6:$A$70,0)),IFERROR(INDEX('Prior Multipliers'!$C$6:$C$70,MATCH(LEFT(AH241,6),'Prior Multipliers'!$A$6:$A$70,0)),IFERROR(INDEX('Prior Multipliers'!$C$6:$C$70,MATCH(LEFT(AH241,2),'Prior Multipliers'!$A$6:$A$70,0)),1))))</f>
        <v/>
      </c>
      <c r="CG241" s="49" t="str">
        <f>IF(CB241="","",IF(AND('Seasonal Tercile Tally'!$B$5=1,BT241="Rating-based"),CB241*CF241,CB241))</f>
        <v/>
      </c>
      <c r="CH241" s="47">
        <f t="shared" si="100"/>
        <v>0</v>
      </c>
      <c r="CI241" s="45"/>
      <c r="CJ241" s="42" t="str">
        <f t="shared" si="101"/>
        <v/>
      </c>
      <c r="CM241" s="42" t="str">
        <f t="shared" si="102"/>
        <v/>
      </c>
      <c r="CP241" s="46" t="str">
        <f t="shared" si="103"/>
        <v/>
      </c>
      <c r="CS241" s="46" t="str">
        <f t="shared" si="104"/>
        <v/>
      </c>
      <c r="CT241" s="42" t="str">
        <f t="shared" si="105"/>
        <v/>
      </c>
      <c r="CU241" s="42" t="str">
        <f t="shared" si="106"/>
        <v/>
      </c>
      <c r="CV241" s="42" t="str">
        <f t="shared" si="107"/>
        <v/>
      </c>
      <c r="DB241" s="45"/>
      <c r="DH241" s="42" t="str">
        <f t="shared" si="108"/>
        <v/>
      </c>
      <c r="DI241" s="43" t="str">
        <f t="shared" si="109"/>
        <v/>
      </c>
      <c r="DK241" s="46" t="str">
        <f t="shared" si="110"/>
        <v/>
      </c>
      <c r="DQ241" s="42" t="str">
        <f>IF(AH241="","",IFERROR(ROUND(100*('Weighting Options'!$D$7*IF(ISNUMBER(CA241),CA241/3,0)+'Weighting Options'!$D$8*MIN(N(BL241),3)/3+'Weighting Options'!$D$9*IF(AP241="Community/Plenary-endorsed",1,IF(AP241="FGD-validated only",0.75,IF(AP241="Sub-community-specific",0.5,IF(AP241="Provisional/emerging",0.25,0))))+'Weighting Options'!$D$10*IF(ISNUMBER(K241),K241/3,0)+'Weighting Options'!$D$11*IF(CC241="",0.5,IF(CC241="OK",1,0.25))+'Weighting Options'!$D$12*IF(DK241="",0.5,IF(DK241="Agrees",1,IF(DK241="Opposite",0,0.5)))+'Weighting Options'!$D$13*MIN(N(BG241),3)/3+'Weighting Options'!$D$14*IF(AE241=1,1,0))/SUM('Weighting Options'!$D$7:$D$14),0),""))</f>
        <v/>
      </c>
      <c r="DR241" s="44" t="str">
        <f>IF(AH241="","",IFERROR(INDEX('Weighting Options'!$D$20:$D$27,VALUE(LEFT(TRIM(BU241),1))),1))</f>
        <v/>
      </c>
      <c r="DS241" s="44" t="str">
        <f t="shared" si="111"/>
        <v/>
      </c>
      <c r="DT241" s="42" t="str">
        <f>IF(AH241="","",IF(COUNTIFS($AH$12:AH241,AH241,$AI$12:AI241,AI241,$AM$12:AM241,AM241)=1,1,0))</f>
        <v/>
      </c>
    </row>
    <row r="242" spans="16:124" ht="12.75" customHeight="1" x14ac:dyDescent="0.35">
      <c r="P242" s="41"/>
      <c r="Q242" s="41"/>
      <c r="R242" s="41"/>
      <c r="S242" s="41"/>
      <c r="AH242" s="40"/>
      <c r="AP242" s="40"/>
      <c r="AS242" s="41"/>
      <c r="AT242" s="41"/>
      <c r="AW242" t="str">
        <f t="shared" si="84"/>
        <v/>
      </c>
      <c r="AX242" t="str">
        <f t="shared" si="85"/>
        <v/>
      </c>
      <c r="AY242" t="str">
        <f t="shared" si="86"/>
        <v/>
      </c>
      <c r="AZ242" s="40"/>
      <c r="BL242" s="47" t="str">
        <f t="shared" si="87"/>
        <v/>
      </c>
      <c r="BM242" s="47" t="str">
        <f t="shared" si="88"/>
        <v/>
      </c>
      <c r="BN242" s="47" t="str">
        <f t="shared" si="89"/>
        <v/>
      </c>
      <c r="BO242" s="47" t="str">
        <f t="shared" si="90"/>
        <v/>
      </c>
      <c r="BP242" s="47" t="str">
        <f t="shared" si="91"/>
        <v/>
      </c>
      <c r="BQ242" s="48" t="str">
        <f t="shared" si="92"/>
        <v/>
      </c>
      <c r="BR242" s="48" t="str">
        <f t="shared" si="93"/>
        <v/>
      </c>
      <c r="BS242" s="48" t="str">
        <f t="shared" si="94"/>
        <v/>
      </c>
      <c r="BT242" s="47" t="str">
        <f t="shared" si="95"/>
        <v/>
      </c>
      <c r="CA242" s="47" t="str">
        <f t="shared" si="96"/>
        <v/>
      </c>
      <c r="CB242" s="47" t="str">
        <f t="shared" si="97"/>
        <v/>
      </c>
      <c r="CC242" s="47" t="str">
        <f t="shared" si="98"/>
        <v/>
      </c>
      <c r="CD242" s="47" t="str">
        <f t="shared" si="99"/>
        <v/>
      </c>
      <c r="CE242" s="47" t="str">
        <f>IF(AH242="","",IF(OR(AI242&lt;&gt;'Seasonal Tercile Tally'!$B$3,AM242&lt;&gt;'Seasonal Tercile Tally'!$B$4),"Other site/ season",IF(DT242=0,"Excluded: duplicate (later row)",IF(N242&lt;&gt;1,"Excluded: not sighted",IF(AC242&lt;&gt;1,"Excluded: not confirmed",IF(AD242&lt;&gt;1,"Excluded: not approved",IF(AP242="Contested","Excluded: contested",IF(OR(U242="",U242=0),"Excluded: no tercile",IF(CB242="","Counted (simple tally only — no weight)","Counted")))))))))</f>
        <v/>
      </c>
      <c r="CF242" s="49" t="str">
        <f>IF(AH242="","",IFERROR(INDEX('Prior Multipliers'!$C$6:$C$70,MATCH(LEFT(AH242,10),'Prior Multipliers'!$A$6:$A$70,0)),IFERROR(INDEX('Prior Multipliers'!$C$6:$C$70,MATCH(LEFT(AH242,6),'Prior Multipliers'!$A$6:$A$70,0)),IFERROR(INDEX('Prior Multipliers'!$C$6:$C$70,MATCH(LEFT(AH242,2),'Prior Multipliers'!$A$6:$A$70,0)),1))))</f>
        <v/>
      </c>
      <c r="CG242" s="49" t="str">
        <f>IF(CB242="","",IF(AND('Seasonal Tercile Tally'!$B$5=1,BT242="Rating-based"),CB242*CF242,CB242))</f>
        <v/>
      </c>
      <c r="CH242" s="47">
        <f t="shared" si="100"/>
        <v>0</v>
      </c>
      <c r="CI242" s="45"/>
      <c r="CJ242" s="42" t="str">
        <f t="shared" si="101"/>
        <v/>
      </c>
      <c r="CM242" s="42" t="str">
        <f t="shared" si="102"/>
        <v/>
      </c>
      <c r="CP242" s="46" t="str">
        <f t="shared" si="103"/>
        <v/>
      </c>
      <c r="CS242" s="46" t="str">
        <f t="shared" si="104"/>
        <v/>
      </c>
      <c r="CT242" s="42" t="str">
        <f t="shared" si="105"/>
        <v/>
      </c>
      <c r="CU242" s="42" t="str">
        <f t="shared" si="106"/>
        <v/>
      </c>
      <c r="CV242" s="42" t="str">
        <f t="shared" si="107"/>
        <v/>
      </c>
      <c r="DB242" s="45"/>
      <c r="DH242" s="42" t="str">
        <f t="shared" si="108"/>
        <v/>
      </c>
      <c r="DI242" s="43" t="str">
        <f t="shared" si="109"/>
        <v/>
      </c>
      <c r="DK242" s="46" t="str">
        <f t="shared" si="110"/>
        <v/>
      </c>
      <c r="DQ242" s="42" t="str">
        <f>IF(AH242="","",IFERROR(ROUND(100*('Weighting Options'!$D$7*IF(ISNUMBER(CA242),CA242/3,0)+'Weighting Options'!$D$8*MIN(N(BL242),3)/3+'Weighting Options'!$D$9*IF(AP242="Community/Plenary-endorsed",1,IF(AP242="FGD-validated only",0.75,IF(AP242="Sub-community-specific",0.5,IF(AP242="Provisional/emerging",0.25,0))))+'Weighting Options'!$D$10*IF(ISNUMBER(K242),K242/3,0)+'Weighting Options'!$D$11*IF(CC242="",0.5,IF(CC242="OK",1,0.25))+'Weighting Options'!$D$12*IF(DK242="",0.5,IF(DK242="Agrees",1,IF(DK242="Opposite",0,0.5)))+'Weighting Options'!$D$13*MIN(N(BG242),3)/3+'Weighting Options'!$D$14*IF(AE242=1,1,0))/SUM('Weighting Options'!$D$7:$D$14),0),""))</f>
        <v/>
      </c>
      <c r="DR242" s="44" t="str">
        <f>IF(AH242="","",IFERROR(INDEX('Weighting Options'!$D$20:$D$27,VALUE(LEFT(TRIM(BU242),1))),1))</f>
        <v/>
      </c>
      <c r="DS242" s="44" t="str">
        <f t="shared" si="111"/>
        <v/>
      </c>
      <c r="DT242" s="42" t="str">
        <f>IF(AH242="","",IF(COUNTIFS($AH$12:AH242,AH242,$AI$12:AI242,AI242,$AM$12:AM242,AM242)=1,1,0))</f>
        <v/>
      </c>
    </row>
    <row r="243" spans="16:124" ht="12.75" customHeight="1" x14ac:dyDescent="0.35">
      <c r="P243" s="41"/>
      <c r="Q243" s="41"/>
      <c r="R243" s="41"/>
      <c r="S243" s="41"/>
      <c r="AH243" s="40"/>
      <c r="AP243" s="40"/>
      <c r="AS243" s="41"/>
      <c r="AT243" s="41"/>
      <c r="AW243" t="str">
        <f t="shared" si="84"/>
        <v/>
      </c>
      <c r="AX243" t="str">
        <f t="shared" si="85"/>
        <v/>
      </c>
      <c r="AY243" t="str">
        <f t="shared" si="86"/>
        <v/>
      </c>
      <c r="AZ243" s="40"/>
      <c r="BL243" s="47" t="str">
        <f t="shared" si="87"/>
        <v/>
      </c>
      <c r="BM243" s="47" t="str">
        <f t="shared" si="88"/>
        <v/>
      </c>
      <c r="BN243" s="47" t="str">
        <f t="shared" si="89"/>
        <v/>
      </c>
      <c r="BO243" s="47" t="str">
        <f t="shared" si="90"/>
        <v/>
      </c>
      <c r="BP243" s="47" t="str">
        <f t="shared" si="91"/>
        <v/>
      </c>
      <c r="BQ243" s="48" t="str">
        <f t="shared" si="92"/>
        <v/>
      </c>
      <c r="BR243" s="48" t="str">
        <f t="shared" si="93"/>
        <v/>
      </c>
      <c r="BS243" s="48" t="str">
        <f t="shared" si="94"/>
        <v/>
      </c>
      <c r="BT243" s="47" t="str">
        <f t="shared" si="95"/>
        <v/>
      </c>
      <c r="CA243" s="47" t="str">
        <f t="shared" si="96"/>
        <v/>
      </c>
      <c r="CB243" s="47" t="str">
        <f t="shared" si="97"/>
        <v/>
      </c>
      <c r="CC243" s="47" t="str">
        <f t="shared" si="98"/>
        <v/>
      </c>
      <c r="CD243" s="47" t="str">
        <f t="shared" si="99"/>
        <v/>
      </c>
      <c r="CE243" s="47" t="str">
        <f>IF(AH243="","",IF(OR(AI243&lt;&gt;'Seasonal Tercile Tally'!$B$3,AM243&lt;&gt;'Seasonal Tercile Tally'!$B$4),"Other site/ season",IF(DT243=0,"Excluded: duplicate (later row)",IF(N243&lt;&gt;1,"Excluded: not sighted",IF(AC243&lt;&gt;1,"Excluded: not confirmed",IF(AD243&lt;&gt;1,"Excluded: not approved",IF(AP243="Contested","Excluded: contested",IF(OR(U243="",U243=0),"Excluded: no tercile",IF(CB243="","Counted (simple tally only — no weight)","Counted")))))))))</f>
        <v/>
      </c>
      <c r="CF243" s="49" t="str">
        <f>IF(AH243="","",IFERROR(INDEX('Prior Multipliers'!$C$6:$C$70,MATCH(LEFT(AH243,10),'Prior Multipliers'!$A$6:$A$70,0)),IFERROR(INDEX('Prior Multipliers'!$C$6:$C$70,MATCH(LEFT(AH243,6),'Prior Multipliers'!$A$6:$A$70,0)),IFERROR(INDEX('Prior Multipliers'!$C$6:$C$70,MATCH(LEFT(AH243,2),'Prior Multipliers'!$A$6:$A$70,0)),1))))</f>
        <v/>
      </c>
      <c r="CG243" s="49" t="str">
        <f>IF(CB243="","",IF(AND('Seasonal Tercile Tally'!$B$5=1,BT243="Rating-based"),CB243*CF243,CB243))</f>
        <v/>
      </c>
      <c r="CH243" s="47">
        <f t="shared" si="100"/>
        <v>0</v>
      </c>
      <c r="CI243" s="45"/>
      <c r="CJ243" s="42" t="str">
        <f t="shared" si="101"/>
        <v/>
      </c>
      <c r="CM243" s="42" t="str">
        <f t="shared" si="102"/>
        <v/>
      </c>
      <c r="CP243" s="46" t="str">
        <f t="shared" si="103"/>
        <v/>
      </c>
      <c r="CS243" s="46" t="str">
        <f t="shared" si="104"/>
        <v/>
      </c>
      <c r="CT243" s="42" t="str">
        <f t="shared" si="105"/>
        <v/>
      </c>
      <c r="CU243" s="42" t="str">
        <f t="shared" si="106"/>
        <v/>
      </c>
      <c r="CV243" s="42" t="str">
        <f t="shared" si="107"/>
        <v/>
      </c>
      <c r="DB243" s="45"/>
      <c r="DH243" s="42" t="str">
        <f t="shared" si="108"/>
        <v/>
      </c>
      <c r="DI243" s="43" t="str">
        <f t="shared" si="109"/>
        <v/>
      </c>
      <c r="DK243" s="46" t="str">
        <f t="shared" si="110"/>
        <v/>
      </c>
      <c r="DQ243" s="42" t="str">
        <f>IF(AH243="","",IFERROR(ROUND(100*('Weighting Options'!$D$7*IF(ISNUMBER(CA243),CA243/3,0)+'Weighting Options'!$D$8*MIN(N(BL243),3)/3+'Weighting Options'!$D$9*IF(AP243="Community/Plenary-endorsed",1,IF(AP243="FGD-validated only",0.75,IF(AP243="Sub-community-specific",0.5,IF(AP243="Provisional/emerging",0.25,0))))+'Weighting Options'!$D$10*IF(ISNUMBER(K243),K243/3,0)+'Weighting Options'!$D$11*IF(CC243="",0.5,IF(CC243="OK",1,0.25))+'Weighting Options'!$D$12*IF(DK243="",0.5,IF(DK243="Agrees",1,IF(DK243="Opposite",0,0.5)))+'Weighting Options'!$D$13*MIN(N(BG243),3)/3+'Weighting Options'!$D$14*IF(AE243=1,1,0))/SUM('Weighting Options'!$D$7:$D$14),0),""))</f>
        <v/>
      </c>
      <c r="DR243" s="44" t="str">
        <f>IF(AH243="","",IFERROR(INDEX('Weighting Options'!$D$20:$D$27,VALUE(LEFT(TRIM(BU243),1))),1))</f>
        <v/>
      </c>
      <c r="DS243" s="44" t="str">
        <f t="shared" si="111"/>
        <v/>
      </c>
      <c r="DT243" s="42" t="str">
        <f>IF(AH243="","",IF(COUNTIFS($AH$12:AH243,AH243,$AI$12:AI243,AI243,$AM$12:AM243,AM243)=1,1,0))</f>
        <v/>
      </c>
    </row>
    <row r="244" spans="16:124" ht="12.75" customHeight="1" x14ac:dyDescent="0.35">
      <c r="P244" s="41"/>
      <c r="Q244" s="41"/>
      <c r="R244" s="41"/>
      <c r="S244" s="41"/>
      <c r="AH244" s="40"/>
      <c r="AP244" s="40"/>
      <c r="AS244" s="41"/>
      <c r="AT244" s="41"/>
      <c r="AW244" t="str">
        <f t="shared" si="84"/>
        <v/>
      </c>
      <c r="AX244" t="str">
        <f t="shared" si="85"/>
        <v/>
      </c>
      <c r="AY244" t="str">
        <f t="shared" si="86"/>
        <v/>
      </c>
      <c r="AZ244" s="40"/>
      <c r="BL244" s="47" t="str">
        <f t="shared" si="87"/>
        <v/>
      </c>
      <c r="BM244" s="47" t="str">
        <f t="shared" si="88"/>
        <v/>
      </c>
      <c r="BN244" s="47" t="str">
        <f t="shared" si="89"/>
        <v/>
      </c>
      <c r="BO244" s="47" t="str">
        <f t="shared" si="90"/>
        <v/>
      </c>
      <c r="BP244" s="47" t="str">
        <f t="shared" si="91"/>
        <v/>
      </c>
      <c r="BQ244" s="48" t="str">
        <f t="shared" si="92"/>
        <v/>
      </c>
      <c r="BR244" s="48" t="str">
        <f t="shared" si="93"/>
        <v/>
      </c>
      <c r="BS244" s="48" t="str">
        <f t="shared" si="94"/>
        <v/>
      </c>
      <c r="BT244" s="47" t="str">
        <f t="shared" si="95"/>
        <v/>
      </c>
      <c r="CA244" s="47" t="str">
        <f t="shared" si="96"/>
        <v/>
      </c>
      <c r="CB244" s="47" t="str">
        <f t="shared" si="97"/>
        <v/>
      </c>
      <c r="CC244" s="47" t="str">
        <f t="shared" si="98"/>
        <v/>
      </c>
      <c r="CD244" s="47" t="str">
        <f t="shared" si="99"/>
        <v/>
      </c>
      <c r="CE244" s="47" t="str">
        <f>IF(AH244="","",IF(OR(AI244&lt;&gt;'Seasonal Tercile Tally'!$B$3,AM244&lt;&gt;'Seasonal Tercile Tally'!$B$4),"Other site/ season",IF(DT244=0,"Excluded: duplicate (later row)",IF(N244&lt;&gt;1,"Excluded: not sighted",IF(AC244&lt;&gt;1,"Excluded: not confirmed",IF(AD244&lt;&gt;1,"Excluded: not approved",IF(AP244="Contested","Excluded: contested",IF(OR(U244="",U244=0),"Excluded: no tercile",IF(CB244="","Counted (simple tally only — no weight)","Counted")))))))))</f>
        <v/>
      </c>
      <c r="CF244" s="49" t="str">
        <f>IF(AH244="","",IFERROR(INDEX('Prior Multipliers'!$C$6:$C$70,MATCH(LEFT(AH244,10),'Prior Multipliers'!$A$6:$A$70,0)),IFERROR(INDEX('Prior Multipliers'!$C$6:$C$70,MATCH(LEFT(AH244,6),'Prior Multipliers'!$A$6:$A$70,0)),IFERROR(INDEX('Prior Multipliers'!$C$6:$C$70,MATCH(LEFT(AH244,2),'Prior Multipliers'!$A$6:$A$70,0)),1))))</f>
        <v/>
      </c>
      <c r="CG244" s="49" t="str">
        <f>IF(CB244="","",IF(AND('Seasonal Tercile Tally'!$B$5=1,BT244="Rating-based"),CB244*CF244,CB244))</f>
        <v/>
      </c>
      <c r="CH244" s="47">
        <f t="shared" si="100"/>
        <v>0</v>
      </c>
      <c r="CI244" s="45"/>
      <c r="CJ244" s="42" t="str">
        <f t="shared" si="101"/>
        <v/>
      </c>
      <c r="CM244" s="42" t="str">
        <f t="shared" si="102"/>
        <v/>
      </c>
      <c r="CP244" s="46" t="str">
        <f t="shared" si="103"/>
        <v/>
      </c>
      <c r="CS244" s="46" t="str">
        <f t="shared" si="104"/>
        <v/>
      </c>
      <c r="CT244" s="42" t="str">
        <f t="shared" si="105"/>
        <v/>
      </c>
      <c r="CU244" s="42" t="str">
        <f t="shared" si="106"/>
        <v/>
      </c>
      <c r="CV244" s="42" t="str">
        <f t="shared" si="107"/>
        <v/>
      </c>
      <c r="DB244" s="45"/>
      <c r="DH244" s="42" t="str">
        <f t="shared" si="108"/>
        <v/>
      </c>
      <c r="DI244" s="43" t="str">
        <f t="shared" si="109"/>
        <v/>
      </c>
      <c r="DK244" s="46" t="str">
        <f t="shared" si="110"/>
        <v/>
      </c>
      <c r="DQ244" s="42" t="str">
        <f>IF(AH244="","",IFERROR(ROUND(100*('Weighting Options'!$D$7*IF(ISNUMBER(CA244),CA244/3,0)+'Weighting Options'!$D$8*MIN(N(BL244),3)/3+'Weighting Options'!$D$9*IF(AP244="Community/Plenary-endorsed",1,IF(AP244="FGD-validated only",0.75,IF(AP244="Sub-community-specific",0.5,IF(AP244="Provisional/emerging",0.25,0))))+'Weighting Options'!$D$10*IF(ISNUMBER(K244),K244/3,0)+'Weighting Options'!$D$11*IF(CC244="",0.5,IF(CC244="OK",1,0.25))+'Weighting Options'!$D$12*IF(DK244="",0.5,IF(DK244="Agrees",1,IF(DK244="Opposite",0,0.5)))+'Weighting Options'!$D$13*MIN(N(BG244),3)/3+'Weighting Options'!$D$14*IF(AE244=1,1,0))/SUM('Weighting Options'!$D$7:$D$14),0),""))</f>
        <v/>
      </c>
      <c r="DR244" s="44" t="str">
        <f>IF(AH244="","",IFERROR(INDEX('Weighting Options'!$D$20:$D$27,VALUE(LEFT(TRIM(BU244),1))),1))</f>
        <v/>
      </c>
      <c r="DS244" s="44" t="str">
        <f t="shared" si="111"/>
        <v/>
      </c>
      <c r="DT244" s="42" t="str">
        <f>IF(AH244="","",IF(COUNTIFS($AH$12:AH244,AH244,$AI$12:AI244,AI244,$AM$12:AM244,AM244)=1,1,0))</f>
        <v/>
      </c>
    </row>
    <row r="245" spans="16:124" ht="12.75" customHeight="1" x14ac:dyDescent="0.35">
      <c r="P245" s="41"/>
      <c r="Q245" s="41"/>
      <c r="R245" s="41"/>
      <c r="S245" s="41"/>
      <c r="AH245" s="40"/>
      <c r="AP245" s="40"/>
      <c r="AS245" s="41"/>
      <c r="AT245" s="41"/>
      <c r="AW245" t="str">
        <f t="shared" si="84"/>
        <v/>
      </c>
      <c r="AX245" t="str">
        <f t="shared" si="85"/>
        <v/>
      </c>
      <c r="AY245" t="str">
        <f t="shared" si="86"/>
        <v/>
      </c>
      <c r="AZ245" s="40"/>
      <c r="BL245" s="47" t="str">
        <f t="shared" si="87"/>
        <v/>
      </c>
      <c r="BM245" s="47" t="str">
        <f t="shared" si="88"/>
        <v/>
      </c>
      <c r="BN245" s="47" t="str">
        <f t="shared" si="89"/>
        <v/>
      </c>
      <c r="BO245" s="47" t="str">
        <f t="shared" si="90"/>
        <v/>
      </c>
      <c r="BP245" s="47" t="str">
        <f t="shared" si="91"/>
        <v/>
      </c>
      <c r="BQ245" s="48" t="str">
        <f t="shared" si="92"/>
        <v/>
      </c>
      <c r="BR245" s="48" t="str">
        <f t="shared" si="93"/>
        <v/>
      </c>
      <c r="BS245" s="48" t="str">
        <f t="shared" si="94"/>
        <v/>
      </c>
      <c r="BT245" s="47" t="str">
        <f t="shared" si="95"/>
        <v/>
      </c>
      <c r="CA245" s="47" t="str">
        <f t="shared" si="96"/>
        <v/>
      </c>
      <c r="CB245" s="47" t="str">
        <f t="shared" si="97"/>
        <v/>
      </c>
      <c r="CC245" s="47" t="str">
        <f t="shared" si="98"/>
        <v/>
      </c>
      <c r="CD245" s="47" t="str">
        <f t="shared" si="99"/>
        <v/>
      </c>
      <c r="CE245" s="47" t="str">
        <f>IF(AH245="","",IF(OR(AI245&lt;&gt;'Seasonal Tercile Tally'!$B$3,AM245&lt;&gt;'Seasonal Tercile Tally'!$B$4),"Other site/ season",IF(DT245=0,"Excluded: duplicate (later row)",IF(N245&lt;&gt;1,"Excluded: not sighted",IF(AC245&lt;&gt;1,"Excluded: not confirmed",IF(AD245&lt;&gt;1,"Excluded: not approved",IF(AP245="Contested","Excluded: contested",IF(OR(U245="",U245=0),"Excluded: no tercile",IF(CB245="","Counted (simple tally only — no weight)","Counted")))))))))</f>
        <v/>
      </c>
      <c r="CF245" s="49" t="str">
        <f>IF(AH245="","",IFERROR(INDEX('Prior Multipliers'!$C$6:$C$70,MATCH(LEFT(AH245,10),'Prior Multipliers'!$A$6:$A$70,0)),IFERROR(INDEX('Prior Multipliers'!$C$6:$C$70,MATCH(LEFT(AH245,6),'Prior Multipliers'!$A$6:$A$70,0)),IFERROR(INDEX('Prior Multipliers'!$C$6:$C$70,MATCH(LEFT(AH245,2),'Prior Multipliers'!$A$6:$A$70,0)),1))))</f>
        <v/>
      </c>
      <c r="CG245" s="49" t="str">
        <f>IF(CB245="","",IF(AND('Seasonal Tercile Tally'!$B$5=1,BT245="Rating-based"),CB245*CF245,CB245))</f>
        <v/>
      </c>
      <c r="CH245" s="47">
        <f t="shared" si="100"/>
        <v>0</v>
      </c>
      <c r="CI245" s="45"/>
      <c r="CJ245" s="42" t="str">
        <f t="shared" si="101"/>
        <v/>
      </c>
      <c r="CM245" s="42" t="str">
        <f t="shared" si="102"/>
        <v/>
      </c>
      <c r="CP245" s="46" t="str">
        <f t="shared" si="103"/>
        <v/>
      </c>
      <c r="CS245" s="46" t="str">
        <f t="shared" si="104"/>
        <v/>
      </c>
      <c r="CT245" s="42" t="str">
        <f t="shared" si="105"/>
        <v/>
      </c>
      <c r="CU245" s="42" t="str">
        <f t="shared" si="106"/>
        <v/>
      </c>
      <c r="CV245" s="42" t="str">
        <f t="shared" si="107"/>
        <v/>
      </c>
      <c r="DB245" s="45"/>
      <c r="DH245" s="42" t="str">
        <f t="shared" si="108"/>
        <v/>
      </c>
      <c r="DI245" s="43" t="str">
        <f t="shared" si="109"/>
        <v/>
      </c>
      <c r="DK245" s="46" t="str">
        <f t="shared" si="110"/>
        <v/>
      </c>
      <c r="DQ245" s="42" t="str">
        <f>IF(AH245="","",IFERROR(ROUND(100*('Weighting Options'!$D$7*IF(ISNUMBER(CA245),CA245/3,0)+'Weighting Options'!$D$8*MIN(N(BL245),3)/3+'Weighting Options'!$D$9*IF(AP245="Community/Plenary-endorsed",1,IF(AP245="FGD-validated only",0.75,IF(AP245="Sub-community-specific",0.5,IF(AP245="Provisional/emerging",0.25,0))))+'Weighting Options'!$D$10*IF(ISNUMBER(K245),K245/3,0)+'Weighting Options'!$D$11*IF(CC245="",0.5,IF(CC245="OK",1,0.25))+'Weighting Options'!$D$12*IF(DK245="",0.5,IF(DK245="Agrees",1,IF(DK245="Opposite",0,0.5)))+'Weighting Options'!$D$13*MIN(N(BG245),3)/3+'Weighting Options'!$D$14*IF(AE245=1,1,0))/SUM('Weighting Options'!$D$7:$D$14),0),""))</f>
        <v/>
      </c>
      <c r="DR245" s="44" t="str">
        <f>IF(AH245="","",IFERROR(INDEX('Weighting Options'!$D$20:$D$27,VALUE(LEFT(TRIM(BU245),1))),1))</f>
        <v/>
      </c>
      <c r="DS245" s="44" t="str">
        <f t="shared" si="111"/>
        <v/>
      </c>
      <c r="DT245" s="42" t="str">
        <f>IF(AH245="","",IF(COUNTIFS($AH$12:AH245,AH245,$AI$12:AI245,AI245,$AM$12:AM245,AM245)=1,1,0))</f>
        <v/>
      </c>
    </row>
    <row r="246" spans="16:124" ht="12.75" customHeight="1" x14ac:dyDescent="0.35">
      <c r="P246" s="41"/>
      <c r="Q246" s="41"/>
      <c r="R246" s="41"/>
      <c r="S246" s="41"/>
      <c r="AH246" s="40"/>
      <c r="AP246" s="40"/>
      <c r="AS246" s="41"/>
      <c r="AT246" s="41"/>
      <c r="AW246" t="str">
        <f t="shared" si="84"/>
        <v/>
      </c>
      <c r="AX246" t="str">
        <f t="shared" si="85"/>
        <v/>
      </c>
      <c r="AY246" t="str">
        <f t="shared" si="86"/>
        <v/>
      </c>
      <c r="AZ246" s="40"/>
      <c r="BL246" s="47" t="str">
        <f t="shared" si="87"/>
        <v/>
      </c>
      <c r="BM246" s="47" t="str">
        <f t="shared" si="88"/>
        <v/>
      </c>
      <c r="BN246" s="47" t="str">
        <f t="shared" si="89"/>
        <v/>
      </c>
      <c r="BO246" s="47" t="str">
        <f t="shared" si="90"/>
        <v/>
      </c>
      <c r="BP246" s="47" t="str">
        <f t="shared" si="91"/>
        <v/>
      </c>
      <c r="BQ246" s="48" t="str">
        <f t="shared" si="92"/>
        <v/>
      </c>
      <c r="BR246" s="48" t="str">
        <f t="shared" si="93"/>
        <v/>
      </c>
      <c r="BS246" s="48" t="str">
        <f t="shared" si="94"/>
        <v/>
      </c>
      <c r="BT246" s="47" t="str">
        <f t="shared" si="95"/>
        <v/>
      </c>
      <c r="CA246" s="47" t="str">
        <f t="shared" si="96"/>
        <v/>
      </c>
      <c r="CB246" s="47" t="str">
        <f t="shared" si="97"/>
        <v/>
      </c>
      <c r="CC246" s="47" t="str">
        <f t="shared" si="98"/>
        <v/>
      </c>
      <c r="CD246" s="47" t="str">
        <f t="shared" si="99"/>
        <v/>
      </c>
      <c r="CE246" s="47" t="str">
        <f>IF(AH246="","",IF(OR(AI246&lt;&gt;'Seasonal Tercile Tally'!$B$3,AM246&lt;&gt;'Seasonal Tercile Tally'!$B$4),"Other site/ season",IF(DT246=0,"Excluded: duplicate (later row)",IF(N246&lt;&gt;1,"Excluded: not sighted",IF(AC246&lt;&gt;1,"Excluded: not confirmed",IF(AD246&lt;&gt;1,"Excluded: not approved",IF(AP246="Contested","Excluded: contested",IF(OR(U246="",U246=0),"Excluded: no tercile",IF(CB246="","Counted (simple tally only — no weight)","Counted")))))))))</f>
        <v/>
      </c>
      <c r="CF246" s="49" t="str">
        <f>IF(AH246="","",IFERROR(INDEX('Prior Multipliers'!$C$6:$C$70,MATCH(LEFT(AH246,10),'Prior Multipliers'!$A$6:$A$70,0)),IFERROR(INDEX('Prior Multipliers'!$C$6:$C$70,MATCH(LEFT(AH246,6),'Prior Multipliers'!$A$6:$A$70,0)),IFERROR(INDEX('Prior Multipliers'!$C$6:$C$70,MATCH(LEFT(AH246,2),'Prior Multipliers'!$A$6:$A$70,0)),1))))</f>
        <v/>
      </c>
      <c r="CG246" s="49" t="str">
        <f>IF(CB246="","",IF(AND('Seasonal Tercile Tally'!$B$5=1,BT246="Rating-based"),CB246*CF246,CB246))</f>
        <v/>
      </c>
      <c r="CH246" s="47">
        <f t="shared" si="100"/>
        <v>0</v>
      </c>
      <c r="CI246" s="45"/>
      <c r="CJ246" s="42" t="str">
        <f t="shared" si="101"/>
        <v/>
      </c>
      <c r="CM246" s="42" t="str">
        <f t="shared" si="102"/>
        <v/>
      </c>
      <c r="CP246" s="46" t="str">
        <f t="shared" si="103"/>
        <v/>
      </c>
      <c r="CS246" s="46" t="str">
        <f t="shared" si="104"/>
        <v/>
      </c>
      <c r="CT246" s="42" t="str">
        <f t="shared" si="105"/>
        <v/>
      </c>
      <c r="CU246" s="42" t="str">
        <f t="shared" si="106"/>
        <v/>
      </c>
      <c r="CV246" s="42" t="str">
        <f t="shared" si="107"/>
        <v/>
      </c>
      <c r="DB246" s="45"/>
      <c r="DH246" s="42" t="str">
        <f t="shared" si="108"/>
        <v/>
      </c>
      <c r="DI246" s="43" t="str">
        <f t="shared" si="109"/>
        <v/>
      </c>
      <c r="DK246" s="46" t="str">
        <f t="shared" si="110"/>
        <v/>
      </c>
      <c r="DQ246" s="42" t="str">
        <f>IF(AH246="","",IFERROR(ROUND(100*('Weighting Options'!$D$7*IF(ISNUMBER(CA246),CA246/3,0)+'Weighting Options'!$D$8*MIN(N(BL246),3)/3+'Weighting Options'!$D$9*IF(AP246="Community/Plenary-endorsed",1,IF(AP246="FGD-validated only",0.75,IF(AP246="Sub-community-specific",0.5,IF(AP246="Provisional/emerging",0.25,0))))+'Weighting Options'!$D$10*IF(ISNUMBER(K246),K246/3,0)+'Weighting Options'!$D$11*IF(CC246="",0.5,IF(CC246="OK",1,0.25))+'Weighting Options'!$D$12*IF(DK246="",0.5,IF(DK246="Agrees",1,IF(DK246="Opposite",0,0.5)))+'Weighting Options'!$D$13*MIN(N(BG246),3)/3+'Weighting Options'!$D$14*IF(AE246=1,1,0))/SUM('Weighting Options'!$D$7:$D$14),0),""))</f>
        <v/>
      </c>
      <c r="DR246" s="44" t="str">
        <f>IF(AH246="","",IFERROR(INDEX('Weighting Options'!$D$20:$D$27,VALUE(LEFT(TRIM(BU246),1))),1))</f>
        <v/>
      </c>
      <c r="DS246" s="44" t="str">
        <f t="shared" si="111"/>
        <v/>
      </c>
      <c r="DT246" s="42" t="str">
        <f>IF(AH246="","",IF(COUNTIFS($AH$12:AH246,AH246,$AI$12:AI246,AI246,$AM$12:AM246,AM246)=1,1,0))</f>
        <v/>
      </c>
    </row>
    <row r="247" spans="16:124" ht="12.75" customHeight="1" x14ac:dyDescent="0.35">
      <c r="P247" s="41"/>
      <c r="Q247" s="41"/>
      <c r="R247" s="41"/>
      <c r="S247" s="41"/>
      <c r="AH247" s="40"/>
      <c r="AP247" s="40"/>
      <c r="AS247" s="41"/>
      <c r="AT247" s="41"/>
      <c r="AW247" t="str">
        <f t="shared" si="84"/>
        <v/>
      </c>
      <c r="AX247" t="str">
        <f t="shared" si="85"/>
        <v/>
      </c>
      <c r="AY247" t="str">
        <f t="shared" si="86"/>
        <v/>
      </c>
      <c r="AZ247" s="40"/>
      <c r="BL247" s="47" t="str">
        <f t="shared" si="87"/>
        <v/>
      </c>
      <c r="BM247" s="47" t="str">
        <f t="shared" si="88"/>
        <v/>
      </c>
      <c r="BN247" s="47" t="str">
        <f t="shared" si="89"/>
        <v/>
      </c>
      <c r="BO247" s="47" t="str">
        <f t="shared" si="90"/>
        <v/>
      </c>
      <c r="BP247" s="47" t="str">
        <f t="shared" si="91"/>
        <v/>
      </c>
      <c r="BQ247" s="48" t="str">
        <f t="shared" si="92"/>
        <v/>
      </c>
      <c r="BR247" s="48" t="str">
        <f t="shared" si="93"/>
        <v/>
      </c>
      <c r="BS247" s="48" t="str">
        <f t="shared" si="94"/>
        <v/>
      </c>
      <c r="BT247" s="47" t="str">
        <f t="shared" si="95"/>
        <v/>
      </c>
      <c r="CA247" s="47" t="str">
        <f t="shared" si="96"/>
        <v/>
      </c>
      <c r="CB247" s="47" t="str">
        <f t="shared" si="97"/>
        <v/>
      </c>
      <c r="CC247" s="47" t="str">
        <f t="shared" si="98"/>
        <v/>
      </c>
      <c r="CD247" s="47" t="str">
        <f t="shared" si="99"/>
        <v/>
      </c>
      <c r="CE247" s="47" t="str">
        <f>IF(AH247="","",IF(OR(AI247&lt;&gt;'Seasonal Tercile Tally'!$B$3,AM247&lt;&gt;'Seasonal Tercile Tally'!$B$4),"Other site/ season",IF(DT247=0,"Excluded: duplicate (later row)",IF(N247&lt;&gt;1,"Excluded: not sighted",IF(AC247&lt;&gt;1,"Excluded: not confirmed",IF(AD247&lt;&gt;1,"Excluded: not approved",IF(AP247="Contested","Excluded: contested",IF(OR(U247="",U247=0),"Excluded: no tercile",IF(CB247="","Counted (simple tally only — no weight)","Counted")))))))))</f>
        <v/>
      </c>
      <c r="CF247" s="49" t="str">
        <f>IF(AH247="","",IFERROR(INDEX('Prior Multipliers'!$C$6:$C$70,MATCH(LEFT(AH247,10),'Prior Multipliers'!$A$6:$A$70,0)),IFERROR(INDEX('Prior Multipliers'!$C$6:$C$70,MATCH(LEFT(AH247,6),'Prior Multipliers'!$A$6:$A$70,0)),IFERROR(INDEX('Prior Multipliers'!$C$6:$C$70,MATCH(LEFT(AH247,2),'Prior Multipliers'!$A$6:$A$70,0)),1))))</f>
        <v/>
      </c>
      <c r="CG247" s="49" t="str">
        <f>IF(CB247="","",IF(AND('Seasonal Tercile Tally'!$B$5=1,BT247="Rating-based"),CB247*CF247,CB247))</f>
        <v/>
      </c>
      <c r="CH247" s="47">
        <f t="shared" si="100"/>
        <v>0</v>
      </c>
      <c r="CI247" s="45"/>
      <c r="CJ247" s="42" t="str">
        <f t="shared" si="101"/>
        <v/>
      </c>
      <c r="CM247" s="42" t="str">
        <f t="shared" si="102"/>
        <v/>
      </c>
      <c r="CP247" s="46" t="str">
        <f t="shared" si="103"/>
        <v/>
      </c>
      <c r="CS247" s="46" t="str">
        <f t="shared" si="104"/>
        <v/>
      </c>
      <c r="CT247" s="42" t="str">
        <f t="shared" si="105"/>
        <v/>
      </c>
      <c r="CU247" s="42" t="str">
        <f t="shared" si="106"/>
        <v/>
      </c>
      <c r="CV247" s="42" t="str">
        <f t="shared" si="107"/>
        <v/>
      </c>
      <c r="DB247" s="45"/>
      <c r="DH247" s="42" t="str">
        <f t="shared" si="108"/>
        <v/>
      </c>
      <c r="DI247" s="43" t="str">
        <f t="shared" si="109"/>
        <v/>
      </c>
      <c r="DK247" s="46" t="str">
        <f t="shared" si="110"/>
        <v/>
      </c>
      <c r="DQ247" s="42" t="str">
        <f>IF(AH247="","",IFERROR(ROUND(100*('Weighting Options'!$D$7*IF(ISNUMBER(CA247),CA247/3,0)+'Weighting Options'!$D$8*MIN(N(BL247),3)/3+'Weighting Options'!$D$9*IF(AP247="Community/Plenary-endorsed",1,IF(AP247="FGD-validated only",0.75,IF(AP247="Sub-community-specific",0.5,IF(AP247="Provisional/emerging",0.25,0))))+'Weighting Options'!$D$10*IF(ISNUMBER(K247),K247/3,0)+'Weighting Options'!$D$11*IF(CC247="",0.5,IF(CC247="OK",1,0.25))+'Weighting Options'!$D$12*IF(DK247="",0.5,IF(DK247="Agrees",1,IF(DK247="Opposite",0,0.5)))+'Weighting Options'!$D$13*MIN(N(BG247),3)/3+'Weighting Options'!$D$14*IF(AE247=1,1,0))/SUM('Weighting Options'!$D$7:$D$14),0),""))</f>
        <v/>
      </c>
      <c r="DR247" s="44" t="str">
        <f>IF(AH247="","",IFERROR(INDEX('Weighting Options'!$D$20:$D$27,VALUE(LEFT(TRIM(BU247),1))),1))</f>
        <v/>
      </c>
      <c r="DS247" s="44" t="str">
        <f t="shared" si="111"/>
        <v/>
      </c>
      <c r="DT247" s="42" t="str">
        <f>IF(AH247="","",IF(COUNTIFS($AH$12:AH247,AH247,$AI$12:AI247,AI247,$AM$12:AM247,AM247)=1,1,0))</f>
        <v/>
      </c>
    </row>
    <row r="248" spans="16:124" ht="12.75" customHeight="1" x14ac:dyDescent="0.35">
      <c r="P248" s="41"/>
      <c r="Q248" s="41"/>
      <c r="R248" s="41"/>
      <c r="S248" s="41"/>
      <c r="AH248" s="40"/>
      <c r="AP248" s="40"/>
      <c r="AS248" s="41"/>
      <c r="AT248" s="41"/>
      <c r="AW248" t="str">
        <f t="shared" si="84"/>
        <v/>
      </c>
      <c r="AX248" t="str">
        <f t="shared" si="85"/>
        <v/>
      </c>
      <c r="AY248" t="str">
        <f t="shared" si="86"/>
        <v/>
      </c>
      <c r="AZ248" s="40"/>
      <c r="BL248" s="47" t="str">
        <f t="shared" si="87"/>
        <v/>
      </c>
      <c r="BM248" s="47" t="str">
        <f t="shared" si="88"/>
        <v/>
      </c>
      <c r="BN248" s="47" t="str">
        <f t="shared" si="89"/>
        <v/>
      </c>
      <c r="BO248" s="47" t="str">
        <f t="shared" si="90"/>
        <v/>
      </c>
      <c r="BP248" s="47" t="str">
        <f t="shared" si="91"/>
        <v/>
      </c>
      <c r="BQ248" s="48" t="str">
        <f t="shared" si="92"/>
        <v/>
      </c>
      <c r="BR248" s="48" t="str">
        <f t="shared" si="93"/>
        <v/>
      </c>
      <c r="BS248" s="48" t="str">
        <f t="shared" si="94"/>
        <v/>
      </c>
      <c r="BT248" s="47" t="str">
        <f t="shared" si="95"/>
        <v/>
      </c>
      <c r="CA248" s="47" t="str">
        <f t="shared" si="96"/>
        <v/>
      </c>
      <c r="CB248" s="47" t="str">
        <f t="shared" si="97"/>
        <v/>
      </c>
      <c r="CC248" s="47" t="str">
        <f t="shared" si="98"/>
        <v/>
      </c>
      <c r="CD248" s="47" t="str">
        <f t="shared" si="99"/>
        <v/>
      </c>
      <c r="CE248" s="47" t="str">
        <f>IF(AH248="","",IF(OR(AI248&lt;&gt;'Seasonal Tercile Tally'!$B$3,AM248&lt;&gt;'Seasonal Tercile Tally'!$B$4),"Other site/ season",IF(DT248=0,"Excluded: duplicate (later row)",IF(N248&lt;&gt;1,"Excluded: not sighted",IF(AC248&lt;&gt;1,"Excluded: not confirmed",IF(AD248&lt;&gt;1,"Excluded: not approved",IF(AP248="Contested","Excluded: contested",IF(OR(U248="",U248=0),"Excluded: no tercile",IF(CB248="","Counted (simple tally only — no weight)","Counted")))))))))</f>
        <v/>
      </c>
      <c r="CF248" s="49" t="str">
        <f>IF(AH248="","",IFERROR(INDEX('Prior Multipliers'!$C$6:$C$70,MATCH(LEFT(AH248,10),'Prior Multipliers'!$A$6:$A$70,0)),IFERROR(INDEX('Prior Multipliers'!$C$6:$C$70,MATCH(LEFT(AH248,6),'Prior Multipliers'!$A$6:$A$70,0)),IFERROR(INDEX('Prior Multipliers'!$C$6:$C$70,MATCH(LEFT(AH248,2),'Prior Multipliers'!$A$6:$A$70,0)),1))))</f>
        <v/>
      </c>
      <c r="CG248" s="49" t="str">
        <f>IF(CB248="","",IF(AND('Seasonal Tercile Tally'!$B$5=1,BT248="Rating-based"),CB248*CF248,CB248))</f>
        <v/>
      </c>
      <c r="CH248" s="47">
        <f t="shared" si="100"/>
        <v>0</v>
      </c>
      <c r="CI248" s="45"/>
      <c r="CJ248" s="42" t="str">
        <f t="shared" si="101"/>
        <v/>
      </c>
      <c r="CM248" s="42" t="str">
        <f t="shared" si="102"/>
        <v/>
      </c>
      <c r="CP248" s="46" t="str">
        <f t="shared" si="103"/>
        <v/>
      </c>
      <c r="CS248" s="46" t="str">
        <f t="shared" si="104"/>
        <v/>
      </c>
      <c r="CT248" s="42" t="str">
        <f t="shared" si="105"/>
        <v/>
      </c>
      <c r="CU248" s="42" t="str">
        <f t="shared" si="106"/>
        <v/>
      </c>
      <c r="CV248" s="42" t="str">
        <f t="shared" si="107"/>
        <v/>
      </c>
      <c r="DB248" s="45"/>
      <c r="DH248" s="42" t="str">
        <f t="shared" si="108"/>
        <v/>
      </c>
      <c r="DI248" s="43" t="str">
        <f t="shared" si="109"/>
        <v/>
      </c>
      <c r="DK248" s="46" t="str">
        <f t="shared" si="110"/>
        <v/>
      </c>
      <c r="DQ248" s="42" t="str">
        <f>IF(AH248="","",IFERROR(ROUND(100*('Weighting Options'!$D$7*IF(ISNUMBER(CA248),CA248/3,0)+'Weighting Options'!$D$8*MIN(N(BL248),3)/3+'Weighting Options'!$D$9*IF(AP248="Community/Plenary-endorsed",1,IF(AP248="FGD-validated only",0.75,IF(AP248="Sub-community-specific",0.5,IF(AP248="Provisional/emerging",0.25,0))))+'Weighting Options'!$D$10*IF(ISNUMBER(K248),K248/3,0)+'Weighting Options'!$D$11*IF(CC248="",0.5,IF(CC248="OK",1,0.25))+'Weighting Options'!$D$12*IF(DK248="",0.5,IF(DK248="Agrees",1,IF(DK248="Opposite",0,0.5)))+'Weighting Options'!$D$13*MIN(N(BG248),3)/3+'Weighting Options'!$D$14*IF(AE248=1,1,0))/SUM('Weighting Options'!$D$7:$D$14),0),""))</f>
        <v/>
      </c>
      <c r="DR248" s="44" t="str">
        <f>IF(AH248="","",IFERROR(INDEX('Weighting Options'!$D$20:$D$27,VALUE(LEFT(TRIM(BU248),1))),1))</f>
        <v/>
      </c>
      <c r="DS248" s="44" t="str">
        <f t="shared" si="111"/>
        <v/>
      </c>
      <c r="DT248" s="42" t="str">
        <f>IF(AH248="","",IF(COUNTIFS($AH$12:AH248,AH248,$AI$12:AI248,AI248,$AM$12:AM248,AM248)=1,1,0))</f>
        <v/>
      </c>
    </row>
    <row r="249" spans="16:124" ht="12.75" customHeight="1" x14ac:dyDescent="0.35">
      <c r="P249" s="41"/>
      <c r="Q249" s="41"/>
      <c r="R249" s="41"/>
      <c r="S249" s="41"/>
      <c r="AH249" s="40"/>
      <c r="AP249" s="40"/>
      <c r="AS249" s="41"/>
      <c r="AT249" s="41"/>
      <c r="AW249" t="str">
        <f t="shared" si="84"/>
        <v/>
      </c>
      <c r="AX249" t="str">
        <f t="shared" si="85"/>
        <v/>
      </c>
      <c r="AY249" t="str">
        <f t="shared" si="86"/>
        <v/>
      </c>
      <c r="AZ249" s="40"/>
      <c r="BL249" s="47" t="str">
        <f t="shared" si="87"/>
        <v/>
      </c>
      <c r="BM249" s="47" t="str">
        <f t="shared" si="88"/>
        <v/>
      </c>
      <c r="BN249" s="47" t="str">
        <f t="shared" si="89"/>
        <v/>
      </c>
      <c r="BO249" s="47" t="str">
        <f t="shared" si="90"/>
        <v/>
      </c>
      <c r="BP249" s="47" t="str">
        <f t="shared" si="91"/>
        <v/>
      </c>
      <c r="BQ249" s="48" t="str">
        <f t="shared" si="92"/>
        <v/>
      </c>
      <c r="BR249" s="48" t="str">
        <f t="shared" si="93"/>
        <v/>
      </c>
      <c r="BS249" s="48" t="str">
        <f t="shared" si="94"/>
        <v/>
      </c>
      <c r="BT249" s="47" t="str">
        <f t="shared" si="95"/>
        <v/>
      </c>
      <c r="CA249" s="47" t="str">
        <f t="shared" si="96"/>
        <v/>
      </c>
      <c r="CB249" s="47" t="str">
        <f t="shared" si="97"/>
        <v/>
      </c>
      <c r="CC249" s="47" t="str">
        <f t="shared" si="98"/>
        <v/>
      </c>
      <c r="CD249" s="47" t="str">
        <f t="shared" si="99"/>
        <v/>
      </c>
      <c r="CE249" s="47" t="str">
        <f>IF(AH249="","",IF(OR(AI249&lt;&gt;'Seasonal Tercile Tally'!$B$3,AM249&lt;&gt;'Seasonal Tercile Tally'!$B$4),"Other site/ season",IF(DT249=0,"Excluded: duplicate (later row)",IF(N249&lt;&gt;1,"Excluded: not sighted",IF(AC249&lt;&gt;1,"Excluded: not confirmed",IF(AD249&lt;&gt;1,"Excluded: not approved",IF(AP249="Contested","Excluded: contested",IF(OR(U249="",U249=0),"Excluded: no tercile",IF(CB249="","Counted (simple tally only — no weight)","Counted")))))))))</f>
        <v/>
      </c>
      <c r="CF249" s="49" t="str">
        <f>IF(AH249="","",IFERROR(INDEX('Prior Multipliers'!$C$6:$C$70,MATCH(LEFT(AH249,10),'Prior Multipliers'!$A$6:$A$70,0)),IFERROR(INDEX('Prior Multipliers'!$C$6:$C$70,MATCH(LEFT(AH249,6),'Prior Multipliers'!$A$6:$A$70,0)),IFERROR(INDEX('Prior Multipliers'!$C$6:$C$70,MATCH(LEFT(AH249,2),'Prior Multipliers'!$A$6:$A$70,0)),1))))</f>
        <v/>
      </c>
      <c r="CG249" s="49" t="str">
        <f>IF(CB249="","",IF(AND('Seasonal Tercile Tally'!$B$5=1,BT249="Rating-based"),CB249*CF249,CB249))</f>
        <v/>
      </c>
      <c r="CH249" s="47">
        <f t="shared" si="100"/>
        <v>0</v>
      </c>
      <c r="CI249" s="45"/>
      <c r="CJ249" s="42" t="str">
        <f t="shared" si="101"/>
        <v/>
      </c>
      <c r="CM249" s="42" t="str">
        <f t="shared" si="102"/>
        <v/>
      </c>
      <c r="CP249" s="46" t="str">
        <f t="shared" si="103"/>
        <v/>
      </c>
      <c r="CS249" s="46" t="str">
        <f t="shared" si="104"/>
        <v/>
      </c>
      <c r="CT249" s="42" t="str">
        <f t="shared" si="105"/>
        <v/>
      </c>
      <c r="CU249" s="42" t="str">
        <f t="shared" si="106"/>
        <v/>
      </c>
      <c r="CV249" s="42" t="str">
        <f t="shared" si="107"/>
        <v/>
      </c>
      <c r="DB249" s="45"/>
      <c r="DH249" s="42" t="str">
        <f t="shared" si="108"/>
        <v/>
      </c>
      <c r="DI249" s="43" t="str">
        <f t="shared" si="109"/>
        <v/>
      </c>
      <c r="DK249" s="46" t="str">
        <f t="shared" si="110"/>
        <v/>
      </c>
      <c r="DQ249" s="42" t="str">
        <f>IF(AH249="","",IFERROR(ROUND(100*('Weighting Options'!$D$7*IF(ISNUMBER(CA249),CA249/3,0)+'Weighting Options'!$D$8*MIN(N(BL249),3)/3+'Weighting Options'!$D$9*IF(AP249="Community/Plenary-endorsed",1,IF(AP249="FGD-validated only",0.75,IF(AP249="Sub-community-specific",0.5,IF(AP249="Provisional/emerging",0.25,0))))+'Weighting Options'!$D$10*IF(ISNUMBER(K249),K249/3,0)+'Weighting Options'!$D$11*IF(CC249="",0.5,IF(CC249="OK",1,0.25))+'Weighting Options'!$D$12*IF(DK249="",0.5,IF(DK249="Agrees",1,IF(DK249="Opposite",0,0.5)))+'Weighting Options'!$D$13*MIN(N(BG249),3)/3+'Weighting Options'!$D$14*IF(AE249=1,1,0))/SUM('Weighting Options'!$D$7:$D$14),0),""))</f>
        <v/>
      </c>
      <c r="DR249" s="44" t="str">
        <f>IF(AH249="","",IFERROR(INDEX('Weighting Options'!$D$20:$D$27,VALUE(LEFT(TRIM(BU249),1))),1))</f>
        <v/>
      </c>
      <c r="DS249" s="44" t="str">
        <f t="shared" si="111"/>
        <v/>
      </c>
      <c r="DT249" s="42" t="str">
        <f>IF(AH249="","",IF(COUNTIFS($AH$12:AH249,AH249,$AI$12:AI249,AI249,$AM$12:AM249,AM249)=1,1,0))</f>
        <v/>
      </c>
    </row>
    <row r="250" spans="16:124" ht="12.75" customHeight="1" x14ac:dyDescent="0.35">
      <c r="P250" s="41"/>
      <c r="Q250" s="41"/>
      <c r="R250" s="41"/>
      <c r="S250" s="41"/>
      <c r="AH250" s="40"/>
      <c r="AP250" s="40"/>
      <c r="AS250" s="41"/>
      <c r="AT250" s="41"/>
      <c r="AW250" t="str">
        <f t="shared" si="84"/>
        <v/>
      </c>
      <c r="AX250" t="str">
        <f t="shared" si="85"/>
        <v/>
      </c>
      <c r="AY250" t="str">
        <f t="shared" si="86"/>
        <v/>
      </c>
      <c r="AZ250" s="40"/>
      <c r="BL250" s="47" t="str">
        <f t="shared" si="87"/>
        <v/>
      </c>
      <c r="BM250" s="47" t="str">
        <f t="shared" si="88"/>
        <v/>
      </c>
      <c r="BN250" s="47" t="str">
        <f t="shared" si="89"/>
        <v/>
      </c>
      <c r="BO250" s="47" t="str">
        <f t="shared" si="90"/>
        <v/>
      </c>
      <c r="BP250" s="47" t="str">
        <f t="shared" si="91"/>
        <v/>
      </c>
      <c r="BQ250" s="48" t="str">
        <f t="shared" si="92"/>
        <v/>
      </c>
      <c r="BR250" s="48" t="str">
        <f t="shared" si="93"/>
        <v/>
      </c>
      <c r="BS250" s="48" t="str">
        <f t="shared" si="94"/>
        <v/>
      </c>
      <c r="BT250" s="47" t="str">
        <f t="shared" si="95"/>
        <v/>
      </c>
      <c r="CA250" s="47" t="str">
        <f t="shared" si="96"/>
        <v/>
      </c>
      <c r="CB250" s="47" t="str">
        <f t="shared" si="97"/>
        <v/>
      </c>
      <c r="CC250" s="47" t="str">
        <f t="shared" si="98"/>
        <v/>
      </c>
      <c r="CD250" s="47" t="str">
        <f t="shared" si="99"/>
        <v/>
      </c>
      <c r="CE250" s="47" t="str">
        <f>IF(AH250="","",IF(OR(AI250&lt;&gt;'Seasonal Tercile Tally'!$B$3,AM250&lt;&gt;'Seasonal Tercile Tally'!$B$4),"Other site/ season",IF(DT250=0,"Excluded: duplicate (later row)",IF(N250&lt;&gt;1,"Excluded: not sighted",IF(AC250&lt;&gt;1,"Excluded: not confirmed",IF(AD250&lt;&gt;1,"Excluded: not approved",IF(AP250="Contested","Excluded: contested",IF(OR(U250="",U250=0),"Excluded: no tercile",IF(CB250="","Counted (simple tally only — no weight)","Counted")))))))))</f>
        <v/>
      </c>
      <c r="CF250" s="49" t="str">
        <f>IF(AH250="","",IFERROR(INDEX('Prior Multipliers'!$C$6:$C$70,MATCH(LEFT(AH250,10),'Prior Multipliers'!$A$6:$A$70,0)),IFERROR(INDEX('Prior Multipliers'!$C$6:$C$70,MATCH(LEFT(AH250,6),'Prior Multipliers'!$A$6:$A$70,0)),IFERROR(INDEX('Prior Multipliers'!$C$6:$C$70,MATCH(LEFT(AH250,2),'Prior Multipliers'!$A$6:$A$70,0)),1))))</f>
        <v/>
      </c>
      <c r="CG250" s="49" t="str">
        <f>IF(CB250="","",IF(AND('Seasonal Tercile Tally'!$B$5=1,BT250="Rating-based"),CB250*CF250,CB250))</f>
        <v/>
      </c>
      <c r="CH250" s="47">
        <f t="shared" si="100"/>
        <v>0</v>
      </c>
      <c r="CI250" s="45"/>
      <c r="CJ250" s="42" t="str">
        <f t="shared" si="101"/>
        <v/>
      </c>
      <c r="CM250" s="42" t="str">
        <f t="shared" si="102"/>
        <v/>
      </c>
      <c r="CP250" s="46" t="str">
        <f t="shared" si="103"/>
        <v/>
      </c>
      <c r="CS250" s="46" t="str">
        <f t="shared" si="104"/>
        <v/>
      </c>
      <c r="CT250" s="42" t="str">
        <f t="shared" si="105"/>
        <v/>
      </c>
      <c r="CU250" s="42" t="str">
        <f t="shared" si="106"/>
        <v/>
      </c>
      <c r="CV250" s="42" t="str">
        <f t="shared" si="107"/>
        <v/>
      </c>
      <c r="DB250" s="45"/>
      <c r="DH250" s="42" t="str">
        <f t="shared" si="108"/>
        <v/>
      </c>
      <c r="DI250" s="43" t="str">
        <f t="shared" si="109"/>
        <v/>
      </c>
      <c r="DK250" s="46" t="str">
        <f t="shared" si="110"/>
        <v/>
      </c>
      <c r="DQ250" s="42" t="str">
        <f>IF(AH250="","",IFERROR(ROUND(100*('Weighting Options'!$D$7*IF(ISNUMBER(CA250),CA250/3,0)+'Weighting Options'!$D$8*MIN(N(BL250),3)/3+'Weighting Options'!$D$9*IF(AP250="Community/Plenary-endorsed",1,IF(AP250="FGD-validated only",0.75,IF(AP250="Sub-community-specific",0.5,IF(AP250="Provisional/emerging",0.25,0))))+'Weighting Options'!$D$10*IF(ISNUMBER(K250),K250/3,0)+'Weighting Options'!$D$11*IF(CC250="",0.5,IF(CC250="OK",1,0.25))+'Weighting Options'!$D$12*IF(DK250="",0.5,IF(DK250="Agrees",1,IF(DK250="Opposite",0,0.5)))+'Weighting Options'!$D$13*MIN(N(BG250),3)/3+'Weighting Options'!$D$14*IF(AE250=1,1,0))/SUM('Weighting Options'!$D$7:$D$14),0),""))</f>
        <v/>
      </c>
      <c r="DR250" s="44" t="str">
        <f>IF(AH250="","",IFERROR(INDEX('Weighting Options'!$D$20:$D$27,VALUE(LEFT(TRIM(BU250),1))),1))</f>
        <v/>
      </c>
      <c r="DS250" s="44" t="str">
        <f t="shared" si="111"/>
        <v/>
      </c>
      <c r="DT250" s="42" t="str">
        <f>IF(AH250="","",IF(COUNTIFS($AH$12:AH250,AH250,$AI$12:AI250,AI250,$AM$12:AM250,AM250)=1,1,0))</f>
        <v/>
      </c>
    </row>
    <row r="251" spans="16:124" ht="12.75" customHeight="1" x14ac:dyDescent="0.35">
      <c r="P251" s="41"/>
      <c r="Q251" s="41"/>
      <c r="R251" s="41"/>
      <c r="S251" s="41"/>
      <c r="AH251" s="40"/>
      <c r="AP251" s="40"/>
      <c r="AS251" s="41"/>
      <c r="AT251" s="41"/>
      <c r="AW251" t="str">
        <f t="shared" si="84"/>
        <v/>
      </c>
      <c r="AX251" t="str">
        <f t="shared" si="85"/>
        <v/>
      </c>
      <c r="AY251" t="str">
        <f t="shared" si="86"/>
        <v/>
      </c>
      <c r="AZ251" s="40"/>
      <c r="BL251" s="47" t="str">
        <f t="shared" si="87"/>
        <v/>
      </c>
      <c r="BM251" s="47" t="str">
        <f t="shared" si="88"/>
        <v/>
      </c>
      <c r="BN251" s="47" t="str">
        <f t="shared" si="89"/>
        <v/>
      </c>
      <c r="BO251" s="47" t="str">
        <f t="shared" si="90"/>
        <v/>
      </c>
      <c r="BP251" s="47" t="str">
        <f t="shared" si="91"/>
        <v/>
      </c>
      <c r="BQ251" s="48" t="str">
        <f t="shared" si="92"/>
        <v/>
      </c>
      <c r="BR251" s="48" t="str">
        <f t="shared" si="93"/>
        <v/>
      </c>
      <c r="BS251" s="48" t="str">
        <f t="shared" si="94"/>
        <v/>
      </c>
      <c r="BT251" s="47" t="str">
        <f t="shared" si="95"/>
        <v/>
      </c>
      <c r="CA251" s="47" t="str">
        <f t="shared" si="96"/>
        <v/>
      </c>
      <c r="CB251" s="47" t="str">
        <f t="shared" si="97"/>
        <v/>
      </c>
      <c r="CC251" s="47" t="str">
        <f t="shared" si="98"/>
        <v/>
      </c>
      <c r="CD251" s="47" t="str">
        <f t="shared" si="99"/>
        <v/>
      </c>
      <c r="CE251" s="47" t="str">
        <f>IF(AH251="","",IF(OR(AI251&lt;&gt;'Seasonal Tercile Tally'!$B$3,AM251&lt;&gt;'Seasonal Tercile Tally'!$B$4),"Other site/ season",IF(DT251=0,"Excluded: duplicate (later row)",IF(N251&lt;&gt;1,"Excluded: not sighted",IF(AC251&lt;&gt;1,"Excluded: not confirmed",IF(AD251&lt;&gt;1,"Excluded: not approved",IF(AP251="Contested","Excluded: contested",IF(OR(U251="",U251=0),"Excluded: no tercile",IF(CB251="","Counted (simple tally only — no weight)","Counted")))))))))</f>
        <v/>
      </c>
      <c r="CF251" s="49" t="str">
        <f>IF(AH251="","",IFERROR(INDEX('Prior Multipliers'!$C$6:$C$70,MATCH(LEFT(AH251,10),'Prior Multipliers'!$A$6:$A$70,0)),IFERROR(INDEX('Prior Multipliers'!$C$6:$C$70,MATCH(LEFT(AH251,6),'Prior Multipliers'!$A$6:$A$70,0)),IFERROR(INDEX('Prior Multipliers'!$C$6:$C$70,MATCH(LEFT(AH251,2),'Prior Multipliers'!$A$6:$A$70,0)),1))))</f>
        <v/>
      </c>
      <c r="CG251" s="49" t="str">
        <f>IF(CB251="","",IF(AND('Seasonal Tercile Tally'!$B$5=1,BT251="Rating-based"),CB251*CF251,CB251))</f>
        <v/>
      </c>
      <c r="CH251" s="47">
        <f t="shared" si="100"/>
        <v>0</v>
      </c>
      <c r="CI251" s="45"/>
      <c r="CJ251" s="42" t="str">
        <f t="shared" si="101"/>
        <v/>
      </c>
      <c r="CM251" s="42" t="str">
        <f t="shared" si="102"/>
        <v/>
      </c>
      <c r="CP251" s="46" t="str">
        <f t="shared" si="103"/>
        <v/>
      </c>
      <c r="CS251" s="46" t="str">
        <f t="shared" si="104"/>
        <v/>
      </c>
      <c r="CT251" s="42" t="str">
        <f t="shared" si="105"/>
        <v/>
      </c>
      <c r="CU251" s="42" t="str">
        <f t="shared" si="106"/>
        <v/>
      </c>
      <c r="CV251" s="42" t="str">
        <f t="shared" si="107"/>
        <v/>
      </c>
      <c r="DB251" s="45"/>
      <c r="DH251" s="42" t="str">
        <f t="shared" si="108"/>
        <v/>
      </c>
      <c r="DI251" s="43" t="str">
        <f t="shared" si="109"/>
        <v/>
      </c>
      <c r="DK251" s="46" t="str">
        <f t="shared" si="110"/>
        <v/>
      </c>
      <c r="DQ251" s="42" t="str">
        <f>IF(AH251="","",IFERROR(ROUND(100*('Weighting Options'!$D$7*IF(ISNUMBER(CA251),CA251/3,0)+'Weighting Options'!$D$8*MIN(N(BL251),3)/3+'Weighting Options'!$D$9*IF(AP251="Community/Plenary-endorsed",1,IF(AP251="FGD-validated only",0.75,IF(AP251="Sub-community-specific",0.5,IF(AP251="Provisional/emerging",0.25,0))))+'Weighting Options'!$D$10*IF(ISNUMBER(K251),K251/3,0)+'Weighting Options'!$D$11*IF(CC251="",0.5,IF(CC251="OK",1,0.25))+'Weighting Options'!$D$12*IF(DK251="",0.5,IF(DK251="Agrees",1,IF(DK251="Opposite",0,0.5)))+'Weighting Options'!$D$13*MIN(N(BG251),3)/3+'Weighting Options'!$D$14*IF(AE251=1,1,0))/SUM('Weighting Options'!$D$7:$D$14),0),""))</f>
        <v/>
      </c>
      <c r="DR251" s="44" t="str">
        <f>IF(AH251="","",IFERROR(INDEX('Weighting Options'!$D$20:$D$27,VALUE(LEFT(TRIM(BU251),1))),1))</f>
        <v/>
      </c>
      <c r="DS251" s="44" t="str">
        <f t="shared" si="111"/>
        <v/>
      </c>
      <c r="DT251" s="42" t="str">
        <f>IF(AH251="","",IF(COUNTIFS($AH$12:AH251,AH251,$AI$12:AI251,AI251,$AM$12:AM251,AM251)=1,1,0))</f>
        <v/>
      </c>
    </row>
    <row r="252" spans="16:124" ht="12.75" customHeight="1" x14ac:dyDescent="0.35">
      <c r="P252" s="41"/>
      <c r="Q252" s="41"/>
      <c r="R252" s="41"/>
      <c r="S252" s="41"/>
      <c r="AH252" s="40"/>
      <c r="AP252" s="40"/>
      <c r="AS252" s="41"/>
      <c r="AT252" s="41"/>
      <c r="AW252" t="str">
        <f t="shared" si="84"/>
        <v/>
      </c>
      <c r="AX252" t="str">
        <f t="shared" si="85"/>
        <v/>
      </c>
      <c r="AY252" t="str">
        <f t="shared" si="86"/>
        <v/>
      </c>
      <c r="AZ252" s="40"/>
      <c r="BL252" s="47" t="str">
        <f t="shared" si="87"/>
        <v/>
      </c>
      <c r="BM252" s="47" t="str">
        <f t="shared" si="88"/>
        <v/>
      </c>
      <c r="BN252" s="47" t="str">
        <f t="shared" si="89"/>
        <v/>
      </c>
      <c r="BO252" s="47" t="str">
        <f t="shared" si="90"/>
        <v/>
      </c>
      <c r="BP252" s="47" t="str">
        <f t="shared" si="91"/>
        <v/>
      </c>
      <c r="BQ252" s="48" t="str">
        <f t="shared" si="92"/>
        <v/>
      </c>
      <c r="BR252" s="48" t="str">
        <f t="shared" si="93"/>
        <v/>
      </c>
      <c r="BS252" s="48" t="str">
        <f t="shared" si="94"/>
        <v/>
      </c>
      <c r="BT252" s="47" t="str">
        <f t="shared" si="95"/>
        <v/>
      </c>
      <c r="CA252" s="47" t="str">
        <f t="shared" si="96"/>
        <v/>
      </c>
      <c r="CB252" s="47" t="str">
        <f t="shared" si="97"/>
        <v/>
      </c>
      <c r="CC252" s="47" t="str">
        <f t="shared" si="98"/>
        <v/>
      </c>
      <c r="CD252" s="47" t="str">
        <f t="shared" si="99"/>
        <v/>
      </c>
      <c r="CE252" s="47" t="str">
        <f>IF(AH252="","",IF(OR(AI252&lt;&gt;'Seasonal Tercile Tally'!$B$3,AM252&lt;&gt;'Seasonal Tercile Tally'!$B$4),"Other site/ season",IF(DT252=0,"Excluded: duplicate (later row)",IF(N252&lt;&gt;1,"Excluded: not sighted",IF(AC252&lt;&gt;1,"Excluded: not confirmed",IF(AD252&lt;&gt;1,"Excluded: not approved",IF(AP252="Contested","Excluded: contested",IF(OR(U252="",U252=0),"Excluded: no tercile",IF(CB252="","Counted (simple tally only — no weight)","Counted")))))))))</f>
        <v/>
      </c>
      <c r="CF252" s="49" t="str">
        <f>IF(AH252="","",IFERROR(INDEX('Prior Multipliers'!$C$6:$C$70,MATCH(LEFT(AH252,10),'Prior Multipliers'!$A$6:$A$70,0)),IFERROR(INDEX('Prior Multipliers'!$C$6:$C$70,MATCH(LEFT(AH252,6),'Prior Multipliers'!$A$6:$A$70,0)),IFERROR(INDEX('Prior Multipliers'!$C$6:$C$70,MATCH(LEFT(AH252,2),'Prior Multipliers'!$A$6:$A$70,0)),1))))</f>
        <v/>
      </c>
      <c r="CG252" s="49" t="str">
        <f>IF(CB252="","",IF(AND('Seasonal Tercile Tally'!$B$5=1,BT252="Rating-based"),CB252*CF252,CB252))</f>
        <v/>
      </c>
      <c r="CH252" s="47">
        <f t="shared" si="100"/>
        <v>0</v>
      </c>
      <c r="CI252" s="45"/>
      <c r="CJ252" s="42" t="str">
        <f t="shared" si="101"/>
        <v/>
      </c>
      <c r="CM252" s="42" t="str">
        <f t="shared" si="102"/>
        <v/>
      </c>
      <c r="CP252" s="46" t="str">
        <f t="shared" si="103"/>
        <v/>
      </c>
      <c r="CS252" s="46" t="str">
        <f t="shared" si="104"/>
        <v/>
      </c>
      <c r="CT252" s="42" t="str">
        <f t="shared" si="105"/>
        <v/>
      </c>
      <c r="CU252" s="42" t="str">
        <f t="shared" si="106"/>
        <v/>
      </c>
      <c r="CV252" s="42" t="str">
        <f t="shared" si="107"/>
        <v/>
      </c>
      <c r="DB252" s="45"/>
      <c r="DH252" s="42" t="str">
        <f t="shared" si="108"/>
        <v/>
      </c>
      <c r="DI252" s="43" t="str">
        <f t="shared" si="109"/>
        <v/>
      </c>
      <c r="DK252" s="46" t="str">
        <f t="shared" si="110"/>
        <v/>
      </c>
      <c r="DQ252" s="42" t="str">
        <f>IF(AH252="","",IFERROR(ROUND(100*('Weighting Options'!$D$7*IF(ISNUMBER(CA252),CA252/3,0)+'Weighting Options'!$D$8*MIN(N(BL252),3)/3+'Weighting Options'!$D$9*IF(AP252="Community/Plenary-endorsed",1,IF(AP252="FGD-validated only",0.75,IF(AP252="Sub-community-specific",0.5,IF(AP252="Provisional/emerging",0.25,0))))+'Weighting Options'!$D$10*IF(ISNUMBER(K252),K252/3,0)+'Weighting Options'!$D$11*IF(CC252="",0.5,IF(CC252="OK",1,0.25))+'Weighting Options'!$D$12*IF(DK252="",0.5,IF(DK252="Agrees",1,IF(DK252="Opposite",0,0.5)))+'Weighting Options'!$D$13*MIN(N(BG252),3)/3+'Weighting Options'!$D$14*IF(AE252=1,1,0))/SUM('Weighting Options'!$D$7:$D$14),0),""))</f>
        <v/>
      </c>
      <c r="DR252" s="44" t="str">
        <f>IF(AH252="","",IFERROR(INDEX('Weighting Options'!$D$20:$D$27,VALUE(LEFT(TRIM(BU252),1))),1))</f>
        <v/>
      </c>
      <c r="DS252" s="44" t="str">
        <f t="shared" si="111"/>
        <v/>
      </c>
      <c r="DT252" s="42" t="str">
        <f>IF(AH252="","",IF(COUNTIFS($AH$12:AH252,AH252,$AI$12:AI252,AI252,$AM$12:AM252,AM252)=1,1,0))</f>
        <v/>
      </c>
    </row>
    <row r="253" spans="16:124" ht="12.75" customHeight="1" x14ac:dyDescent="0.35">
      <c r="P253" s="41"/>
      <c r="Q253" s="41"/>
      <c r="R253" s="41"/>
      <c r="S253" s="41"/>
      <c r="AH253" s="40"/>
      <c r="AP253" s="40"/>
      <c r="AS253" s="41"/>
      <c r="AT253" s="41"/>
      <c r="AW253" t="str">
        <f t="shared" si="84"/>
        <v/>
      </c>
      <c r="AX253" t="str">
        <f t="shared" si="85"/>
        <v/>
      </c>
      <c r="AY253" t="str">
        <f t="shared" si="86"/>
        <v/>
      </c>
      <c r="AZ253" s="40"/>
      <c r="BL253" s="47" t="str">
        <f t="shared" si="87"/>
        <v/>
      </c>
      <c r="BM253" s="47" t="str">
        <f t="shared" si="88"/>
        <v/>
      </c>
      <c r="BN253" s="47" t="str">
        <f t="shared" si="89"/>
        <v/>
      </c>
      <c r="BO253" s="47" t="str">
        <f t="shared" si="90"/>
        <v/>
      </c>
      <c r="BP253" s="47" t="str">
        <f t="shared" si="91"/>
        <v/>
      </c>
      <c r="BQ253" s="48" t="str">
        <f t="shared" si="92"/>
        <v/>
      </c>
      <c r="BR253" s="48" t="str">
        <f t="shared" si="93"/>
        <v/>
      </c>
      <c r="BS253" s="48" t="str">
        <f t="shared" si="94"/>
        <v/>
      </c>
      <c r="BT253" s="47" t="str">
        <f t="shared" si="95"/>
        <v/>
      </c>
      <c r="CA253" s="47" t="str">
        <f t="shared" si="96"/>
        <v/>
      </c>
      <c r="CB253" s="47" t="str">
        <f t="shared" si="97"/>
        <v/>
      </c>
      <c r="CC253" s="47" t="str">
        <f t="shared" si="98"/>
        <v/>
      </c>
      <c r="CD253" s="47" t="str">
        <f t="shared" si="99"/>
        <v/>
      </c>
      <c r="CE253" s="47" t="str">
        <f>IF(AH253="","",IF(OR(AI253&lt;&gt;'Seasonal Tercile Tally'!$B$3,AM253&lt;&gt;'Seasonal Tercile Tally'!$B$4),"Other site/ season",IF(DT253=0,"Excluded: duplicate (later row)",IF(N253&lt;&gt;1,"Excluded: not sighted",IF(AC253&lt;&gt;1,"Excluded: not confirmed",IF(AD253&lt;&gt;1,"Excluded: not approved",IF(AP253="Contested","Excluded: contested",IF(OR(U253="",U253=0),"Excluded: no tercile",IF(CB253="","Counted (simple tally only — no weight)","Counted")))))))))</f>
        <v/>
      </c>
      <c r="CF253" s="49" t="str">
        <f>IF(AH253="","",IFERROR(INDEX('Prior Multipliers'!$C$6:$C$70,MATCH(LEFT(AH253,10),'Prior Multipliers'!$A$6:$A$70,0)),IFERROR(INDEX('Prior Multipliers'!$C$6:$C$70,MATCH(LEFT(AH253,6),'Prior Multipliers'!$A$6:$A$70,0)),IFERROR(INDEX('Prior Multipliers'!$C$6:$C$70,MATCH(LEFT(AH253,2),'Prior Multipliers'!$A$6:$A$70,0)),1))))</f>
        <v/>
      </c>
      <c r="CG253" s="49" t="str">
        <f>IF(CB253="","",IF(AND('Seasonal Tercile Tally'!$B$5=1,BT253="Rating-based"),CB253*CF253,CB253))</f>
        <v/>
      </c>
      <c r="CH253" s="47">
        <f t="shared" si="100"/>
        <v>0</v>
      </c>
      <c r="CI253" s="45"/>
      <c r="CJ253" s="42" t="str">
        <f t="shared" si="101"/>
        <v/>
      </c>
      <c r="CM253" s="42" t="str">
        <f t="shared" si="102"/>
        <v/>
      </c>
      <c r="CP253" s="46" t="str">
        <f t="shared" si="103"/>
        <v/>
      </c>
      <c r="CS253" s="46" t="str">
        <f t="shared" si="104"/>
        <v/>
      </c>
      <c r="CT253" s="42" t="str">
        <f t="shared" si="105"/>
        <v/>
      </c>
      <c r="CU253" s="42" t="str">
        <f t="shared" si="106"/>
        <v/>
      </c>
      <c r="CV253" s="42" t="str">
        <f t="shared" si="107"/>
        <v/>
      </c>
      <c r="DB253" s="45"/>
      <c r="DH253" s="42" t="str">
        <f t="shared" si="108"/>
        <v/>
      </c>
      <c r="DI253" s="43" t="str">
        <f t="shared" si="109"/>
        <v/>
      </c>
      <c r="DK253" s="46" t="str">
        <f t="shared" si="110"/>
        <v/>
      </c>
      <c r="DQ253" s="42" t="str">
        <f>IF(AH253="","",IFERROR(ROUND(100*('Weighting Options'!$D$7*IF(ISNUMBER(CA253),CA253/3,0)+'Weighting Options'!$D$8*MIN(N(BL253),3)/3+'Weighting Options'!$D$9*IF(AP253="Community/Plenary-endorsed",1,IF(AP253="FGD-validated only",0.75,IF(AP253="Sub-community-specific",0.5,IF(AP253="Provisional/emerging",0.25,0))))+'Weighting Options'!$D$10*IF(ISNUMBER(K253),K253/3,0)+'Weighting Options'!$D$11*IF(CC253="",0.5,IF(CC253="OK",1,0.25))+'Weighting Options'!$D$12*IF(DK253="",0.5,IF(DK253="Agrees",1,IF(DK253="Opposite",0,0.5)))+'Weighting Options'!$D$13*MIN(N(BG253),3)/3+'Weighting Options'!$D$14*IF(AE253=1,1,0))/SUM('Weighting Options'!$D$7:$D$14),0),""))</f>
        <v/>
      </c>
      <c r="DR253" s="44" t="str">
        <f>IF(AH253="","",IFERROR(INDEX('Weighting Options'!$D$20:$D$27,VALUE(LEFT(TRIM(BU253),1))),1))</f>
        <v/>
      </c>
      <c r="DS253" s="44" t="str">
        <f t="shared" si="111"/>
        <v/>
      </c>
      <c r="DT253" s="42" t="str">
        <f>IF(AH253="","",IF(COUNTIFS($AH$12:AH253,AH253,$AI$12:AI253,AI253,$AM$12:AM253,AM253)=1,1,0))</f>
        <v/>
      </c>
    </row>
    <row r="254" spans="16:124" ht="12.75" customHeight="1" x14ac:dyDescent="0.35">
      <c r="P254" s="41"/>
      <c r="Q254" s="41"/>
      <c r="R254" s="41"/>
      <c r="S254" s="41"/>
      <c r="AH254" s="40"/>
      <c r="AP254" s="40"/>
      <c r="AS254" s="41"/>
      <c r="AT254" s="41"/>
      <c r="AW254" t="str">
        <f t="shared" si="84"/>
        <v/>
      </c>
      <c r="AX254" t="str">
        <f t="shared" si="85"/>
        <v/>
      </c>
      <c r="AY254" t="str">
        <f t="shared" si="86"/>
        <v/>
      </c>
      <c r="AZ254" s="40"/>
      <c r="BL254" s="47" t="str">
        <f t="shared" si="87"/>
        <v/>
      </c>
      <c r="BM254" s="47" t="str">
        <f t="shared" si="88"/>
        <v/>
      </c>
      <c r="BN254" s="47" t="str">
        <f t="shared" si="89"/>
        <v/>
      </c>
      <c r="BO254" s="47" t="str">
        <f t="shared" si="90"/>
        <v/>
      </c>
      <c r="BP254" s="47" t="str">
        <f t="shared" si="91"/>
        <v/>
      </c>
      <c r="BQ254" s="48" t="str">
        <f t="shared" si="92"/>
        <v/>
      </c>
      <c r="BR254" s="48" t="str">
        <f t="shared" si="93"/>
        <v/>
      </c>
      <c r="BS254" s="48" t="str">
        <f t="shared" si="94"/>
        <v/>
      </c>
      <c r="BT254" s="47" t="str">
        <f t="shared" si="95"/>
        <v/>
      </c>
      <c r="CA254" s="47" t="str">
        <f t="shared" si="96"/>
        <v/>
      </c>
      <c r="CB254" s="47" t="str">
        <f t="shared" si="97"/>
        <v/>
      </c>
      <c r="CC254" s="47" t="str">
        <f t="shared" si="98"/>
        <v/>
      </c>
      <c r="CD254" s="47" t="str">
        <f t="shared" si="99"/>
        <v/>
      </c>
      <c r="CE254" s="47" t="str">
        <f>IF(AH254="","",IF(OR(AI254&lt;&gt;'Seasonal Tercile Tally'!$B$3,AM254&lt;&gt;'Seasonal Tercile Tally'!$B$4),"Other site/ season",IF(DT254=0,"Excluded: duplicate (later row)",IF(N254&lt;&gt;1,"Excluded: not sighted",IF(AC254&lt;&gt;1,"Excluded: not confirmed",IF(AD254&lt;&gt;1,"Excluded: not approved",IF(AP254="Contested","Excluded: contested",IF(OR(U254="",U254=0),"Excluded: no tercile",IF(CB254="","Counted (simple tally only — no weight)","Counted")))))))))</f>
        <v/>
      </c>
      <c r="CF254" s="49" t="str">
        <f>IF(AH254="","",IFERROR(INDEX('Prior Multipliers'!$C$6:$C$70,MATCH(LEFT(AH254,10),'Prior Multipliers'!$A$6:$A$70,0)),IFERROR(INDEX('Prior Multipliers'!$C$6:$C$70,MATCH(LEFT(AH254,6),'Prior Multipliers'!$A$6:$A$70,0)),IFERROR(INDEX('Prior Multipliers'!$C$6:$C$70,MATCH(LEFT(AH254,2),'Prior Multipliers'!$A$6:$A$70,0)),1))))</f>
        <v/>
      </c>
      <c r="CG254" s="49" t="str">
        <f>IF(CB254="","",IF(AND('Seasonal Tercile Tally'!$B$5=1,BT254="Rating-based"),CB254*CF254,CB254))</f>
        <v/>
      </c>
      <c r="CH254" s="47">
        <f t="shared" si="100"/>
        <v>0</v>
      </c>
      <c r="CI254" s="45"/>
      <c r="CJ254" s="42" t="str">
        <f t="shared" si="101"/>
        <v/>
      </c>
      <c r="CM254" s="42" t="str">
        <f t="shared" si="102"/>
        <v/>
      </c>
      <c r="CP254" s="46" t="str">
        <f t="shared" si="103"/>
        <v/>
      </c>
      <c r="CS254" s="46" t="str">
        <f t="shared" si="104"/>
        <v/>
      </c>
      <c r="CT254" s="42" t="str">
        <f t="shared" si="105"/>
        <v/>
      </c>
      <c r="CU254" s="42" t="str">
        <f t="shared" si="106"/>
        <v/>
      </c>
      <c r="CV254" s="42" t="str">
        <f t="shared" si="107"/>
        <v/>
      </c>
      <c r="DB254" s="45"/>
      <c r="DH254" s="42" t="str">
        <f t="shared" si="108"/>
        <v/>
      </c>
      <c r="DI254" s="43" t="str">
        <f t="shared" si="109"/>
        <v/>
      </c>
      <c r="DK254" s="46" t="str">
        <f t="shared" si="110"/>
        <v/>
      </c>
      <c r="DQ254" s="42" t="str">
        <f>IF(AH254="","",IFERROR(ROUND(100*('Weighting Options'!$D$7*IF(ISNUMBER(CA254),CA254/3,0)+'Weighting Options'!$D$8*MIN(N(BL254),3)/3+'Weighting Options'!$D$9*IF(AP254="Community/Plenary-endorsed",1,IF(AP254="FGD-validated only",0.75,IF(AP254="Sub-community-specific",0.5,IF(AP254="Provisional/emerging",0.25,0))))+'Weighting Options'!$D$10*IF(ISNUMBER(K254),K254/3,0)+'Weighting Options'!$D$11*IF(CC254="",0.5,IF(CC254="OK",1,0.25))+'Weighting Options'!$D$12*IF(DK254="",0.5,IF(DK254="Agrees",1,IF(DK254="Opposite",0,0.5)))+'Weighting Options'!$D$13*MIN(N(BG254),3)/3+'Weighting Options'!$D$14*IF(AE254=1,1,0))/SUM('Weighting Options'!$D$7:$D$14),0),""))</f>
        <v/>
      </c>
      <c r="DR254" s="44" t="str">
        <f>IF(AH254="","",IFERROR(INDEX('Weighting Options'!$D$20:$D$27,VALUE(LEFT(TRIM(BU254),1))),1))</f>
        <v/>
      </c>
      <c r="DS254" s="44" t="str">
        <f t="shared" si="111"/>
        <v/>
      </c>
      <c r="DT254" s="42" t="str">
        <f>IF(AH254="","",IF(COUNTIFS($AH$12:AH254,AH254,$AI$12:AI254,AI254,$AM$12:AM254,AM254)=1,1,0))</f>
        <v/>
      </c>
    </row>
    <row r="255" spans="16:124" ht="12.75" customHeight="1" x14ac:dyDescent="0.35">
      <c r="P255" s="41"/>
      <c r="Q255" s="41"/>
      <c r="R255" s="41"/>
      <c r="S255" s="41"/>
      <c r="AH255" s="40"/>
      <c r="AP255" s="40"/>
      <c r="AS255" s="41"/>
      <c r="AT255" s="41"/>
      <c r="AW255" t="str">
        <f t="shared" si="84"/>
        <v/>
      </c>
      <c r="AX255" t="str">
        <f t="shared" si="85"/>
        <v/>
      </c>
      <c r="AY255" t="str">
        <f t="shared" si="86"/>
        <v/>
      </c>
      <c r="AZ255" s="40"/>
      <c r="BL255" s="47" t="str">
        <f t="shared" si="87"/>
        <v/>
      </c>
      <c r="BM255" s="47" t="str">
        <f t="shared" si="88"/>
        <v/>
      </c>
      <c r="BN255" s="47" t="str">
        <f t="shared" si="89"/>
        <v/>
      </c>
      <c r="BO255" s="47" t="str">
        <f t="shared" si="90"/>
        <v/>
      </c>
      <c r="BP255" s="47" t="str">
        <f t="shared" si="91"/>
        <v/>
      </c>
      <c r="BQ255" s="48" t="str">
        <f t="shared" si="92"/>
        <v/>
      </c>
      <c r="BR255" s="48" t="str">
        <f t="shared" si="93"/>
        <v/>
      </c>
      <c r="BS255" s="48" t="str">
        <f t="shared" si="94"/>
        <v/>
      </c>
      <c r="BT255" s="47" t="str">
        <f t="shared" si="95"/>
        <v/>
      </c>
      <c r="CA255" s="47" t="str">
        <f t="shared" si="96"/>
        <v/>
      </c>
      <c r="CB255" s="47" t="str">
        <f t="shared" si="97"/>
        <v/>
      </c>
      <c r="CC255" s="47" t="str">
        <f t="shared" si="98"/>
        <v/>
      </c>
      <c r="CD255" s="47" t="str">
        <f t="shared" si="99"/>
        <v/>
      </c>
      <c r="CE255" s="47" t="str">
        <f>IF(AH255="","",IF(OR(AI255&lt;&gt;'Seasonal Tercile Tally'!$B$3,AM255&lt;&gt;'Seasonal Tercile Tally'!$B$4),"Other site/ season",IF(DT255=0,"Excluded: duplicate (later row)",IF(N255&lt;&gt;1,"Excluded: not sighted",IF(AC255&lt;&gt;1,"Excluded: not confirmed",IF(AD255&lt;&gt;1,"Excluded: not approved",IF(AP255="Contested","Excluded: contested",IF(OR(U255="",U255=0),"Excluded: no tercile",IF(CB255="","Counted (simple tally only — no weight)","Counted")))))))))</f>
        <v/>
      </c>
      <c r="CF255" s="49" t="str">
        <f>IF(AH255="","",IFERROR(INDEX('Prior Multipliers'!$C$6:$C$70,MATCH(LEFT(AH255,10),'Prior Multipliers'!$A$6:$A$70,0)),IFERROR(INDEX('Prior Multipliers'!$C$6:$C$70,MATCH(LEFT(AH255,6),'Prior Multipliers'!$A$6:$A$70,0)),IFERROR(INDEX('Prior Multipliers'!$C$6:$C$70,MATCH(LEFT(AH255,2),'Prior Multipliers'!$A$6:$A$70,0)),1))))</f>
        <v/>
      </c>
      <c r="CG255" s="49" t="str">
        <f>IF(CB255="","",IF(AND('Seasonal Tercile Tally'!$B$5=1,BT255="Rating-based"),CB255*CF255,CB255))</f>
        <v/>
      </c>
      <c r="CH255" s="47">
        <f t="shared" si="100"/>
        <v>0</v>
      </c>
      <c r="CI255" s="45"/>
      <c r="CJ255" s="42" t="str">
        <f t="shared" si="101"/>
        <v/>
      </c>
      <c r="CM255" s="42" t="str">
        <f t="shared" si="102"/>
        <v/>
      </c>
      <c r="CP255" s="46" t="str">
        <f t="shared" si="103"/>
        <v/>
      </c>
      <c r="CS255" s="46" t="str">
        <f t="shared" si="104"/>
        <v/>
      </c>
      <c r="CT255" s="42" t="str">
        <f t="shared" si="105"/>
        <v/>
      </c>
      <c r="CU255" s="42" t="str">
        <f t="shared" si="106"/>
        <v/>
      </c>
      <c r="CV255" s="42" t="str">
        <f t="shared" si="107"/>
        <v/>
      </c>
      <c r="DB255" s="45"/>
      <c r="DH255" s="42" t="str">
        <f t="shared" si="108"/>
        <v/>
      </c>
      <c r="DI255" s="43" t="str">
        <f t="shared" si="109"/>
        <v/>
      </c>
      <c r="DK255" s="46" t="str">
        <f t="shared" si="110"/>
        <v/>
      </c>
      <c r="DQ255" s="42" t="str">
        <f>IF(AH255="","",IFERROR(ROUND(100*('Weighting Options'!$D$7*IF(ISNUMBER(CA255),CA255/3,0)+'Weighting Options'!$D$8*MIN(N(BL255),3)/3+'Weighting Options'!$D$9*IF(AP255="Community/Plenary-endorsed",1,IF(AP255="FGD-validated only",0.75,IF(AP255="Sub-community-specific",0.5,IF(AP255="Provisional/emerging",0.25,0))))+'Weighting Options'!$D$10*IF(ISNUMBER(K255),K255/3,0)+'Weighting Options'!$D$11*IF(CC255="",0.5,IF(CC255="OK",1,0.25))+'Weighting Options'!$D$12*IF(DK255="",0.5,IF(DK255="Agrees",1,IF(DK255="Opposite",0,0.5)))+'Weighting Options'!$D$13*MIN(N(BG255),3)/3+'Weighting Options'!$D$14*IF(AE255=1,1,0))/SUM('Weighting Options'!$D$7:$D$14),0),""))</f>
        <v/>
      </c>
      <c r="DR255" s="44" t="str">
        <f>IF(AH255="","",IFERROR(INDEX('Weighting Options'!$D$20:$D$27,VALUE(LEFT(TRIM(BU255),1))),1))</f>
        <v/>
      </c>
      <c r="DS255" s="44" t="str">
        <f t="shared" si="111"/>
        <v/>
      </c>
      <c r="DT255" s="42" t="str">
        <f>IF(AH255="","",IF(COUNTIFS($AH$12:AH255,AH255,$AI$12:AI255,AI255,$AM$12:AM255,AM255)=1,1,0))</f>
        <v/>
      </c>
    </row>
    <row r="256" spans="16:124" ht="12.75" customHeight="1" x14ac:dyDescent="0.35">
      <c r="P256" s="41"/>
      <c r="Q256" s="41"/>
      <c r="R256" s="41"/>
      <c r="S256" s="41"/>
      <c r="AH256" s="40"/>
      <c r="AP256" s="40"/>
      <c r="AS256" s="41"/>
      <c r="AT256" s="41"/>
      <c r="AW256" t="str">
        <f t="shared" si="84"/>
        <v/>
      </c>
      <c r="AX256" t="str">
        <f t="shared" si="85"/>
        <v/>
      </c>
      <c r="AY256" t="str">
        <f t="shared" si="86"/>
        <v/>
      </c>
      <c r="AZ256" s="40"/>
      <c r="BL256" s="47" t="str">
        <f t="shared" si="87"/>
        <v/>
      </c>
      <c r="BM256" s="47" t="str">
        <f t="shared" si="88"/>
        <v/>
      </c>
      <c r="BN256" s="47" t="str">
        <f t="shared" si="89"/>
        <v/>
      </c>
      <c r="BO256" s="47" t="str">
        <f t="shared" si="90"/>
        <v/>
      </c>
      <c r="BP256" s="47" t="str">
        <f t="shared" si="91"/>
        <v/>
      </c>
      <c r="BQ256" s="48" t="str">
        <f t="shared" si="92"/>
        <v/>
      </c>
      <c r="BR256" s="48" t="str">
        <f t="shared" si="93"/>
        <v/>
      </c>
      <c r="BS256" s="48" t="str">
        <f t="shared" si="94"/>
        <v/>
      </c>
      <c r="BT256" s="47" t="str">
        <f t="shared" si="95"/>
        <v/>
      </c>
      <c r="CA256" s="47" t="str">
        <f t="shared" si="96"/>
        <v/>
      </c>
      <c r="CB256" s="47" t="str">
        <f t="shared" si="97"/>
        <v/>
      </c>
      <c r="CC256" s="47" t="str">
        <f t="shared" si="98"/>
        <v/>
      </c>
      <c r="CD256" s="47" t="str">
        <f t="shared" si="99"/>
        <v/>
      </c>
      <c r="CE256" s="47" t="str">
        <f>IF(AH256="","",IF(OR(AI256&lt;&gt;'Seasonal Tercile Tally'!$B$3,AM256&lt;&gt;'Seasonal Tercile Tally'!$B$4),"Other site/ season",IF(DT256=0,"Excluded: duplicate (later row)",IF(N256&lt;&gt;1,"Excluded: not sighted",IF(AC256&lt;&gt;1,"Excluded: not confirmed",IF(AD256&lt;&gt;1,"Excluded: not approved",IF(AP256="Contested","Excluded: contested",IF(OR(U256="",U256=0),"Excluded: no tercile",IF(CB256="","Counted (simple tally only — no weight)","Counted")))))))))</f>
        <v/>
      </c>
      <c r="CF256" s="49" t="str">
        <f>IF(AH256="","",IFERROR(INDEX('Prior Multipliers'!$C$6:$C$70,MATCH(LEFT(AH256,10),'Prior Multipliers'!$A$6:$A$70,0)),IFERROR(INDEX('Prior Multipliers'!$C$6:$C$70,MATCH(LEFT(AH256,6),'Prior Multipliers'!$A$6:$A$70,0)),IFERROR(INDEX('Prior Multipliers'!$C$6:$C$70,MATCH(LEFT(AH256,2),'Prior Multipliers'!$A$6:$A$70,0)),1))))</f>
        <v/>
      </c>
      <c r="CG256" s="49" t="str">
        <f>IF(CB256="","",IF(AND('Seasonal Tercile Tally'!$B$5=1,BT256="Rating-based"),CB256*CF256,CB256))</f>
        <v/>
      </c>
      <c r="CH256" s="47">
        <f t="shared" si="100"/>
        <v>0</v>
      </c>
      <c r="CI256" s="45"/>
      <c r="CJ256" s="42" t="str">
        <f t="shared" si="101"/>
        <v/>
      </c>
      <c r="CM256" s="42" t="str">
        <f t="shared" si="102"/>
        <v/>
      </c>
      <c r="CP256" s="46" t="str">
        <f t="shared" si="103"/>
        <v/>
      </c>
      <c r="CS256" s="46" t="str">
        <f t="shared" si="104"/>
        <v/>
      </c>
      <c r="CT256" s="42" t="str">
        <f t="shared" si="105"/>
        <v/>
      </c>
      <c r="CU256" s="42" t="str">
        <f t="shared" si="106"/>
        <v/>
      </c>
      <c r="CV256" s="42" t="str">
        <f t="shared" si="107"/>
        <v/>
      </c>
      <c r="DB256" s="45"/>
      <c r="DH256" s="42" t="str">
        <f t="shared" si="108"/>
        <v/>
      </c>
      <c r="DI256" s="43" t="str">
        <f t="shared" si="109"/>
        <v/>
      </c>
      <c r="DK256" s="46" t="str">
        <f t="shared" si="110"/>
        <v/>
      </c>
      <c r="DQ256" s="42" t="str">
        <f>IF(AH256="","",IFERROR(ROUND(100*('Weighting Options'!$D$7*IF(ISNUMBER(CA256),CA256/3,0)+'Weighting Options'!$D$8*MIN(N(BL256),3)/3+'Weighting Options'!$D$9*IF(AP256="Community/Plenary-endorsed",1,IF(AP256="FGD-validated only",0.75,IF(AP256="Sub-community-specific",0.5,IF(AP256="Provisional/emerging",0.25,0))))+'Weighting Options'!$D$10*IF(ISNUMBER(K256),K256/3,0)+'Weighting Options'!$D$11*IF(CC256="",0.5,IF(CC256="OK",1,0.25))+'Weighting Options'!$D$12*IF(DK256="",0.5,IF(DK256="Agrees",1,IF(DK256="Opposite",0,0.5)))+'Weighting Options'!$D$13*MIN(N(BG256),3)/3+'Weighting Options'!$D$14*IF(AE256=1,1,0))/SUM('Weighting Options'!$D$7:$D$14),0),""))</f>
        <v/>
      </c>
      <c r="DR256" s="44" t="str">
        <f>IF(AH256="","",IFERROR(INDEX('Weighting Options'!$D$20:$D$27,VALUE(LEFT(TRIM(BU256),1))),1))</f>
        <v/>
      </c>
      <c r="DS256" s="44" t="str">
        <f t="shared" si="111"/>
        <v/>
      </c>
      <c r="DT256" s="42" t="str">
        <f>IF(AH256="","",IF(COUNTIFS($AH$12:AH256,AH256,$AI$12:AI256,AI256,$AM$12:AM256,AM256)=1,1,0))</f>
        <v/>
      </c>
    </row>
    <row r="257" spans="16:124" ht="12.75" customHeight="1" x14ac:dyDescent="0.35">
      <c r="P257" s="41"/>
      <c r="Q257" s="41"/>
      <c r="R257" s="41"/>
      <c r="S257" s="41"/>
      <c r="AH257" s="40"/>
      <c r="AP257" s="40"/>
      <c r="AS257" s="41"/>
      <c r="AT257" s="41"/>
      <c r="AW257" t="str">
        <f t="shared" si="84"/>
        <v/>
      </c>
      <c r="AX257" t="str">
        <f t="shared" si="85"/>
        <v/>
      </c>
      <c r="AY257" t="str">
        <f t="shared" si="86"/>
        <v/>
      </c>
      <c r="AZ257" s="40"/>
      <c r="BL257" s="47" t="str">
        <f t="shared" si="87"/>
        <v/>
      </c>
      <c r="BM257" s="47" t="str">
        <f t="shared" si="88"/>
        <v/>
      </c>
      <c r="BN257" s="47" t="str">
        <f t="shared" si="89"/>
        <v/>
      </c>
      <c r="BO257" s="47" t="str">
        <f t="shared" si="90"/>
        <v/>
      </c>
      <c r="BP257" s="47" t="str">
        <f t="shared" si="91"/>
        <v/>
      </c>
      <c r="BQ257" s="48" t="str">
        <f t="shared" si="92"/>
        <v/>
      </c>
      <c r="BR257" s="48" t="str">
        <f t="shared" si="93"/>
        <v/>
      </c>
      <c r="BS257" s="48" t="str">
        <f t="shared" si="94"/>
        <v/>
      </c>
      <c r="BT257" s="47" t="str">
        <f t="shared" si="95"/>
        <v/>
      </c>
      <c r="CA257" s="47" t="str">
        <f t="shared" si="96"/>
        <v/>
      </c>
      <c r="CB257" s="47" t="str">
        <f t="shared" si="97"/>
        <v/>
      </c>
      <c r="CC257" s="47" t="str">
        <f t="shared" si="98"/>
        <v/>
      </c>
      <c r="CD257" s="47" t="str">
        <f t="shared" si="99"/>
        <v/>
      </c>
      <c r="CE257" s="47" t="str">
        <f>IF(AH257="","",IF(OR(AI257&lt;&gt;'Seasonal Tercile Tally'!$B$3,AM257&lt;&gt;'Seasonal Tercile Tally'!$B$4),"Other site/ season",IF(DT257=0,"Excluded: duplicate (later row)",IF(N257&lt;&gt;1,"Excluded: not sighted",IF(AC257&lt;&gt;1,"Excluded: not confirmed",IF(AD257&lt;&gt;1,"Excluded: not approved",IF(AP257="Contested","Excluded: contested",IF(OR(U257="",U257=0),"Excluded: no tercile",IF(CB257="","Counted (simple tally only — no weight)","Counted")))))))))</f>
        <v/>
      </c>
      <c r="CF257" s="49" t="str">
        <f>IF(AH257="","",IFERROR(INDEX('Prior Multipliers'!$C$6:$C$70,MATCH(LEFT(AH257,10),'Prior Multipliers'!$A$6:$A$70,0)),IFERROR(INDEX('Prior Multipliers'!$C$6:$C$70,MATCH(LEFT(AH257,6),'Prior Multipliers'!$A$6:$A$70,0)),IFERROR(INDEX('Prior Multipliers'!$C$6:$C$70,MATCH(LEFT(AH257,2),'Prior Multipliers'!$A$6:$A$70,0)),1))))</f>
        <v/>
      </c>
      <c r="CG257" s="49" t="str">
        <f>IF(CB257="","",IF(AND('Seasonal Tercile Tally'!$B$5=1,BT257="Rating-based"),CB257*CF257,CB257))</f>
        <v/>
      </c>
      <c r="CH257" s="47">
        <f t="shared" si="100"/>
        <v>0</v>
      </c>
      <c r="CI257" s="45"/>
      <c r="CJ257" s="42" t="str">
        <f t="shared" si="101"/>
        <v/>
      </c>
      <c r="CM257" s="42" t="str">
        <f t="shared" si="102"/>
        <v/>
      </c>
      <c r="CP257" s="46" t="str">
        <f t="shared" si="103"/>
        <v/>
      </c>
      <c r="CS257" s="46" t="str">
        <f t="shared" si="104"/>
        <v/>
      </c>
      <c r="CT257" s="42" t="str">
        <f t="shared" si="105"/>
        <v/>
      </c>
      <c r="CU257" s="42" t="str">
        <f t="shared" si="106"/>
        <v/>
      </c>
      <c r="CV257" s="42" t="str">
        <f t="shared" si="107"/>
        <v/>
      </c>
      <c r="DB257" s="45"/>
      <c r="DH257" s="42" t="str">
        <f t="shared" si="108"/>
        <v/>
      </c>
      <c r="DI257" s="43" t="str">
        <f t="shared" si="109"/>
        <v/>
      </c>
      <c r="DK257" s="46" t="str">
        <f t="shared" si="110"/>
        <v/>
      </c>
      <c r="DQ257" s="42" t="str">
        <f>IF(AH257="","",IFERROR(ROUND(100*('Weighting Options'!$D$7*IF(ISNUMBER(CA257),CA257/3,0)+'Weighting Options'!$D$8*MIN(N(BL257),3)/3+'Weighting Options'!$D$9*IF(AP257="Community/Plenary-endorsed",1,IF(AP257="FGD-validated only",0.75,IF(AP257="Sub-community-specific",0.5,IF(AP257="Provisional/emerging",0.25,0))))+'Weighting Options'!$D$10*IF(ISNUMBER(K257),K257/3,0)+'Weighting Options'!$D$11*IF(CC257="",0.5,IF(CC257="OK",1,0.25))+'Weighting Options'!$D$12*IF(DK257="",0.5,IF(DK257="Agrees",1,IF(DK257="Opposite",0,0.5)))+'Weighting Options'!$D$13*MIN(N(BG257),3)/3+'Weighting Options'!$D$14*IF(AE257=1,1,0))/SUM('Weighting Options'!$D$7:$D$14),0),""))</f>
        <v/>
      </c>
      <c r="DR257" s="44" t="str">
        <f>IF(AH257="","",IFERROR(INDEX('Weighting Options'!$D$20:$D$27,VALUE(LEFT(TRIM(BU257),1))),1))</f>
        <v/>
      </c>
      <c r="DS257" s="44" t="str">
        <f t="shared" si="111"/>
        <v/>
      </c>
      <c r="DT257" s="42" t="str">
        <f>IF(AH257="","",IF(COUNTIFS($AH$12:AH257,AH257,$AI$12:AI257,AI257,$AM$12:AM257,AM257)=1,1,0))</f>
        <v/>
      </c>
    </row>
    <row r="258" spans="16:124" ht="12.75" customHeight="1" x14ac:dyDescent="0.35">
      <c r="P258" s="41"/>
      <c r="Q258" s="41"/>
      <c r="R258" s="41"/>
      <c r="S258" s="41"/>
      <c r="AH258" s="40"/>
      <c r="AP258" s="40"/>
      <c r="AS258" s="41"/>
      <c r="AT258" s="41"/>
      <c r="AW258" t="str">
        <f t="shared" si="84"/>
        <v/>
      </c>
      <c r="AX258" t="str">
        <f t="shared" si="85"/>
        <v/>
      </c>
      <c r="AY258" t="str">
        <f t="shared" si="86"/>
        <v/>
      </c>
      <c r="AZ258" s="40"/>
      <c r="BL258" s="47" t="str">
        <f t="shared" si="87"/>
        <v/>
      </c>
      <c r="BM258" s="47" t="str">
        <f t="shared" si="88"/>
        <v/>
      </c>
      <c r="BN258" s="47" t="str">
        <f t="shared" si="89"/>
        <v/>
      </c>
      <c r="BO258" s="47" t="str">
        <f t="shared" si="90"/>
        <v/>
      </c>
      <c r="BP258" s="47" t="str">
        <f t="shared" si="91"/>
        <v/>
      </c>
      <c r="BQ258" s="48" t="str">
        <f t="shared" si="92"/>
        <v/>
      </c>
      <c r="BR258" s="48" t="str">
        <f t="shared" si="93"/>
        <v/>
      </c>
      <c r="BS258" s="48" t="str">
        <f t="shared" si="94"/>
        <v/>
      </c>
      <c r="BT258" s="47" t="str">
        <f t="shared" si="95"/>
        <v/>
      </c>
      <c r="CA258" s="47" t="str">
        <f t="shared" si="96"/>
        <v/>
      </c>
      <c r="CB258" s="47" t="str">
        <f t="shared" si="97"/>
        <v/>
      </c>
      <c r="CC258" s="47" t="str">
        <f t="shared" si="98"/>
        <v/>
      </c>
      <c r="CD258" s="47" t="str">
        <f t="shared" si="99"/>
        <v/>
      </c>
      <c r="CE258" s="47" t="str">
        <f>IF(AH258="","",IF(OR(AI258&lt;&gt;'Seasonal Tercile Tally'!$B$3,AM258&lt;&gt;'Seasonal Tercile Tally'!$B$4),"Other site/ season",IF(DT258=0,"Excluded: duplicate (later row)",IF(N258&lt;&gt;1,"Excluded: not sighted",IF(AC258&lt;&gt;1,"Excluded: not confirmed",IF(AD258&lt;&gt;1,"Excluded: not approved",IF(AP258="Contested","Excluded: contested",IF(OR(U258="",U258=0),"Excluded: no tercile",IF(CB258="","Counted (simple tally only — no weight)","Counted")))))))))</f>
        <v/>
      </c>
      <c r="CF258" s="49" t="str">
        <f>IF(AH258="","",IFERROR(INDEX('Prior Multipliers'!$C$6:$C$70,MATCH(LEFT(AH258,10),'Prior Multipliers'!$A$6:$A$70,0)),IFERROR(INDEX('Prior Multipliers'!$C$6:$C$70,MATCH(LEFT(AH258,6),'Prior Multipliers'!$A$6:$A$70,0)),IFERROR(INDEX('Prior Multipliers'!$C$6:$C$70,MATCH(LEFT(AH258,2),'Prior Multipliers'!$A$6:$A$70,0)),1))))</f>
        <v/>
      </c>
      <c r="CG258" s="49" t="str">
        <f>IF(CB258="","",IF(AND('Seasonal Tercile Tally'!$B$5=1,BT258="Rating-based"),CB258*CF258,CB258))</f>
        <v/>
      </c>
      <c r="CH258" s="47">
        <f t="shared" si="100"/>
        <v>0</v>
      </c>
      <c r="CI258" s="45"/>
      <c r="CJ258" s="42" t="str">
        <f t="shared" si="101"/>
        <v/>
      </c>
      <c r="CM258" s="42" t="str">
        <f t="shared" si="102"/>
        <v/>
      </c>
      <c r="CP258" s="46" t="str">
        <f t="shared" si="103"/>
        <v/>
      </c>
      <c r="CS258" s="46" t="str">
        <f t="shared" si="104"/>
        <v/>
      </c>
      <c r="CT258" s="42" t="str">
        <f t="shared" si="105"/>
        <v/>
      </c>
      <c r="CU258" s="42" t="str">
        <f t="shared" si="106"/>
        <v/>
      </c>
      <c r="CV258" s="42" t="str">
        <f t="shared" si="107"/>
        <v/>
      </c>
      <c r="DB258" s="45"/>
      <c r="DH258" s="42" t="str">
        <f t="shared" si="108"/>
        <v/>
      </c>
      <c r="DI258" s="43" t="str">
        <f t="shared" si="109"/>
        <v/>
      </c>
      <c r="DK258" s="46" t="str">
        <f t="shared" si="110"/>
        <v/>
      </c>
      <c r="DQ258" s="42" t="str">
        <f>IF(AH258="","",IFERROR(ROUND(100*('Weighting Options'!$D$7*IF(ISNUMBER(CA258),CA258/3,0)+'Weighting Options'!$D$8*MIN(N(BL258),3)/3+'Weighting Options'!$D$9*IF(AP258="Community/Plenary-endorsed",1,IF(AP258="FGD-validated only",0.75,IF(AP258="Sub-community-specific",0.5,IF(AP258="Provisional/emerging",0.25,0))))+'Weighting Options'!$D$10*IF(ISNUMBER(K258),K258/3,0)+'Weighting Options'!$D$11*IF(CC258="",0.5,IF(CC258="OK",1,0.25))+'Weighting Options'!$D$12*IF(DK258="",0.5,IF(DK258="Agrees",1,IF(DK258="Opposite",0,0.5)))+'Weighting Options'!$D$13*MIN(N(BG258),3)/3+'Weighting Options'!$D$14*IF(AE258=1,1,0))/SUM('Weighting Options'!$D$7:$D$14),0),""))</f>
        <v/>
      </c>
      <c r="DR258" s="44" t="str">
        <f>IF(AH258="","",IFERROR(INDEX('Weighting Options'!$D$20:$D$27,VALUE(LEFT(TRIM(BU258),1))),1))</f>
        <v/>
      </c>
      <c r="DS258" s="44" t="str">
        <f t="shared" si="111"/>
        <v/>
      </c>
      <c r="DT258" s="42" t="str">
        <f>IF(AH258="","",IF(COUNTIFS($AH$12:AH258,AH258,$AI$12:AI258,AI258,$AM$12:AM258,AM258)=1,1,0))</f>
        <v/>
      </c>
    </row>
    <row r="259" spans="16:124" ht="12.75" customHeight="1" x14ac:dyDescent="0.35">
      <c r="P259" s="41"/>
      <c r="Q259" s="41"/>
      <c r="R259" s="41"/>
      <c r="S259" s="41"/>
      <c r="AH259" s="40"/>
      <c r="AP259" s="40"/>
      <c r="AS259" s="41"/>
      <c r="AT259" s="41"/>
      <c r="AW259" t="str">
        <f t="shared" si="84"/>
        <v/>
      </c>
      <c r="AX259" t="str">
        <f t="shared" si="85"/>
        <v/>
      </c>
      <c r="AY259" t="str">
        <f t="shared" si="86"/>
        <v/>
      </c>
      <c r="AZ259" s="40"/>
      <c r="BL259" s="47" t="str">
        <f t="shared" si="87"/>
        <v/>
      </c>
      <c r="BM259" s="47" t="str">
        <f t="shared" si="88"/>
        <v/>
      </c>
      <c r="BN259" s="47" t="str">
        <f t="shared" si="89"/>
        <v/>
      </c>
      <c r="BO259" s="47" t="str">
        <f t="shared" si="90"/>
        <v/>
      </c>
      <c r="BP259" s="47" t="str">
        <f t="shared" si="91"/>
        <v/>
      </c>
      <c r="BQ259" s="48" t="str">
        <f t="shared" si="92"/>
        <v/>
      </c>
      <c r="BR259" s="48" t="str">
        <f t="shared" si="93"/>
        <v/>
      </c>
      <c r="BS259" s="48" t="str">
        <f t="shared" si="94"/>
        <v/>
      </c>
      <c r="BT259" s="47" t="str">
        <f t="shared" si="95"/>
        <v/>
      </c>
      <c r="CA259" s="47" t="str">
        <f t="shared" si="96"/>
        <v/>
      </c>
      <c r="CB259" s="47" t="str">
        <f t="shared" si="97"/>
        <v/>
      </c>
      <c r="CC259" s="47" t="str">
        <f t="shared" si="98"/>
        <v/>
      </c>
      <c r="CD259" s="47" t="str">
        <f t="shared" si="99"/>
        <v/>
      </c>
      <c r="CE259" s="47" t="str">
        <f>IF(AH259="","",IF(OR(AI259&lt;&gt;'Seasonal Tercile Tally'!$B$3,AM259&lt;&gt;'Seasonal Tercile Tally'!$B$4),"Other site/ season",IF(DT259=0,"Excluded: duplicate (later row)",IF(N259&lt;&gt;1,"Excluded: not sighted",IF(AC259&lt;&gt;1,"Excluded: not confirmed",IF(AD259&lt;&gt;1,"Excluded: not approved",IF(AP259="Contested","Excluded: contested",IF(OR(U259="",U259=0),"Excluded: no tercile",IF(CB259="","Counted (simple tally only — no weight)","Counted")))))))))</f>
        <v/>
      </c>
      <c r="CF259" s="49" t="str">
        <f>IF(AH259="","",IFERROR(INDEX('Prior Multipliers'!$C$6:$C$70,MATCH(LEFT(AH259,10),'Prior Multipliers'!$A$6:$A$70,0)),IFERROR(INDEX('Prior Multipliers'!$C$6:$C$70,MATCH(LEFT(AH259,6),'Prior Multipliers'!$A$6:$A$70,0)),IFERROR(INDEX('Prior Multipliers'!$C$6:$C$70,MATCH(LEFT(AH259,2),'Prior Multipliers'!$A$6:$A$70,0)),1))))</f>
        <v/>
      </c>
      <c r="CG259" s="49" t="str">
        <f>IF(CB259="","",IF(AND('Seasonal Tercile Tally'!$B$5=1,BT259="Rating-based"),CB259*CF259,CB259))</f>
        <v/>
      </c>
      <c r="CH259" s="47">
        <f t="shared" si="100"/>
        <v>0</v>
      </c>
      <c r="CI259" s="45"/>
      <c r="CJ259" s="42" t="str">
        <f t="shared" si="101"/>
        <v/>
      </c>
      <c r="CM259" s="42" t="str">
        <f t="shared" si="102"/>
        <v/>
      </c>
      <c r="CP259" s="46" t="str">
        <f t="shared" si="103"/>
        <v/>
      </c>
      <c r="CS259" s="46" t="str">
        <f t="shared" si="104"/>
        <v/>
      </c>
      <c r="CT259" s="42" t="str">
        <f t="shared" si="105"/>
        <v/>
      </c>
      <c r="CU259" s="42" t="str">
        <f t="shared" si="106"/>
        <v/>
      </c>
      <c r="CV259" s="42" t="str">
        <f t="shared" si="107"/>
        <v/>
      </c>
      <c r="DB259" s="45"/>
      <c r="DH259" s="42" t="str">
        <f t="shared" si="108"/>
        <v/>
      </c>
      <c r="DI259" s="43" t="str">
        <f t="shared" si="109"/>
        <v/>
      </c>
      <c r="DK259" s="46" t="str">
        <f t="shared" si="110"/>
        <v/>
      </c>
      <c r="DQ259" s="42" t="str">
        <f>IF(AH259="","",IFERROR(ROUND(100*('Weighting Options'!$D$7*IF(ISNUMBER(CA259),CA259/3,0)+'Weighting Options'!$D$8*MIN(N(BL259),3)/3+'Weighting Options'!$D$9*IF(AP259="Community/Plenary-endorsed",1,IF(AP259="FGD-validated only",0.75,IF(AP259="Sub-community-specific",0.5,IF(AP259="Provisional/emerging",0.25,0))))+'Weighting Options'!$D$10*IF(ISNUMBER(K259),K259/3,0)+'Weighting Options'!$D$11*IF(CC259="",0.5,IF(CC259="OK",1,0.25))+'Weighting Options'!$D$12*IF(DK259="",0.5,IF(DK259="Agrees",1,IF(DK259="Opposite",0,0.5)))+'Weighting Options'!$D$13*MIN(N(BG259),3)/3+'Weighting Options'!$D$14*IF(AE259=1,1,0))/SUM('Weighting Options'!$D$7:$D$14),0),""))</f>
        <v/>
      </c>
      <c r="DR259" s="44" t="str">
        <f>IF(AH259="","",IFERROR(INDEX('Weighting Options'!$D$20:$D$27,VALUE(LEFT(TRIM(BU259),1))),1))</f>
        <v/>
      </c>
      <c r="DS259" s="44" t="str">
        <f t="shared" si="111"/>
        <v/>
      </c>
      <c r="DT259" s="42" t="str">
        <f>IF(AH259="","",IF(COUNTIFS($AH$12:AH259,AH259,$AI$12:AI259,AI259,$AM$12:AM259,AM259)=1,1,0))</f>
        <v/>
      </c>
    </row>
    <row r="260" spans="16:124" ht="12.75" customHeight="1" x14ac:dyDescent="0.35">
      <c r="P260" s="41"/>
      <c r="Q260" s="41"/>
      <c r="R260" s="41"/>
      <c r="S260" s="41"/>
      <c r="AH260" s="40"/>
      <c r="AP260" s="40"/>
      <c r="AS260" s="41"/>
      <c r="AT260" s="41"/>
      <c r="AW260" t="str">
        <f t="shared" si="84"/>
        <v/>
      </c>
      <c r="AX260" t="str">
        <f t="shared" si="85"/>
        <v/>
      </c>
      <c r="AY260" t="str">
        <f t="shared" si="86"/>
        <v/>
      </c>
      <c r="AZ260" s="40"/>
      <c r="BL260" s="47" t="str">
        <f t="shared" si="87"/>
        <v/>
      </c>
      <c r="BM260" s="47" t="str">
        <f t="shared" si="88"/>
        <v/>
      </c>
      <c r="BN260" s="47" t="str">
        <f t="shared" si="89"/>
        <v/>
      </c>
      <c r="BO260" s="47" t="str">
        <f t="shared" si="90"/>
        <v/>
      </c>
      <c r="BP260" s="47" t="str">
        <f t="shared" si="91"/>
        <v/>
      </c>
      <c r="BQ260" s="48" t="str">
        <f t="shared" si="92"/>
        <v/>
      </c>
      <c r="BR260" s="48" t="str">
        <f t="shared" si="93"/>
        <v/>
      </c>
      <c r="BS260" s="48" t="str">
        <f t="shared" si="94"/>
        <v/>
      </c>
      <c r="BT260" s="47" t="str">
        <f t="shared" si="95"/>
        <v/>
      </c>
      <c r="CA260" s="47" t="str">
        <f t="shared" si="96"/>
        <v/>
      </c>
      <c r="CB260" s="47" t="str">
        <f t="shared" si="97"/>
        <v/>
      </c>
      <c r="CC260" s="47" t="str">
        <f t="shared" si="98"/>
        <v/>
      </c>
      <c r="CD260" s="47" t="str">
        <f t="shared" si="99"/>
        <v/>
      </c>
      <c r="CE260" s="47" t="str">
        <f>IF(AH260="","",IF(OR(AI260&lt;&gt;'Seasonal Tercile Tally'!$B$3,AM260&lt;&gt;'Seasonal Tercile Tally'!$B$4),"Other site/ season",IF(DT260=0,"Excluded: duplicate (later row)",IF(N260&lt;&gt;1,"Excluded: not sighted",IF(AC260&lt;&gt;1,"Excluded: not confirmed",IF(AD260&lt;&gt;1,"Excluded: not approved",IF(AP260="Contested","Excluded: contested",IF(OR(U260="",U260=0),"Excluded: no tercile",IF(CB260="","Counted (simple tally only — no weight)","Counted")))))))))</f>
        <v/>
      </c>
      <c r="CF260" s="49" t="str">
        <f>IF(AH260="","",IFERROR(INDEX('Prior Multipliers'!$C$6:$C$70,MATCH(LEFT(AH260,10),'Prior Multipliers'!$A$6:$A$70,0)),IFERROR(INDEX('Prior Multipliers'!$C$6:$C$70,MATCH(LEFT(AH260,6),'Prior Multipliers'!$A$6:$A$70,0)),IFERROR(INDEX('Prior Multipliers'!$C$6:$C$70,MATCH(LEFT(AH260,2),'Prior Multipliers'!$A$6:$A$70,0)),1))))</f>
        <v/>
      </c>
      <c r="CG260" s="49" t="str">
        <f>IF(CB260="","",IF(AND('Seasonal Tercile Tally'!$B$5=1,BT260="Rating-based"),CB260*CF260,CB260))</f>
        <v/>
      </c>
      <c r="CH260" s="47">
        <f t="shared" si="100"/>
        <v>0</v>
      </c>
      <c r="CI260" s="45"/>
      <c r="CJ260" s="42" t="str">
        <f t="shared" si="101"/>
        <v/>
      </c>
      <c r="CM260" s="42" t="str">
        <f t="shared" si="102"/>
        <v/>
      </c>
      <c r="CP260" s="46" t="str">
        <f t="shared" si="103"/>
        <v/>
      </c>
      <c r="CS260" s="46" t="str">
        <f t="shared" si="104"/>
        <v/>
      </c>
      <c r="CT260" s="42" t="str">
        <f t="shared" si="105"/>
        <v/>
      </c>
      <c r="CU260" s="42" t="str">
        <f t="shared" si="106"/>
        <v/>
      </c>
      <c r="CV260" s="42" t="str">
        <f t="shared" si="107"/>
        <v/>
      </c>
      <c r="DB260" s="45"/>
      <c r="DH260" s="42" t="str">
        <f t="shared" si="108"/>
        <v/>
      </c>
      <c r="DI260" s="43" t="str">
        <f t="shared" si="109"/>
        <v/>
      </c>
      <c r="DK260" s="46" t="str">
        <f t="shared" si="110"/>
        <v/>
      </c>
      <c r="DQ260" s="42" t="str">
        <f>IF(AH260="","",IFERROR(ROUND(100*('Weighting Options'!$D$7*IF(ISNUMBER(CA260),CA260/3,0)+'Weighting Options'!$D$8*MIN(N(BL260),3)/3+'Weighting Options'!$D$9*IF(AP260="Community/Plenary-endorsed",1,IF(AP260="FGD-validated only",0.75,IF(AP260="Sub-community-specific",0.5,IF(AP260="Provisional/emerging",0.25,0))))+'Weighting Options'!$D$10*IF(ISNUMBER(K260),K260/3,0)+'Weighting Options'!$D$11*IF(CC260="",0.5,IF(CC260="OK",1,0.25))+'Weighting Options'!$D$12*IF(DK260="",0.5,IF(DK260="Agrees",1,IF(DK260="Opposite",0,0.5)))+'Weighting Options'!$D$13*MIN(N(BG260),3)/3+'Weighting Options'!$D$14*IF(AE260=1,1,0))/SUM('Weighting Options'!$D$7:$D$14),0),""))</f>
        <v/>
      </c>
      <c r="DR260" s="44" t="str">
        <f>IF(AH260="","",IFERROR(INDEX('Weighting Options'!$D$20:$D$27,VALUE(LEFT(TRIM(BU260),1))),1))</f>
        <v/>
      </c>
      <c r="DS260" s="44" t="str">
        <f t="shared" si="111"/>
        <v/>
      </c>
      <c r="DT260" s="42" t="str">
        <f>IF(AH260="","",IF(COUNTIFS($AH$12:AH260,AH260,$AI$12:AI260,AI260,$AM$12:AM260,AM260)=1,1,0))</f>
        <v/>
      </c>
    </row>
    <row r="261" spans="16:124" ht="12.75" customHeight="1" x14ac:dyDescent="0.35">
      <c r="P261" s="41"/>
      <c r="Q261" s="41"/>
      <c r="R261" s="41"/>
      <c r="S261" s="41"/>
      <c r="AH261" s="40"/>
      <c r="AP261" s="40"/>
      <c r="AS261" s="41"/>
      <c r="AT261" s="41"/>
      <c r="AW261" t="str">
        <f t="shared" si="84"/>
        <v/>
      </c>
      <c r="AX261" t="str">
        <f t="shared" si="85"/>
        <v/>
      </c>
      <c r="AY261" t="str">
        <f t="shared" si="86"/>
        <v/>
      </c>
      <c r="AZ261" s="40"/>
      <c r="BL261" s="47" t="str">
        <f t="shared" si="87"/>
        <v/>
      </c>
      <c r="BM261" s="47" t="str">
        <f t="shared" si="88"/>
        <v/>
      </c>
      <c r="BN261" s="47" t="str">
        <f t="shared" si="89"/>
        <v/>
      </c>
      <c r="BO261" s="47" t="str">
        <f t="shared" si="90"/>
        <v/>
      </c>
      <c r="BP261" s="47" t="str">
        <f t="shared" si="91"/>
        <v/>
      </c>
      <c r="BQ261" s="48" t="str">
        <f t="shared" si="92"/>
        <v/>
      </c>
      <c r="BR261" s="48" t="str">
        <f t="shared" si="93"/>
        <v/>
      </c>
      <c r="BS261" s="48" t="str">
        <f t="shared" si="94"/>
        <v/>
      </c>
      <c r="BT261" s="47" t="str">
        <f t="shared" si="95"/>
        <v/>
      </c>
      <c r="CA261" s="47" t="str">
        <f t="shared" si="96"/>
        <v/>
      </c>
      <c r="CB261" s="47" t="str">
        <f t="shared" si="97"/>
        <v/>
      </c>
      <c r="CC261" s="47" t="str">
        <f t="shared" si="98"/>
        <v/>
      </c>
      <c r="CD261" s="47" t="str">
        <f t="shared" si="99"/>
        <v/>
      </c>
      <c r="CE261" s="47" t="str">
        <f>IF(AH261="","",IF(OR(AI261&lt;&gt;'Seasonal Tercile Tally'!$B$3,AM261&lt;&gt;'Seasonal Tercile Tally'!$B$4),"Other site/ season",IF(DT261=0,"Excluded: duplicate (later row)",IF(N261&lt;&gt;1,"Excluded: not sighted",IF(AC261&lt;&gt;1,"Excluded: not confirmed",IF(AD261&lt;&gt;1,"Excluded: not approved",IF(AP261="Contested","Excluded: contested",IF(OR(U261="",U261=0),"Excluded: no tercile",IF(CB261="","Counted (simple tally only — no weight)","Counted")))))))))</f>
        <v/>
      </c>
      <c r="CF261" s="49" t="str">
        <f>IF(AH261="","",IFERROR(INDEX('Prior Multipliers'!$C$6:$C$70,MATCH(LEFT(AH261,10),'Prior Multipliers'!$A$6:$A$70,0)),IFERROR(INDEX('Prior Multipliers'!$C$6:$C$70,MATCH(LEFT(AH261,6),'Prior Multipliers'!$A$6:$A$70,0)),IFERROR(INDEX('Prior Multipliers'!$C$6:$C$70,MATCH(LEFT(AH261,2),'Prior Multipliers'!$A$6:$A$70,0)),1))))</f>
        <v/>
      </c>
      <c r="CG261" s="49" t="str">
        <f>IF(CB261="","",IF(AND('Seasonal Tercile Tally'!$B$5=1,BT261="Rating-based"),CB261*CF261,CB261))</f>
        <v/>
      </c>
      <c r="CH261" s="47">
        <f t="shared" si="100"/>
        <v>0</v>
      </c>
      <c r="CI261" s="45"/>
      <c r="CJ261" s="42" t="str">
        <f t="shared" si="101"/>
        <v/>
      </c>
      <c r="CM261" s="42" t="str">
        <f t="shared" si="102"/>
        <v/>
      </c>
      <c r="CP261" s="46" t="str">
        <f t="shared" si="103"/>
        <v/>
      </c>
      <c r="CS261" s="46" t="str">
        <f t="shared" si="104"/>
        <v/>
      </c>
      <c r="CT261" s="42" t="str">
        <f t="shared" si="105"/>
        <v/>
      </c>
      <c r="CU261" s="42" t="str">
        <f t="shared" si="106"/>
        <v/>
      </c>
      <c r="CV261" s="42" t="str">
        <f t="shared" si="107"/>
        <v/>
      </c>
      <c r="DB261" s="45"/>
      <c r="DH261" s="42" t="str">
        <f t="shared" si="108"/>
        <v/>
      </c>
      <c r="DI261" s="43" t="str">
        <f t="shared" si="109"/>
        <v/>
      </c>
      <c r="DK261" s="46" t="str">
        <f t="shared" si="110"/>
        <v/>
      </c>
      <c r="DQ261" s="42" t="str">
        <f>IF(AH261="","",IFERROR(ROUND(100*('Weighting Options'!$D$7*IF(ISNUMBER(CA261),CA261/3,0)+'Weighting Options'!$D$8*MIN(N(BL261),3)/3+'Weighting Options'!$D$9*IF(AP261="Community/Plenary-endorsed",1,IF(AP261="FGD-validated only",0.75,IF(AP261="Sub-community-specific",0.5,IF(AP261="Provisional/emerging",0.25,0))))+'Weighting Options'!$D$10*IF(ISNUMBER(K261),K261/3,0)+'Weighting Options'!$D$11*IF(CC261="",0.5,IF(CC261="OK",1,0.25))+'Weighting Options'!$D$12*IF(DK261="",0.5,IF(DK261="Agrees",1,IF(DK261="Opposite",0,0.5)))+'Weighting Options'!$D$13*MIN(N(BG261),3)/3+'Weighting Options'!$D$14*IF(AE261=1,1,0))/SUM('Weighting Options'!$D$7:$D$14),0),""))</f>
        <v/>
      </c>
      <c r="DR261" s="44" t="str">
        <f>IF(AH261="","",IFERROR(INDEX('Weighting Options'!$D$20:$D$27,VALUE(LEFT(TRIM(BU261),1))),1))</f>
        <v/>
      </c>
      <c r="DS261" s="44" t="str">
        <f t="shared" si="111"/>
        <v/>
      </c>
      <c r="DT261" s="42" t="str">
        <f>IF(AH261="","",IF(COUNTIFS($AH$12:AH261,AH261,$AI$12:AI261,AI261,$AM$12:AM261,AM261)=1,1,0))</f>
        <v/>
      </c>
    </row>
    <row r="262" spans="16:124" ht="12.75" customHeight="1" x14ac:dyDescent="0.35">
      <c r="P262" s="41"/>
      <c r="Q262" s="41"/>
      <c r="R262" s="41"/>
      <c r="S262" s="41"/>
      <c r="AH262" s="40"/>
      <c r="AP262" s="40"/>
      <c r="AS262" s="41"/>
      <c r="AT262" s="41"/>
      <c r="AW262" t="str">
        <f t="shared" si="84"/>
        <v/>
      </c>
      <c r="AX262" t="str">
        <f t="shared" si="85"/>
        <v/>
      </c>
      <c r="AY262" t="str">
        <f t="shared" si="86"/>
        <v/>
      </c>
      <c r="AZ262" s="40"/>
      <c r="BL262" s="47" t="str">
        <f t="shared" si="87"/>
        <v/>
      </c>
      <c r="BM262" s="47" t="str">
        <f t="shared" si="88"/>
        <v/>
      </c>
      <c r="BN262" s="47" t="str">
        <f t="shared" si="89"/>
        <v/>
      </c>
      <c r="BO262" s="47" t="str">
        <f t="shared" si="90"/>
        <v/>
      </c>
      <c r="BP262" s="47" t="str">
        <f t="shared" si="91"/>
        <v/>
      </c>
      <c r="BQ262" s="48" t="str">
        <f t="shared" si="92"/>
        <v/>
      </c>
      <c r="BR262" s="48" t="str">
        <f t="shared" si="93"/>
        <v/>
      </c>
      <c r="BS262" s="48" t="str">
        <f t="shared" si="94"/>
        <v/>
      </c>
      <c r="BT262" s="47" t="str">
        <f t="shared" si="95"/>
        <v/>
      </c>
      <c r="CA262" s="47" t="str">
        <f t="shared" si="96"/>
        <v/>
      </c>
      <c r="CB262" s="47" t="str">
        <f t="shared" si="97"/>
        <v/>
      </c>
      <c r="CC262" s="47" t="str">
        <f t="shared" si="98"/>
        <v/>
      </c>
      <c r="CD262" s="47" t="str">
        <f t="shared" si="99"/>
        <v/>
      </c>
      <c r="CE262" s="47" t="str">
        <f>IF(AH262="","",IF(OR(AI262&lt;&gt;'Seasonal Tercile Tally'!$B$3,AM262&lt;&gt;'Seasonal Tercile Tally'!$B$4),"Other site/ season",IF(DT262=0,"Excluded: duplicate (later row)",IF(N262&lt;&gt;1,"Excluded: not sighted",IF(AC262&lt;&gt;1,"Excluded: not confirmed",IF(AD262&lt;&gt;1,"Excluded: not approved",IF(AP262="Contested","Excluded: contested",IF(OR(U262="",U262=0),"Excluded: no tercile",IF(CB262="","Counted (simple tally only — no weight)","Counted")))))))))</f>
        <v/>
      </c>
      <c r="CF262" s="49" t="str">
        <f>IF(AH262="","",IFERROR(INDEX('Prior Multipliers'!$C$6:$C$70,MATCH(LEFT(AH262,10),'Prior Multipliers'!$A$6:$A$70,0)),IFERROR(INDEX('Prior Multipliers'!$C$6:$C$70,MATCH(LEFT(AH262,6),'Prior Multipliers'!$A$6:$A$70,0)),IFERROR(INDEX('Prior Multipliers'!$C$6:$C$70,MATCH(LEFT(AH262,2),'Prior Multipliers'!$A$6:$A$70,0)),1))))</f>
        <v/>
      </c>
      <c r="CG262" s="49" t="str">
        <f>IF(CB262="","",IF(AND('Seasonal Tercile Tally'!$B$5=1,BT262="Rating-based"),CB262*CF262,CB262))</f>
        <v/>
      </c>
      <c r="CH262" s="47">
        <f t="shared" si="100"/>
        <v>0</v>
      </c>
      <c r="CI262" s="45"/>
      <c r="CJ262" s="42" t="str">
        <f t="shared" si="101"/>
        <v/>
      </c>
      <c r="CM262" s="42" t="str">
        <f t="shared" si="102"/>
        <v/>
      </c>
      <c r="CP262" s="46" t="str">
        <f t="shared" si="103"/>
        <v/>
      </c>
      <c r="CS262" s="46" t="str">
        <f t="shared" si="104"/>
        <v/>
      </c>
      <c r="CT262" s="42" t="str">
        <f t="shared" si="105"/>
        <v/>
      </c>
      <c r="CU262" s="42" t="str">
        <f t="shared" si="106"/>
        <v/>
      </c>
      <c r="CV262" s="42" t="str">
        <f t="shared" si="107"/>
        <v/>
      </c>
      <c r="DB262" s="45"/>
      <c r="DH262" s="42" t="str">
        <f t="shared" si="108"/>
        <v/>
      </c>
      <c r="DI262" s="43" t="str">
        <f t="shared" si="109"/>
        <v/>
      </c>
      <c r="DK262" s="46" t="str">
        <f t="shared" si="110"/>
        <v/>
      </c>
      <c r="DQ262" s="42" t="str">
        <f>IF(AH262="","",IFERROR(ROUND(100*('Weighting Options'!$D$7*IF(ISNUMBER(CA262),CA262/3,0)+'Weighting Options'!$D$8*MIN(N(BL262),3)/3+'Weighting Options'!$D$9*IF(AP262="Community/Plenary-endorsed",1,IF(AP262="FGD-validated only",0.75,IF(AP262="Sub-community-specific",0.5,IF(AP262="Provisional/emerging",0.25,0))))+'Weighting Options'!$D$10*IF(ISNUMBER(K262),K262/3,0)+'Weighting Options'!$D$11*IF(CC262="",0.5,IF(CC262="OK",1,0.25))+'Weighting Options'!$D$12*IF(DK262="",0.5,IF(DK262="Agrees",1,IF(DK262="Opposite",0,0.5)))+'Weighting Options'!$D$13*MIN(N(BG262),3)/3+'Weighting Options'!$D$14*IF(AE262=1,1,0))/SUM('Weighting Options'!$D$7:$D$14),0),""))</f>
        <v/>
      </c>
      <c r="DR262" s="44" t="str">
        <f>IF(AH262="","",IFERROR(INDEX('Weighting Options'!$D$20:$D$27,VALUE(LEFT(TRIM(BU262),1))),1))</f>
        <v/>
      </c>
      <c r="DS262" s="44" t="str">
        <f t="shared" si="111"/>
        <v/>
      </c>
      <c r="DT262" s="42" t="str">
        <f>IF(AH262="","",IF(COUNTIFS($AH$12:AH262,AH262,$AI$12:AI262,AI262,$AM$12:AM262,AM262)=1,1,0))</f>
        <v/>
      </c>
    </row>
    <row r="263" spans="16:124" ht="12.75" customHeight="1" x14ac:dyDescent="0.35">
      <c r="P263" s="41"/>
      <c r="Q263" s="41"/>
      <c r="R263" s="41"/>
      <c r="S263" s="41"/>
      <c r="AH263" s="40"/>
      <c r="AP263" s="40"/>
      <c r="AS263" s="41"/>
      <c r="AT263" s="41"/>
      <c r="AW263" t="str">
        <f t="shared" si="84"/>
        <v/>
      </c>
      <c r="AX263" t="str">
        <f t="shared" si="85"/>
        <v/>
      </c>
      <c r="AY263" t="str">
        <f t="shared" si="86"/>
        <v/>
      </c>
      <c r="AZ263" s="40"/>
      <c r="BL263" s="47" t="str">
        <f t="shared" si="87"/>
        <v/>
      </c>
      <c r="BM263" s="47" t="str">
        <f t="shared" si="88"/>
        <v/>
      </c>
      <c r="BN263" s="47" t="str">
        <f t="shared" si="89"/>
        <v/>
      </c>
      <c r="BO263" s="47" t="str">
        <f t="shared" si="90"/>
        <v/>
      </c>
      <c r="BP263" s="47" t="str">
        <f t="shared" si="91"/>
        <v/>
      </c>
      <c r="BQ263" s="48" t="str">
        <f t="shared" si="92"/>
        <v/>
      </c>
      <c r="BR263" s="48" t="str">
        <f t="shared" si="93"/>
        <v/>
      </c>
      <c r="BS263" s="48" t="str">
        <f t="shared" si="94"/>
        <v/>
      </c>
      <c r="BT263" s="47" t="str">
        <f t="shared" si="95"/>
        <v/>
      </c>
      <c r="CA263" s="47" t="str">
        <f t="shared" si="96"/>
        <v/>
      </c>
      <c r="CB263" s="47" t="str">
        <f t="shared" si="97"/>
        <v/>
      </c>
      <c r="CC263" s="47" t="str">
        <f t="shared" si="98"/>
        <v/>
      </c>
      <c r="CD263" s="47" t="str">
        <f t="shared" si="99"/>
        <v/>
      </c>
      <c r="CE263" s="47" t="str">
        <f>IF(AH263="","",IF(OR(AI263&lt;&gt;'Seasonal Tercile Tally'!$B$3,AM263&lt;&gt;'Seasonal Tercile Tally'!$B$4),"Other site/ season",IF(DT263=0,"Excluded: duplicate (later row)",IF(N263&lt;&gt;1,"Excluded: not sighted",IF(AC263&lt;&gt;1,"Excluded: not confirmed",IF(AD263&lt;&gt;1,"Excluded: not approved",IF(AP263="Contested","Excluded: contested",IF(OR(U263="",U263=0),"Excluded: no tercile",IF(CB263="","Counted (simple tally only — no weight)","Counted")))))))))</f>
        <v/>
      </c>
      <c r="CF263" s="49" t="str">
        <f>IF(AH263="","",IFERROR(INDEX('Prior Multipliers'!$C$6:$C$70,MATCH(LEFT(AH263,10),'Prior Multipliers'!$A$6:$A$70,0)),IFERROR(INDEX('Prior Multipliers'!$C$6:$C$70,MATCH(LEFT(AH263,6),'Prior Multipliers'!$A$6:$A$70,0)),IFERROR(INDEX('Prior Multipliers'!$C$6:$C$70,MATCH(LEFT(AH263,2),'Prior Multipliers'!$A$6:$A$70,0)),1))))</f>
        <v/>
      </c>
      <c r="CG263" s="49" t="str">
        <f>IF(CB263="","",IF(AND('Seasonal Tercile Tally'!$B$5=1,BT263="Rating-based"),CB263*CF263,CB263))</f>
        <v/>
      </c>
      <c r="CH263" s="47">
        <f t="shared" si="100"/>
        <v>0</v>
      </c>
      <c r="CI263" s="45"/>
      <c r="CJ263" s="42" t="str">
        <f t="shared" si="101"/>
        <v/>
      </c>
      <c r="CM263" s="42" t="str">
        <f t="shared" si="102"/>
        <v/>
      </c>
      <c r="CP263" s="46" t="str">
        <f t="shared" si="103"/>
        <v/>
      </c>
      <c r="CS263" s="46" t="str">
        <f t="shared" si="104"/>
        <v/>
      </c>
      <c r="CT263" s="42" t="str">
        <f t="shared" si="105"/>
        <v/>
      </c>
      <c r="CU263" s="42" t="str">
        <f t="shared" si="106"/>
        <v/>
      </c>
      <c r="CV263" s="42" t="str">
        <f t="shared" si="107"/>
        <v/>
      </c>
      <c r="DB263" s="45"/>
      <c r="DH263" s="42" t="str">
        <f t="shared" si="108"/>
        <v/>
      </c>
      <c r="DI263" s="43" t="str">
        <f t="shared" si="109"/>
        <v/>
      </c>
      <c r="DK263" s="46" t="str">
        <f t="shared" si="110"/>
        <v/>
      </c>
      <c r="DQ263" s="42" t="str">
        <f>IF(AH263="","",IFERROR(ROUND(100*('Weighting Options'!$D$7*IF(ISNUMBER(CA263),CA263/3,0)+'Weighting Options'!$D$8*MIN(N(BL263),3)/3+'Weighting Options'!$D$9*IF(AP263="Community/Plenary-endorsed",1,IF(AP263="FGD-validated only",0.75,IF(AP263="Sub-community-specific",0.5,IF(AP263="Provisional/emerging",0.25,0))))+'Weighting Options'!$D$10*IF(ISNUMBER(K263),K263/3,0)+'Weighting Options'!$D$11*IF(CC263="",0.5,IF(CC263="OK",1,0.25))+'Weighting Options'!$D$12*IF(DK263="",0.5,IF(DK263="Agrees",1,IF(DK263="Opposite",0,0.5)))+'Weighting Options'!$D$13*MIN(N(BG263),3)/3+'Weighting Options'!$D$14*IF(AE263=1,1,0))/SUM('Weighting Options'!$D$7:$D$14),0),""))</f>
        <v/>
      </c>
      <c r="DR263" s="44" t="str">
        <f>IF(AH263="","",IFERROR(INDEX('Weighting Options'!$D$20:$D$27,VALUE(LEFT(TRIM(BU263),1))),1))</f>
        <v/>
      </c>
      <c r="DS263" s="44" t="str">
        <f t="shared" si="111"/>
        <v/>
      </c>
      <c r="DT263" s="42" t="str">
        <f>IF(AH263="","",IF(COUNTIFS($AH$12:AH263,AH263,$AI$12:AI263,AI263,$AM$12:AM263,AM263)=1,1,0))</f>
        <v/>
      </c>
    </row>
    <row r="264" spans="16:124" ht="12.75" customHeight="1" x14ac:dyDescent="0.35">
      <c r="P264" s="41"/>
      <c r="Q264" s="41"/>
      <c r="R264" s="41"/>
      <c r="S264" s="41"/>
      <c r="AH264" s="40"/>
      <c r="AP264" s="40"/>
      <c r="AS264" s="41"/>
      <c r="AT264" s="41"/>
      <c r="AW264" t="str">
        <f t="shared" si="84"/>
        <v/>
      </c>
      <c r="AX264" t="str">
        <f t="shared" si="85"/>
        <v/>
      </c>
      <c r="AY264" t="str">
        <f t="shared" si="86"/>
        <v/>
      </c>
      <c r="AZ264" s="40"/>
      <c r="BL264" s="47" t="str">
        <f t="shared" si="87"/>
        <v/>
      </c>
      <c r="BM264" s="47" t="str">
        <f t="shared" si="88"/>
        <v/>
      </c>
      <c r="BN264" s="47" t="str">
        <f t="shared" si="89"/>
        <v/>
      </c>
      <c r="BO264" s="47" t="str">
        <f t="shared" si="90"/>
        <v/>
      </c>
      <c r="BP264" s="47" t="str">
        <f t="shared" si="91"/>
        <v/>
      </c>
      <c r="BQ264" s="48" t="str">
        <f t="shared" si="92"/>
        <v/>
      </c>
      <c r="BR264" s="48" t="str">
        <f t="shared" si="93"/>
        <v/>
      </c>
      <c r="BS264" s="48" t="str">
        <f t="shared" si="94"/>
        <v/>
      </c>
      <c r="BT264" s="47" t="str">
        <f t="shared" si="95"/>
        <v/>
      </c>
      <c r="CA264" s="47" t="str">
        <f t="shared" si="96"/>
        <v/>
      </c>
      <c r="CB264" s="47" t="str">
        <f t="shared" si="97"/>
        <v/>
      </c>
      <c r="CC264" s="47" t="str">
        <f t="shared" si="98"/>
        <v/>
      </c>
      <c r="CD264" s="47" t="str">
        <f t="shared" si="99"/>
        <v/>
      </c>
      <c r="CE264" s="47" t="str">
        <f>IF(AH264="","",IF(OR(AI264&lt;&gt;'Seasonal Tercile Tally'!$B$3,AM264&lt;&gt;'Seasonal Tercile Tally'!$B$4),"Other site/ season",IF(DT264=0,"Excluded: duplicate (later row)",IF(N264&lt;&gt;1,"Excluded: not sighted",IF(AC264&lt;&gt;1,"Excluded: not confirmed",IF(AD264&lt;&gt;1,"Excluded: not approved",IF(AP264="Contested","Excluded: contested",IF(OR(U264="",U264=0),"Excluded: no tercile",IF(CB264="","Counted (simple tally only — no weight)","Counted")))))))))</f>
        <v/>
      </c>
      <c r="CF264" s="49" t="str">
        <f>IF(AH264="","",IFERROR(INDEX('Prior Multipliers'!$C$6:$C$70,MATCH(LEFT(AH264,10),'Prior Multipliers'!$A$6:$A$70,0)),IFERROR(INDEX('Prior Multipliers'!$C$6:$C$70,MATCH(LEFT(AH264,6),'Prior Multipliers'!$A$6:$A$70,0)),IFERROR(INDEX('Prior Multipliers'!$C$6:$C$70,MATCH(LEFT(AH264,2),'Prior Multipliers'!$A$6:$A$70,0)),1))))</f>
        <v/>
      </c>
      <c r="CG264" s="49" t="str">
        <f>IF(CB264="","",IF(AND('Seasonal Tercile Tally'!$B$5=1,BT264="Rating-based"),CB264*CF264,CB264))</f>
        <v/>
      </c>
      <c r="CH264" s="47">
        <f t="shared" si="100"/>
        <v>0</v>
      </c>
      <c r="CI264" s="45"/>
      <c r="CJ264" s="42" t="str">
        <f t="shared" si="101"/>
        <v/>
      </c>
      <c r="CM264" s="42" t="str">
        <f t="shared" si="102"/>
        <v/>
      </c>
      <c r="CP264" s="46" t="str">
        <f t="shared" si="103"/>
        <v/>
      </c>
      <c r="CS264" s="46" t="str">
        <f t="shared" si="104"/>
        <v/>
      </c>
      <c r="CT264" s="42" t="str">
        <f t="shared" si="105"/>
        <v/>
      </c>
      <c r="CU264" s="42" t="str">
        <f t="shared" si="106"/>
        <v/>
      </c>
      <c r="CV264" s="42" t="str">
        <f t="shared" si="107"/>
        <v/>
      </c>
      <c r="DB264" s="45"/>
      <c r="DH264" s="42" t="str">
        <f t="shared" si="108"/>
        <v/>
      </c>
      <c r="DI264" s="43" t="str">
        <f t="shared" si="109"/>
        <v/>
      </c>
      <c r="DK264" s="46" t="str">
        <f t="shared" si="110"/>
        <v/>
      </c>
      <c r="DQ264" s="42" t="str">
        <f>IF(AH264="","",IFERROR(ROUND(100*('Weighting Options'!$D$7*IF(ISNUMBER(CA264),CA264/3,0)+'Weighting Options'!$D$8*MIN(N(BL264),3)/3+'Weighting Options'!$D$9*IF(AP264="Community/Plenary-endorsed",1,IF(AP264="FGD-validated only",0.75,IF(AP264="Sub-community-specific",0.5,IF(AP264="Provisional/emerging",0.25,0))))+'Weighting Options'!$D$10*IF(ISNUMBER(K264),K264/3,0)+'Weighting Options'!$D$11*IF(CC264="",0.5,IF(CC264="OK",1,0.25))+'Weighting Options'!$D$12*IF(DK264="",0.5,IF(DK264="Agrees",1,IF(DK264="Opposite",0,0.5)))+'Weighting Options'!$D$13*MIN(N(BG264),3)/3+'Weighting Options'!$D$14*IF(AE264=1,1,0))/SUM('Weighting Options'!$D$7:$D$14),0),""))</f>
        <v/>
      </c>
      <c r="DR264" s="44" t="str">
        <f>IF(AH264="","",IFERROR(INDEX('Weighting Options'!$D$20:$D$27,VALUE(LEFT(TRIM(BU264),1))),1))</f>
        <v/>
      </c>
      <c r="DS264" s="44" t="str">
        <f t="shared" si="111"/>
        <v/>
      </c>
      <c r="DT264" s="42" t="str">
        <f>IF(AH264="","",IF(COUNTIFS($AH$12:AH264,AH264,$AI$12:AI264,AI264,$AM$12:AM264,AM264)=1,1,0))</f>
        <v/>
      </c>
    </row>
    <row r="265" spans="16:124" ht="12.75" customHeight="1" x14ac:dyDescent="0.35">
      <c r="P265" s="41"/>
      <c r="Q265" s="41"/>
      <c r="R265" s="41"/>
      <c r="S265" s="41"/>
      <c r="AH265" s="40"/>
      <c r="AP265" s="40"/>
      <c r="AS265" s="41"/>
      <c r="AT265" s="41"/>
      <c r="AW265" t="str">
        <f t="shared" si="84"/>
        <v/>
      </c>
      <c r="AX265" t="str">
        <f t="shared" si="85"/>
        <v/>
      </c>
      <c r="AY265" t="str">
        <f t="shared" si="86"/>
        <v/>
      </c>
      <c r="AZ265" s="40"/>
      <c r="BL265" s="47" t="str">
        <f t="shared" si="87"/>
        <v/>
      </c>
      <c r="BM265" s="47" t="str">
        <f t="shared" si="88"/>
        <v/>
      </c>
      <c r="BN265" s="47" t="str">
        <f t="shared" si="89"/>
        <v/>
      </c>
      <c r="BO265" s="47" t="str">
        <f t="shared" si="90"/>
        <v/>
      </c>
      <c r="BP265" s="47" t="str">
        <f t="shared" si="91"/>
        <v/>
      </c>
      <c r="BQ265" s="48" t="str">
        <f t="shared" si="92"/>
        <v/>
      </c>
      <c r="BR265" s="48" t="str">
        <f t="shared" si="93"/>
        <v/>
      </c>
      <c r="BS265" s="48" t="str">
        <f t="shared" si="94"/>
        <v/>
      </c>
      <c r="BT265" s="47" t="str">
        <f t="shared" si="95"/>
        <v/>
      </c>
      <c r="CA265" s="47" t="str">
        <f t="shared" si="96"/>
        <v/>
      </c>
      <c r="CB265" s="47" t="str">
        <f t="shared" si="97"/>
        <v/>
      </c>
      <c r="CC265" s="47" t="str">
        <f t="shared" si="98"/>
        <v/>
      </c>
      <c r="CD265" s="47" t="str">
        <f t="shared" si="99"/>
        <v/>
      </c>
      <c r="CE265" s="47" t="str">
        <f>IF(AH265="","",IF(OR(AI265&lt;&gt;'Seasonal Tercile Tally'!$B$3,AM265&lt;&gt;'Seasonal Tercile Tally'!$B$4),"Other site/ season",IF(DT265=0,"Excluded: duplicate (later row)",IF(N265&lt;&gt;1,"Excluded: not sighted",IF(AC265&lt;&gt;1,"Excluded: not confirmed",IF(AD265&lt;&gt;1,"Excluded: not approved",IF(AP265="Contested","Excluded: contested",IF(OR(U265="",U265=0),"Excluded: no tercile",IF(CB265="","Counted (simple tally only — no weight)","Counted")))))))))</f>
        <v/>
      </c>
      <c r="CF265" s="49" t="str">
        <f>IF(AH265="","",IFERROR(INDEX('Prior Multipliers'!$C$6:$C$70,MATCH(LEFT(AH265,10),'Prior Multipliers'!$A$6:$A$70,0)),IFERROR(INDEX('Prior Multipliers'!$C$6:$C$70,MATCH(LEFT(AH265,6),'Prior Multipliers'!$A$6:$A$70,0)),IFERROR(INDEX('Prior Multipliers'!$C$6:$C$70,MATCH(LEFT(AH265,2),'Prior Multipliers'!$A$6:$A$70,0)),1))))</f>
        <v/>
      </c>
      <c r="CG265" s="49" t="str">
        <f>IF(CB265="","",IF(AND('Seasonal Tercile Tally'!$B$5=1,BT265="Rating-based"),CB265*CF265,CB265))</f>
        <v/>
      </c>
      <c r="CH265" s="47">
        <f t="shared" si="100"/>
        <v>0</v>
      </c>
      <c r="CI265" s="45"/>
      <c r="CJ265" s="42" t="str">
        <f t="shared" si="101"/>
        <v/>
      </c>
      <c r="CM265" s="42" t="str">
        <f t="shared" si="102"/>
        <v/>
      </c>
      <c r="CP265" s="46" t="str">
        <f t="shared" si="103"/>
        <v/>
      </c>
      <c r="CS265" s="46" t="str">
        <f t="shared" si="104"/>
        <v/>
      </c>
      <c r="CT265" s="42" t="str">
        <f t="shared" si="105"/>
        <v/>
      </c>
      <c r="CU265" s="42" t="str">
        <f t="shared" si="106"/>
        <v/>
      </c>
      <c r="CV265" s="42" t="str">
        <f t="shared" si="107"/>
        <v/>
      </c>
      <c r="DB265" s="45"/>
      <c r="DH265" s="42" t="str">
        <f t="shared" si="108"/>
        <v/>
      </c>
      <c r="DI265" s="43" t="str">
        <f t="shared" si="109"/>
        <v/>
      </c>
      <c r="DK265" s="46" t="str">
        <f t="shared" si="110"/>
        <v/>
      </c>
      <c r="DQ265" s="42" t="str">
        <f>IF(AH265="","",IFERROR(ROUND(100*('Weighting Options'!$D$7*IF(ISNUMBER(CA265),CA265/3,0)+'Weighting Options'!$D$8*MIN(N(BL265),3)/3+'Weighting Options'!$D$9*IF(AP265="Community/Plenary-endorsed",1,IF(AP265="FGD-validated only",0.75,IF(AP265="Sub-community-specific",0.5,IF(AP265="Provisional/emerging",0.25,0))))+'Weighting Options'!$D$10*IF(ISNUMBER(K265),K265/3,0)+'Weighting Options'!$D$11*IF(CC265="",0.5,IF(CC265="OK",1,0.25))+'Weighting Options'!$D$12*IF(DK265="",0.5,IF(DK265="Agrees",1,IF(DK265="Opposite",0,0.5)))+'Weighting Options'!$D$13*MIN(N(BG265),3)/3+'Weighting Options'!$D$14*IF(AE265=1,1,0))/SUM('Weighting Options'!$D$7:$D$14),0),""))</f>
        <v/>
      </c>
      <c r="DR265" s="44" t="str">
        <f>IF(AH265="","",IFERROR(INDEX('Weighting Options'!$D$20:$D$27,VALUE(LEFT(TRIM(BU265),1))),1))</f>
        <v/>
      </c>
      <c r="DS265" s="44" t="str">
        <f t="shared" si="111"/>
        <v/>
      </c>
      <c r="DT265" s="42" t="str">
        <f>IF(AH265="","",IF(COUNTIFS($AH$12:AH265,AH265,$AI$12:AI265,AI265,$AM$12:AM265,AM265)=1,1,0))</f>
        <v/>
      </c>
    </row>
    <row r="266" spans="16:124" ht="12.75" customHeight="1" x14ac:dyDescent="0.35">
      <c r="P266" s="41"/>
      <c r="Q266" s="41"/>
      <c r="R266" s="41"/>
      <c r="S266" s="41"/>
      <c r="AH266" s="40"/>
      <c r="AP266" s="40"/>
      <c r="AS266" s="41"/>
      <c r="AT266" s="41"/>
      <c r="AW266" t="str">
        <f t="shared" si="84"/>
        <v/>
      </c>
      <c r="AX266" t="str">
        <f t="shared" si="85"/>
        <v/>
      </c>
      <c r="AY266" t="str">
        <f t="shared" si="86"/>
        <v/>
      </c>
      <c r="AZ266" s="40"/>
      <c r="BL266" s="47" t="str">
        <f t="shared" si="87"/>
        <v/>
      </c>
      <c r="BM266" s="47" t="str">
        <f t="shared" si="88"/>
        <v/>
      </c>
      <c r="BN266" s="47" t="str">
        <f t="shared" si="89"/>
        <v/>
      </c>
      <c r="BO266" s="47" t="str">
        <f t="shared" si="90"/>
        <v/>
      </c>
      <c r="BP266" s="47" t="str">
        <f t="shared" si="91"/>
        <v/>
      </c>
      <c r="BQ266" s="48" t="str">
        <f t="shared" si="92"/>
        <v/>
      </c>
      <c r="BR266" s="48" t="str">
        <f t="shared" si="93"/>
        <v/>
      </c>
      <c r="BS266" s="48" t="str">
        <f t="shared" si="94"/>
        <v/>
      </c>
      <c r="BT266" s="47" t="str">
        <f t="shared" si="95"/>
        <v/>
      </c>
      <c r="CA266" s="47" t="str">
        <f t="shared" si="96"/>
        <v/>
      </c>
      <c r="CB266" s="47" t="str">
        <f t="shared" si="97"/>
        <v/>
      </c>
      <c r="CC266" s="47" t="str">
        <f t="shared" si="98"/>
        <v/>
      </c>
      <c r="CD266" s="47" t="str">
        <f t="shared" si="99"/>
        <v/>
      </c>
      <c r="CE266" s="47" t="str">
        <f>IF(AH266="","",IF(OR(AI266&lt;&gt;'Seasonal Tercile Tally'!$B$3,AM266&lt;&gt;'Seasonal Tercile Tally'!$B$4),"Other site/ season",IF(DT266=0,"Excluded: duplicate (later row)",IF(N266&lt;&gt;1,"Excluded: not sighted",IF(AC266&lt;&gt;1,"Excluded: not confirmed",IF(AD266&lt;&gt;1,"Excluded: not approved",IF(AP266="Contested","Excluded: contested",IF(OR(U266="",U266=0),"Excluded: no tercile",IF(CB266="","Counted (simple tally only — no weight)","Counted")))))))))</f>
        <v/>
      </c>
      <c r="CF266" s="49" t="str">
        <f>IF(AH266="","",IFERROR(INDEX('Prior Multipliers'!$C$6:$C$70,MATCH(LEFT(AH266,10),'Prior Multipliers'!$A$6:$A$70,0)),IFERROR(INDEX('Prior Multipliers'!$C$6:$C$70,MATCH(LEFT(AH266,6),'Prior Multipliers'!$A$6:$A$70,0)),IFERROR(INDEX('Prior Multipliers'!$C$6:$C$70,MATCH(LEFT(AH266,2),'Prior Multipliers'!$A$6:$A$70,0)),1))))</f>
        <v/>
      </c>
      <c r="CG266" s="49" t="str">
        <f>IF(CB266="","",IF(AND('Seasonal Tercile Tally'!$B$5=1,BT266="Rating-based"),CB266*CF266,CB266))</f>
        <v/>
      </c>
      <c r="CH266" s="47">
        <f t="shared" si="100"/>
        <v>0</v>
      </c>
      <c r="CI266" s="45"/>
      <c r="CJ266" s="42" t="str">
        <f t="shared" si="101"/>
        <v/>
      </c>
      <c r="CM266" s="42" t="str">
        <f t="shared" si="102"/>
        <v/>
      </c>
      <c r="CP266" s="46" t="str">
        <f t="shared" si="103"/>
        <v/>
      </c>
      <c r="CS266" s="46" t="str">
        <f t="shared" si="104"/>
        <v/>
      </c>
      <c r="CT266" s="42" t="str">
        <f t="shared" si="105"/>
        <v/>
      </c>
      <c r="CU266" s="42" t="str">
        <f t="shared" si="106"/>
        <v/>
      </c>
      <c r="CV266" s="42" t="str">
        <f t="shared" si="107"/>
        <v/>
      </c>
      <c r="DB266" s="45"/>
      <c r="DH266" s="42" t="str">
        <f t="shared" si="108"/>
        <v/>
      </c>
      <c r="DI266" s="43" t="str">
        <f t="shared" si="109"/>
        <v/>
      </c>
      <c r="DK266" s="46" t="str">
        <f t="shared" si="110"/>
        <v/>
      </c>
      <c r="DQ266" s="42" t="str">
        <f>IF(AH266="","",IFERROR(ROUND(100*('Weighting Options'!$D$7*IF(ISNUMBER(CA266),CA266/3,0)+'Weighting Options'!$D$8*MIN(N(BL266),3)/3+'Weighting Options'!$D$9*IF(AP266="Community/Plenary-endorsed",1,IF(AP266="FGD-validated only",0.75,IF(AP266="Sub-community-specific",0.5,IF(AP266="Provisional/emerging",0.25,0))))+'Weighting Options'!$D$10*IF(ISNUMBER(K266),K266/3,0)+'Weighting Options'!$D$11*IF(CC266="",0.5,IF(CC266="OK",1,0.25))+'Weighting Options'!$D$12*IF(DK266="",0.5,IF(DK266="Agrees",1,IF(DK266="Opposite",0,0.5)))+'Weighting Options'!$D$13*MIN(N(BG266),3)/3+'Weighting Options'!$D$14*IF(AE266=1,1,0))/SUM('Weighting Options'!$D$7:$D$14),0),""))</f>
        <v/>
      </c>
      <c r="DR266" s="44" t="str">
        <f>IF(AH266="","",IFERROR(INDEX('Weighting Options'!$D$20:$D$27,VALUE(LEFT(TRIM(BU266),1))),1))</f>
        <v/>
      </c>
      <c r="DS266" s="44" t="str">
        <f t="shared" si="111"/>
        <v/>
      </c>
      <c r="DT266" s="42" t="str">
        <f>IF(AH266="","",IF(COUNTIFS($AH$12:AH266,AH266,$AI$12:AI266,AI266,$AM$12:AM266,AM266)=1,1,0))</f>
        <v/>
      </c>
    </row>
    <row r="267" spans="16:124" ht="12.75" customHeight="1" x14ac:dyDescent="0.35">
      <c r="P267" s="41"/>
      <c r="Q267" s="41"/>
      <c r="R267" s="41"/>
      <c r="S267" s="41"/>
      <c r="AH267" s="40"/>
      <c r="AP267" s="40"/>
      <c r="AS267" s="41"/>
      <c r="AT267" s="41"/>
      <c r="AW267" t="str">
        <f t="shared" si="84"/>
        <v/>
      </c>
      <c r="AX267" t="str">
        <f t="shared" si="85"/>
        <v/>
      </c>
      <c r="AY267" t="str">
        <f t="shared" si="86"/>
        <v/>
      </c>
      <c r="AZ267" s="40"/>
      <c r="BL267" s="47" t="str">
        <f t="shared" si="87"/>
        <v/>
      </c>
      <c r="BM267" s="47" t="str">
        <f t="shared" si="88"/>
        <v/>
      </c>
      <c r="BN267" s="47" t="str">
        <f t="shared" si="89"/>
        <v/>
      </c>
      <c r="BO267" s="47" t="str">
        <f t="shared" si="90"/>
        <v/>
      </c>
      <c r="BP267" s="47" t="str">
        <f t="shared" si="91"/>
        <v/>
      </c>
      <c r="BQ267" s="48" t="str">
        <f t="shared" si="92"/>
        <v/>
      </c>
      <c r="BR267" s="48" t="str">
        <f t="shared" si="93"/>
        <v/>
      </c>
      <c r="BS267" s="48" t="str">
        <f t="shared" si="94"/>
        <v/>
      </c>
      <c r="BT267" s="47" t="str">
        <f t="shared" si="95"/>
        <v/>
      </c>
      <c r="CA267" s="47" t="str">
        <f t="shared" si="96"/>
        <v/>
      </c>
      <c r="CB267" s="47" t="str">
        <f t="shared" si="97"/>
        <v/>
      </c>
      <c r="CC267" s="47" t="str">
        <f t="shared" si="98"/>
        <v/>
      </c>
      <c r="CD267" s="47" t="str">
        <f t="shared" si="99"/>
        <v/>
      </c>
      <c r="CE267" s="47" t="str">
        <f>IF(AH267="","",IF(OR(AI267&lt;&gt;'Seasonal Tercile Tally'!$B$3,AM267&lt;&gt;'Seasonal Tercile Tally'!$B$4),"Other site/ season",IF(DT267=0,"Excluded: duplicate (later row)",IF(N267&lt;&gt;1,"Excluded: not sighted",IF(AC267&lt;&gt;1,"Excluded: not confirmed",IF(AD267&lt;&gt;1,"Excluded: not approved",IF(AP267="Contested","Excluded: contested",IF(OR(U267="",U267=0),"Excluded: no tercile",IF(CB267="","Counted (simple tally only — no weight)","Counted")))))))))</f>
        <v/>
      </c>
      <c r="CF267" s="49" t="str">
        <f>IF(AH267="","",IFERROR(INDEX('Prior Multipliers'!$C$6:$C$70,MATCH(LEFT(AH267,10),'Prior Multipliers'!$A$6:$A$70,0)),IFERROR(INDEX('Prior Multipliers'!$C$6:$C$70,MATCH(LEFT(AH267,6),'Prior Multipliers'!$A$6:$A$70,0)),IFERROR(INDEX('Prior Multipliers'!$C$6:$C$70,MATCH(LEFT(AH267,2),'Prior Multipliers'!$A$6:$A$70,0)),1))))</f>
        <v/>
      </c>
      <c r="CG267" s="49" t="str">
        <f>IF(CB267="","",IF(AND('Seasonal Tercile Tally'!$B$5=1,BT267="Rating-based"),CB267*CF267,CB267))</f>
        <v/>
      </c>
      <c r="CH267" s="47">
        <f t="shared" si="100"/>
        <v>0</v>
      </c>
      <c r="CI267" s="45"/>
      <c r="CJ267" s="42" t="str">
        <f t="shared" si="101"/>
        <v/>
      </c>
      <c r="CM267" s="42" t="str">
        <f t="shared" si="102"/>
        <v/>
      </c>
      <c r="CP267" s="46" t="str">
        <f t="shared" si="103"/>
        <v/>
      </c>
      <c r="CS267" s="46" t="str">
        <f t="shared" si="104"/>
        <v/>
      </c>
      <c r="CT267" s="42" t="str">
        <f t="shared" si="105"/>
        <v/>
      </c>
      <c r="CU267" s="42" t="str">
        <f t="shared" si="106"/>
        <v/>
      </c>
      <c r="CV267" s="42" t="str">
        <f t="shared" si="107"/>
        <v/>
      </c>
      <c r="DB267" s="45"/>
      <c r="DH267" s="42" t="str">
        <f t="shared" si="108"/>
        <v/>
      </c>
      <c r="DI267" s="43" t="str">
        <f t="shared" si="109"/>
        <v/>
      </c>
      <c r="DK267" s="46" t="str">
        <f t="shared" si="110"/>
        <v/>
      </c>
      <c r="DQ267" s="42" t="str">
        <f>IF(AH267="","",IFERROR(ROUND(100*('Weighting Options'!$D$7*IF(ISNUMBER(CA267),CA267/3,0)+'Weighting Options'!$D$8*MIN(N(BL267),3)/3+'Weighting Options'!$D$9*IF(AP267="Community/Plenary-endorsed",1,IF(AP267="FGD-validated only",0.75,IF(AP267="Sub-community-specific",0.5,IF(AP267="Provisional/emerging",0.25,0))))+'Weighting Options'!$D$10*IF(ISNUMBER(K267),K267/3,0)+'Weighting Options'!$D$11*IF(CC267="",0.5,IF(CC267="OK",1,0.25))+'Weighting Options'!$D$12*IF(DK267="",0.5,IF(DK267="Agrees",1,IF(DK267="Opposite",0,0.5)))+'Weighting Options'!$D$13*MIN(N(BG267),3)/3+'Weighting Options'!$D$14*IF(AE267=1,1,0))/SUM('Weighting Options'!$D$7:$D$14),0),""))</f>
        <v/>
      </c>
      <c r="DR267" s="44" t="str">
        <f>IF(AH267="","",IFERROR(INDEX('Weighting Options'!$D$20:$D$27,VALUE(LEFT(TRIM(BU267),1))),1))</f>
        <v/>
      </c>
      <c r="DS267" s="44" t="str">
        <f t="shared" si="111"/>
        <v/>
      </c>
      <c r="DT267" s="42" t="str">
        <f>IF(AH267="","",IF(COUNTIFS($AH$12:AH267,AH267,$AI$12:AI267,AI267,$AM$12:AM267,AM267)=1,1,0))</f>
        <v/>
      </c>
    </row>
    <row r="268" spans="16:124" ht="12.75" customHeight="1" x14ac:dyDescent="0.35">
      <c r="P268" s="41"/>
      <c r="Q268" s="41"/>
      <c r="R268" s="41"/>
      <c r="S268" s="41"/>
      <c r="AH268" s="40"/>
      <c r="AP268" s="40"/>
      <c r="AS268" s="41"/>
      <c r="AT268" s="41"/>
      <c r="AW268" t="str">
        <f t="shared" ref="AW268:AW331" si="112">IF(OR(AS268="",P268=""),"",IF(AS268&lt;P268,"Early",IF(AS268&gt;IF(Q268="",P268,Q268),"Late","Within window")))</f>
        <v/>
      </c>
      <c r="AX268" t="str">
        <f t="shared" ref="AX268:AX331" si="113">IF(OR(AT268="",R268=""),"",IF(AT268&lt;R268,"Early",IF(AT268&gt;IF(S268="",R268,S268),"Late","Within window")))</f>
        <v/>
      </c>
      <c r="AY268" t="str">
        <f t="shared" ref="AY268:AY331" si="114">IF(OR(AU268="",T268="",T268=0),"",IF(AU268=T268,"Matched",IF(ABS(AU268-T268)=1,"Off by one class","Missed")))</f>
        <v/>
      </c>
      <c r="AZ268" s="40"/>
      <c r="BL268" s="47" t="str">
        <f t="shared" ref="BL268:BL331" si="115">IF(AH268="","",COUNTIFS($AH$12:$AH$500,AH268,$AC$12:$AC$500,1,$AD$12:$AD$500,1,$DT$12:$DT$500,1))</f>
        <v/>
      </c>
      <c r="BM268" s="47" t="str">
        <f t="shared" ref="BM268:BM331" si="116">IF(AH268="","",BN268+BO268+BP268)</f>
        <v/>
      </c>
      <c r="BN268" s="47" t="str">
        <f t="shared" ref="BN268:BN331" si="117">IF(AH268="","",COUNTIFS($AH$12:$AH$500,AH268,$AZ$12:$AZ$500,"Hit",$DT$12:$DT$500,1))</f>
        <v/>
      </c>
      <c r="BO268" s="47" t="str">
        <f t="shared" ref="BO268:BO331" si="118">IF(AH268="","",COUNTIFS($AH$12:$AH$500,AH268,$AZ$12:$AZ$500,"Miss",$DT$12:$DT$500,1))</f>
        <v/>
      </c>
      <c r="BP268" s="47" t="str">
        <f t="shared" ref="BP268:BP331" si="119">IF(AH268="","",COUNTIFS($AH$12:$AH$500,AH268,$AZ$12:$AZ$500,"False Start",$DT$12:$DT$500,1))</f>
        <v/>
      </c>
      <c r="BQ268" s="48" t="str">
        <f t="shared" ref="BQ268:BQ331" si="120">IF(OR(AH268="",BM268="",BM268=0),"",BN268/BM268)</f>
        <v/>
      </c>
      <c r="BR268" s="48" t="str">
        <f t="shared" ref="BR268:BR331" si="121">IF(OR(AH268="",BM268="",BM268=0),"",BO268/BM268)</f>
        <v/>
      </c>
      <c r="BS268" s="48" t="str">
        <f t="shared" ref="BS268:BS331" si="122">IF(OR(AH268="",BM268="",BM268=0),"",BP268/BM268)</f>
        <v/>
      </c>
      <c r="BT268" s="47" t="str">
        <f t="shared" ref="BT268:BT331" si="123">IF(AH268="","",IF(BM268&gt;=3,"Hit-rate-based","Rating-based"))</f>
        <v/>
      </c>
      <c r="CA268" s="47" t="str">
        <f t="shared" ref="CA268:CA331" si="124">IF(AH268="","",IF(BT268="Hit-rate-based",MIN(IF(BL268&lt;2,2,3),IF(BQ268&gt;=0.7,3,IF(BQ268&gt;=0.4,2,1))),IF(OR(M268="",M268=0),"",MIN(IF(BL268&lt;2,2,3),M268))))</f>
        <v/>
      </c>
      <c r="CB268" s="47" t="str">
        <f t="shared" ref="CB268:CB331" si="125">IF(OR(AH268="",CA268=""),"",CA268*IF(OR(V268="",V268=0),1,V268))</f>
        <v/>
      </c>
      <c r="CC268" s="47" t="str">
        <f t="shared" ref="CC268:CC331" si="126">IF(OR(AH268="",L268="",M268="",L268=0,M268=0),"",IF(ABS(L268-M268)&gt;=2,"FLAG: Review — large swing","OK"))</f>
        <v/>
      </c>
      <c r="CD268" s="47" t="str">
        <f t="shared" ref="CD268:CD331" si="127">IF(AH268="","",IF(COUNTIFS($AH$12:$AH$500,AH268,$AI$12:$AI$500,AI268,$AM$12:$AM$500,AM268)&gt;1,"DUPLICATE: same ID, site and season",IF(AND(N268=1,U268&lt;&gt;"",U268&lt;&gt;0,OR(V268="",V268=0)),"Check: decision relevance missing","OK")))</f>
        <v/>
      </c>
      <c r="CE268" s="47" t="str">
        <f>IF(AH268="","",IF(OR(AI268&lt;&gt;'Seasonal Tercile Tally'!$B$3,AM268&lt;&gt;'Seasonal Tercile Tally'!$B$4),"Other site/ season",IF(DT268=0,"Excluded: duplicate (later row)",IF(N268&lt;&gt;1,"Excluded: not sighted",IF(AC268&lt;&gt;1,"Excluded: not confirmed",IF(AD268&lt;&gt;1,"Excluded: not approved",IF(AP268="Contested","Excluded: contested",IF(OR(U268="",U268=0),"Excluded: no tercile",IF(CB268="","Counted (simple tally only — no weight)","Counted")))))))))</f>
        <v/>
      </c>
      <c r="CF268" s="49" t="str">
        <f>IF(AH268="","",IFERROR(INDEX('Prior Multipliers'!$C$6:$C$70,MATCH(LEFT(AH268,10),'Prior Multipliers'!$A$6:$A$70,0)),IFERROR(INDEX('Prior Multipliers'!$C$6:$C$70,MATCH(LEFT(AH268,6),'Prior Multipliers'!$A$6:$A$70,0)),IFERROR(INDEX('Prior Multipliers'!$C$6:$C$70,MATCH(LEFT(AH268,2),'Prior Multipliers'!$A$6:$A$70,0)),1))))</f>
        <v/>
      </c>
      <c r="CG268" s="49" t="str">
        <f>IF(CB268="","",IF(AND('Seasonal Tercile Tally'!$B$5=1,BT268="Rating-based"),CB268*CF268,CB268))</f>
        <v/>
      </c>
      <c r="CH268" s="47">
        <f t="shared" ref="CH268:CH331" si="128">IF(ISNUMBER(CG268),CG268,0)</f>
        <v>0</v>
      </c>
      <c r="CI268" s="45"/>
      <c r="CJ268" s="42" t="str">
        <f t="shared" ref="CJ268:CJ331" si="129">IF(CI268="","",MONTH(CI268))</f>
        <v/>
      </c>
      <c r="CM268" s="42" t="str">
        <f t="shared" ref="CM268:CM331" si="130">IF(OR(CJ268="",CL268=""),"",MOD(CJ268-CL268+6,12)-6)</f>
        <v/>
      </c>
      <c r="CP268" s="46" t="str">
        <f t="shared" ref="CP268:CP331" si="131">IF(AH268="","",CHOOSE(MIN(IF(CM268="",0,IF(ABS(CM268)&gt;=1,1,0))+IF(LEFT(CC268,4)="FLAG",1,0)+IF(OR(CN268="",CN268="No change",CN268="Not sure"),0,1)+IF(AND(ISNUMBER(L268),ISNUMBER(M268)),IF(AND(M268&gt;0,L268-M268&gt;=1),1,0),0)+IF(N(BM268)&gt;=3,IF(N(BQ268)&lt;0.4,1,0),0),2)+1,"No change signal","Watch: one change signal","STRONG: possible climate-change impact — review"))</f>
        <v/>
      </c>
      <c r="CS268" s="46" t="str">
        <f t="shared" ref="CS268:CS331" si="132">IF(CR268="","",IF(CR268&gt;=35,3,IF(CR268&gt;=20,2,1)))</f>
        <v/>
      </c>
      <c r="CT268" s="42" t="str">
        <f t="shared" ref="CT268:CT331" si="133">IF(OR(CS268="",CQ268="",CQ268=0),"",IF(CQ268=CS268,"Matched",IF(ABS(CQ268-CS268)=1,"Off by one class","Missed")))</f>
        <v/>
      </c>
      <c r="CU268" s="42" t="str">
        <f t="shared" ref="CU268:CU331" si="134">IF(OR(CI268="",P268=""),"",IF(P268-CI268&lt;0,"",P268-CI268))</f>
        <v/>
      </c>
      <c r="CV268" s="42" t="str">
        <f t="shared" ref="CV268:CV331" si="135">IF(CU268="","",IF(CU268&gt;=60,"Strategic (season)",IF(CU268&gt;=7,"Tactical (1 week–2 months)",IF(CU268&gt;=3,"Operational (3–6 days)","Emergency (0–2 days)"))))</f>
        <v/>
      </c>
      <c r="DB268" s="45"/>
      <c r="DH268" s="42" t="str">
        <f t="shared" ref="DH268:DH331" si="136">IF(OR(DB268="",P268=""),"",P268-DB268)</f>
        <v/>
      </c>
      <c r="DI268" s="43" t="str">
        <f t="shared" ref="DI268:DI331" si="137">IF(OR(DD268="",DE268=""),"",IF(DD268=0,"",DE268/DD268))</f>
        <v/>
      </c>
      <c r="DK268" s="46" t="str">
        <f t="shared" ref="DK268:DK331" si="138">IF(OR(DJ268="",U268="",U268=0),"",IF(U268=DJ268,"Agrees",IF(ABS(U268-DJ268)=1,"Differs by one class","Opposite")))</f>
        <v/>
      </c>
      <c r="DQ268" s="42" t="str">
        <f>IF(AH268="","",IFERROR(ROUND(100*('Weighting Options'!$D$7*IF(ISNUMBER(CA268),CA268/3,0)+'Weighting Options'!$D$8*MIN(N(BL268),3)/3+'Weighting Options'!$D$9*IF(AP268="Community/Plenary-endorsed",1,IF(AP268="FGD-validated only",0.75,IF(AP268="Sub-community-specific",0.5,IF(AP268="Provisional/emerging",0.25,0))))+'Weighting Options'!$D$10*IF(ISNUMBER(K268),K268/3,0)+'Weighting Options'!$D$11*IF(CC268="",0.5,IF(CC268="OK",1,0.25))+'Weighting Options'!$D$12*IF(DK268="",0.5,IF(DK268="Agrees",1,IF(DK268="Opposite",0,0.5)))+'Weighting Options'!$D$13*MIN(N(BG268),3)/3+'Weighting Options'!$D$14*IF(AE268=1,1,0))/SUM('Weighting Options'!$D$7:$D$14),0),""))</f>
        <v/>
      </c>
      <c r="DR268" s="44" t="str">
        <f>IF(AH268="","",IFERROR(INDEX('Weighting Options'!$D$20:$D$27,VALUE(LEFT(TRIM(BU268),1))),1))</f>
        <v/>
      </c>
      <c r="DS268" s="44" t="str">
        <f t="shared" ref="DS268:DS331" si="139">IF(OR(CG268="",DR268=""),"",CG268*DR268)</f>
        <v/>
      </c>
      <c r="DT268" s="42" t="str">
        <f>IF(AH268="","",IF(COUNTIFS($AH$12:AH268,AH268,$AI$12:AI268,AI268,$AM$12:AM268,AM268)=1,1,0))</f>
        <v/>
      </c>
    </row>
    <row r="269" spans="16:124" ht="12.75" customHeight="1" x14ac:dyDescent="0.35">
      <c r="P269" s="41"/>
      <c r="Q269" s="41"/>
      <c r="R269" s="41"/>
      <c r="S269" s="41"/>
      <c r="AH269" s="40"/>
      <c r="AP269" s="40"/>
      <c r="AS269" s="41"/>
      <c r="AT269" s="41"/>
      <c r="AW269" t="str">
        <f t="shared" si="112"/>
        <v/>
      </c>
      <c r="AX269" t="str">
        <f t="shared" si="113"/>
        <v/>
      </c>
      <c r="AY269" t="str">
        <f t="shared" si="114"/>
        <v/>
      </c>
      <c r="AZ269" s="40"/>
      <c r="BL269" s="47" t="str">
        <f t="shared" si="115"/>
        <v/>
      </c>
      <c r="BM269" s="47" t="str">
        <f t="shared" si="116"/>
        <v/>
      </c>
      <c r="BN269" s="47" t="str">
        <f t="shared" si="117"/>
        <v/>
      </c>
      <c r="BO269" s="47" t="str">
        <f t="shared" si="118"/>
        <v/>
      </c>
      <c r="BP269" s="47" t="str">
        <f t="shared" si="119"/>
        <v/>
      </c>
      <c r="BQ269" s="48" t="str">
        <f t="shared" si="120"/>
        <v/>
      </c>
      <c r="BR269" s="48" t="str">
        <f t="shared" si="121"/>
        <v/>
      </c>
      <c r="BS269" s="48" t="str">
        <f t="shared" si="122"/>
        <v/>
      </c>
      <c r="BT269" s="47" t="str">
        <f t="shared" si="123"/>
        <v/>
      </c>
      <c r="CA269" s="47" t="str">
        <f t="shared" si="124"/>
        <v/>
      </c>
      <c r="CB269" s="47" t="str">
        <f t="shared" si="125"/>
        <v/>
      </c>
      <c r="CC269" s="47" t="str">
        <f t="shared" si="126"/>
        <v/>
      </c>
      <c r="CD269" s="47" t="str">
        <f t="shared" si="127"/>
        <v/>
      </c>
      <c r="CE269" s="47" t="str">
        <f>IF(AH269="","",IF(OR(AI269&lt;&gt;'Seasonal Tercile Tally'!$B$3,AM269&lt;&gt;'Seasonal Tercile Tally'!$B$4),"Other site/ season",IF(DT269=0,"Excluded: duplicate (later row)",IF(N269&lt;&gt;1,"Excluded: not sighted",IF(AC269&lt;&gt;1,"Excluded: not confirmed",IF(AD269&lt;&gt;1,"Excluded: not approved",IF(AP269="Contested","Excluded: contested",IF(OR(U269="",U269=0),"Excluded: no tercile",IF(CB269="","Counted (simple tally only — no weight)","Counted")))))))))</f>
        <v/>
      </c>
      <c r="CF269" s="49" t="str">
        <f>IF(AH269="","",IFERROR(INDEX('Prior Multipliers'!$C$6:$C$70,MATCH(LEFT(AH269,10),'Prior Multipliers'!$A$6:$A$70,0)),IFERROR(INDEX('Prior Multipliers'!$C$6:$C$70,MATCH(LEFT(AH269,6),'Prior Multipliers'!$A$6:$A$70,0)),IFERROR(INDEX('Prior Multipliers'!$C$6:$C$70,MATCH(LEFT(AH269,2),'Prior Multipliers'!$A$6:$A$70,0)),1))))</f>
        <v/>
      </c>
      <c r="CG269" s="49" t="str">
        <f>IF(CB269="","",IF(AND('Seasonal Tercile Tally'!$B$5=1,BT269="Rating-based"),CB269*CF269,CB269))</f>
        <v/>
      </c>
      <c r="CH269" s="47">
        <f t="shared" si="128"/>
        <v>0</v>
      </c>
      <c r="CI269" s="45"/>
      <c r="CJ269" s="42" t="str">
        <f t="shared" si="129"/>
        <v/>
      </c>
      <c r="CM269" s="42" t="str">
        <f t="shared" si="130"/>
        <v/>
      </c>
      <c r="CP269" s="46" t="str">
        <f t="shared" si="131"/>
        <v/>
      </c>
      <c r="CS269" s="46" t="str">
        <f t="shared" si="132"/>
        <v/>
      </c>
      <c r="CT269" s="42" t="str">
        <f t="shared" si="133"/>
        <v/>
      </c>
      <c r="CU269" s="42" t="str">
        <f t="shared" si="134"/>
        <v/>
      </c>
      <c r="CV269" s="42" t="str">
        <f t="shared" si="135"/>
        <v/>
      </c>
      <c r="DB269" s="45"/>
      <c r="DH269" s="42" t="str">
        <f t="shared" si="136"/>
        <v/>
      </c>
      <c r="DI269" s="43" t="str">
        <f t="shared" si="137"/>
        <v/>
      </c>
      <c r="DK269" s="46" t="str">
        <f t="shared" si="138"/>
        <v/>
      </c>
      <c r="DQ269" s="42" t="str">
        <f>IF(AH269="","",IFERROR(ROUND(100*('Weighting Options'!$D$7*IF(ISNUMBER(CA269),CA269/3,0)+'Weighting Options'!$D$8*MIN(N(BL269),3)/3+'Weighting Options'!$D$9*IF(AP269="Community/Plenary-endorsed",1,IF(AP269="FGD-validated only",0.75,IF(AP269="Sub-community-specific",0.5,IF(AP269="Provisional/emerging",0.25,0))))+'Weighting Options'!$D$10*IF(ISNUMBER(K269),K269/3,0)+'Weighting Options'!$D$11*IF(CC269="",0.5,IF(CC269="OK",1,0.25))+'Weighting Options'!$D$12*IF(DK269="",0.5,IF(DK269="Agrees",1,IF(DK269="Opposite",0,0.5)))+'Weighting Options'!$D$13*MIN(N(BG269),3)/3+'Weighting Options'!$D$14*IF(AE269=1,1,0))/SUM('Weighting Options'!$D$7:$D$14),0),""))</f>
        <v/>
      </c>
      <c r="DR269" s="44" t="str">
        <f>IF(AH269="","",IFERROR(INDEX('Weighting Options'!$D$20:$D$27,VALUE(LEFT(TRIM(BU269),1))),1))</f>
        <v/>
      </c>
      <c r="DS269" s="44" t="str">
        <f t="shared" si="139"/>
        <v/>
      </c>
      <c r="DT269" s="42" t="str">
        <f>IF(AH269="","",IF(COUNTIFS($AH$12:AH269,AH269,$AI$12:AI269,AI269,$AM$12:AM269,AM269)=1,1,0))</f>
        <v/>
      </c>
    </row>
    <row r="270" spans="16:124" ht="12.75" customHeight="1" x14ac:dyDescent="0.35">
      <c r="P270" s="41"/>
      <c r="Q270" s="41"/>
      <c r="R270" s="41"/>
      <c r="S270" s="41"/>
      <c r="AH270" s="40"/>
      <c r="AP270" s="40"/>
      <c r="AS270" s="41"/>
      <c r="AT270" s="41"/>
      <c r="AW270" t="str">
        <f t="shared" si="112"/>
        <v/>
      </c>
      <c r="AX270" t="str">
        <f t="shared" si="113"/>
        <v/>
      </c>
      <c r="AY270" t="str">
        <f t="shared" si="114"/>
        <v/>
      </c>
      <c r="AZ270" s="40"/>
      <c r="BL270" s="47" t="str">
        <f t="shared" si="115"/>
        <v/>
      </c>
      <c r="BM270" s="47" t="str">
        <f t="shared" si="116"/>
        <v/>
      </c>
      <c r="BN270" s="47" t="str">
        <f t="shared" si="117"/>
        <v/>
      </c>
      <c r="BO270" s="47" t="str">
        <f t="shared" si="118"/>
        <v/>
      </c>
      <c r="BP270" s="47" t="str">
        <f t="shared" si="119"/>
        <v/>
      </c>
      <c r="BQ270" s="48" t="str">
        <f t="shared" si="120"/>
        <v/>
      </c>
      <c r="BR270" s="48" t="str">
        <f t="shared" si="121"/>
        <v/>
      </c>
      <c r="BS270" s="48" t="str">
        <f t="shared" si="122"/>
        <v/>
      </c>
      <c r="BT270" s="47" t="str">
        <f t="shared" si="123"/>
        <v/>
      </c>
      <c r="CA270" s="47" t="str">
        <f t="shared" si="124"/>
        <v/>
      </c>
      <c r="CB270" s="47" t="str">
        <f t="shared" si="125"/>
        <v/>
      </c>
      <c r="CC270" s="47" t="str">
        <f t="shared" si="126"/>
        <v/>
      </c>
      <c r="CD270" s="47" t="str">
        <f t="shared" si="127"/>
        <v/>
      </c>
      <c r="CE270" s="47" t="str">
        <f>IF(AH270="","",IF(OR(AI270&lt;&gt;'Seasonal Tercile Tally'!$B$3,AM270&lt;&gt;'Seasonal Tercile Tally'!$B$4),"Other site/ season",IF(DT270=0,"Excluded: duplicate (later row)",IF(N270&lt;&gt;1,"Excluded: not sighted",IF(AC270&lt;&gt;1,"Excluded: not confirmed",IF(AD270&lt;&gt;1,"Excluded: not approved",IF(AP270="Contested","Excluded: contested",IF(OR(U270="",U270=0),"Excluded: no tercile",IF(CB270="","Counted (simple tally only — no weight)","Counted")))))))))</f>
        <v/>
      </c>
      <c r="CF270" s="49" t="str">
        <f>IF(AH270="","",IFERROR(INDEX('Prior Multipliers'!$C$6:$C$70,MATCH(LEFT(AH270,10),'Prior Multipliers'!$A$6:$A$70,0)),IFERROR(INDEX('Prior Multipliers'!$C$6:$C$70,MATCH(LEFT(AH270,6),'Prior Multipliers'!$A$6:$A$70,0)),IFERROR(INDEX('Prior Multipliers'!$C$6:$C$70,MATCH(LEFT(AH270,2),'Prior Multipliers'!$A$6:$A$70,0)),1))))</f>
        <v/>
      </c>
      <c r="CG270" s="49" t="str">
        <f>IF(CB270="","",IF(AND('Seasonal Tercile Tally'!$B$5=1,BT270="Rating-based"),CB270*CF270,CB270))</f>
        <v/>
      </c>
      <c r="CH270" s="47">
        <f t="shared" si="128"/>
        <v>0</v>
      </c>
      <c r="CI270" s="45"/>
      <c r="CJ270" s="42" t="str">
        <f t="shared" si="129"/>
        <v/>
      </c>
      <c r="CM270" s="42" t="str">
        <f t="shared" si="130"/>
        <v/>
      </c>
      <c r="CP270" s="46" t="str">
        <f t="shared" si="131"/>
        <v/>
      </c>
      <c r="CS270" s="46" t="str">
        <f t="shared" si="132"/>
        <v/>
      </c>
      <c r="CT270" s="42" t="str">
        <f t="shared" si="133"/>
        <v/>
      </c>
      <c r="CU270" s="42" t="str">
        <f t="shared" si="134"/>
        <v/>
      </c>
      <c r="CV270" s="42" t="str">
        <f t="shared" si="135"/>
        <v/>
      </c>
      <c r="DB270" s="45"/>
      <c r="DH270" s="42" t="str">
        <f t="shared" si="136"/>
        <v/>
      </c>
      <c r="DI270" s="43" t="str">
        <f t="shared" si="137"/>
        <v/>
      </c>
      <c r="DK270" s="46" t="str">
        <f t="shared" si="138"/>
        <v/>
      </c>
      <c r="DQ270" s="42" t="str">
        <f>IF(AH270="","",IFERROR(ROUND(100*('Weighting Options'!$D$7*IF(ISNUMBER(CA270),CA270/3,0)+'Weighting Options'!$D$8*MIN(N(BL270),3)/3+'Weighting Options'!$D$9*IF(AP270="Community/Plenary-endorsed",1,IF(AP270="FGD-validated only",0.75,IF(AP270="Sub-community-specific",0.5,IF(AP270="Provisional/emerging",0.25,0))))+'Weighting Options'!$D$10*IF(ISNUMBER(K270),K270/3,0)+'Weighting Options'!$D$11*IF(CC270="",0.5,IF(CC270="OK",1,0.25))+'Weighting Options'!$D$12*IF(DK270="",0.5,IF(DK270="Agrees",1,IF(DK270="Opposite",0,0.5)))+'Weighting Options'!$D$13*MIN(N(BG270),3)/3+'Weighting Options'!$D$14*IF(AE270=1,1,0))/SUM('Weighting Options'!$D$7:$D$14),0),""))</f>
        <v/>
      </c>
      <c r="DR270" s="44" t="str">
        <f>IF(AH270="","",IFERROR(INDEX('Weighting Options'!$D$20:$D$27,VALUE(LEFT(TRIM(BU270),1))),1))</f>
        <v/>
      </c>
      <c r="DS270" s="44" t="str">
        <f t="shared" si="139"/>
        <v/>
      </c>
      <c r="DT270" s="42" t="str">
        <f>IF(AH270="","",IF(COUNTIFS($AH$12:AH270,AH270,$AI$12:AI270,AI270,$AM$12:AM270,AM270)=1,1,0))</f>
        <v/>
      </c>
    </row>
    <row r="271" spans="16:124" ht="12.75" customHeight="1" x14ac:dyDescent="0.35">
      <c r="P271" s="41"/>
      <c r="Q271" s="41"/>
      <c r="R271" s="41"/>
      <c r="S271" s="41"/>
      <c r="AH271" s="40"/>
      <c r="AP271" s="40"/>
      <c r="AS271" s="41"/>
      <c r="AT271" s="41"/>
      <c r="AW271" t="str">
        <f t="shared" si="112"/>
        <v/>
      </c>
      <c r="AX271" t="str">
        <f t="shared" si="113"/>
        <v/>
      </c>
      <c r="AY271" t="str">
        <f t="shared" si="114"/>
        <v/>
      </c>
      <c r="AZ271" s="40"/>
      <c r="BL271" s="47" t="str">
        <f t="shared" si="115"/>
        <v/>
      </c>
      <c r="BM271" s="47" t="str">
        <f t="shared" si="116"/>
        <v/>
      </c>
      <c r="BN271" s="47" t="str">
        <f t="shared" si="117"/>
        <v/>
      </c>
      <c r="BO271" s="47" t="str">
        <f t="shared" si="118"/>
        <v/>
      </c>
      <c r="BP271" s="47" t="str">
        <f t="shared" si="119"/>
        <v/>
      </c>
      <c r="BQ271" s="48" t="str">
        <f t="shared" si="120"/>
        <v/>
      </c>
      <c r="BR271" s="48" t="str">
        <f t="shared" si="121"/>
        <v/>
      </c>
      <c r="BS271" s="48" t="str">
        <f t="shared" si="122"/>
        <v/>
      </c>
      <c r="BT271" s="47" t="str">
        <f t="shared" si="123"/>
        <v/>
      </c>
      <c r="CA271" s="47" t="str">
        <f t="shared" si="124"/>
        <v/>
      </c>
      <c r="CB271" s="47" t="str">
        <f t="shared" si="125"/>
        <v/>
      </c>
      <c r="CC271" s="47" t="str">
        <f t="shared" si="126"/>
        <v/>
      </c>
      <c r="CD271" s="47" t="str">
        <f t="shared" si="127"/>
        <v/>
      </c>
      <c r="CE271" s="47" t="str">
        <f>IF(AH271="","",IF(OR(AI271&lt;&gt;'Seasonal Tercile Tally'!$B$3,AM271&lt;&gt;'Seasonal Tercile Tally'!$B$4),"Other site/ season",IF(DT271=0,"Excluded: duplicate (later row)",IF(N271&lt;&gt;1,"Excluded: not sighted",IF(AC271&lt;&gt;1,"Excluded: not confirmed",IF(AD271&lt;&gt;1,"Excluded: not approved",IF(AP271="Contested","Excluded: contested",IF(OR(U271="",U271=0),"Excluded: no tercile",IF(CB271="","Counted (simple tally only — no weight)","Counted")))))))))</f>
        <v/>
      </c>
      <c r="CF271" s="49" t="str">
        <f>IF(AH271="","",IFERROR(INDEX('Prior Multipliers'!$C$6:$C$70,MATCH(LEFT(AH271,10),'Prior Multipliers'!$A$6:$A$70,0)),IFERROR(INDEX('Prior Multipliers'!$C$6:$C$70,MATCH(LEFT(AH271,6),'Prior Multipliers'!$A$6:$A$70,0)),IFERROR(INDEX('Prior Multipliers'!$C$6:$C$70,MATCH(LEFT(AH271,2),'Prior Multipliers'!$A$6:$A$70,0)),1))))</f>
        <v/>
      </c>
      <c r="CG271" s="49" t="str">
        <f>IF(CB271="","",IF(AND('Seasonal Tercile Tally'!$B$5=1,BT271="Rating-based"),CB271*CF271,CB271))</f>
        <v/>
      </c>
      <c r="CH271" s="47">
        <f t="shared" si="128"/>
        <v>0</v>
      </c>
      <c r="CI271" s="45"/>
      <c r="CJ271" s="42" t="str">
        <f t="shared" si="129"/>
        <v/>
      </c>
      <c r="CM271" s="42" t="str">
        <f t="shared" si="130"/>
        <v/>
      </c>
      <c r="CP271" s="46" t="str">
        <f t="shared" si="131"/>
        <v/>
      </c>
      <c r="CS271" s="46" t="str">
        <f t="shared" si="132"/>
        <v/>
      </c>
      <c r="CT271" s="42" t="str">
        <f t="shared" si="133"/>
        <v/>
      </c>
      <c r="CU271" s="42" t="str">
        <f t="shared" si="134"/>
        <v/>
      </c>
      <c r="CV271" s="42" t="str">
        <f t="shared" si="135"/>
        <v/>
      </c>
      <c r="DB271" s="45"/>
      <c r="DH271" s="42" t="str">
        <f t="shared" si="136"/>
        <v/>
      </c>
      <c r="DI271" s="43" t="str">
        <f t="shared" si="137"/>
        <v/>
      </c>
      <c r="DK271" s="46" t="str">
        <f t="shared" si="138"/>
        <v/>
      </c>
      <c r="DQ271" s="42" t="str">
        <f>IF(AH271="","",IFERROR(ROUND(100*('Weighting Options'!$D$7*IF(ISNUMBER(CA271),CA271/3,0)+'Weighting Options'!$D$8*MIN(N(BL271),3)/3+'Weighting Options'!$D$9*IF(AP271="Community/Plenary-endorsed",1,IF(AP271="FGD-validated only",0.75,IF(AP271="Sub-community-specific",0.5,IF(AP271="Provisional/emerging",0.25,0))))+'Weighting Options'!$D$10*IF(ISNUMBER(K271),K271/3,0)+'Weighting Options'!$D$11*IF(CC271="",0.5,IF(CC271="OK",1,0.25))+'Weighting Options'!$D$12*IF(DK271="",0.5,IF(DK271="Agrees",1,IF(DK271="Opposite",0,0.5)))+'Weighting Options'!$D$13*MIN(N(BG271),3)/3+'Weighting Options'!$D$14*IF(AE271=1,1,0))/SUM('Weighting Options'!$D$7:$D$14),0),""))</f>
        <v/>
      </c>
      <c r="DR271" s="44" t="str">
        <f>IF(AH271="","",IFERROR(INDEX('Weighting Options'!$D$20:$D$27,VALUE(LEFT(TRIM(BU271),1))),1))</f>
        <v/>
      </c>
      <c r="DS271" s="44" t="str">
        <f t="shared" si="139"/>
        <v/>
      </c>
      <c r="DT271" s="42" t="str">
        <f>IF(AH271="","",IF(COUNTIFS($AH$12:AH271,AH271,$AI$12:AI271,AI271,$AM$12:AM271,AM271)=1,1,0))</f>
        <v/>
      </c>
    </row>
    <row r="272" spans="16:124" ht="12.75" customHeight="1" x14ac:dyDescent="0.35">
      <c r="P272" s="41"/>
      <c r="Q272" s="41"/>
      <c r="R272" s="41"/>
      <c r="S272" s="41"/>
      <c r="AH272" s="40"/>
      <c r="AP272" s="40"/>
      <c r="AS272" s="41"/>
      <c r="AT272" s="41"/>
      <c r="AW272" t="str">
        <f t="shared" si="112"/>
        <v/>
      </c>
      <c r="AX272" t="str">
        <f t="shared" si="113"/>
        <v/>
      </c>
      <c r="AY272" t="str">
        <f t="shared" si="114"/>
        <v/>
      </c>
      <c r="AZ272" s="40"/>
      <c r="BL272" s="47" t="str">
        <f t="shared" si="115"/>
        <v/>
      </c>
      <c r="BM272" s="47" t="str">
        <f t="shared" si="116"/>
        <v/>
      </c>
      <c r="BN272" s="47" t="str">
        <f t="shared" si="117"/>
        <v/>
      </c>
      <c r="BO272" s="47" t="str">
        <f t="shared" si="118"/>
        <v/>
      </c>
      <c r="BP272" s="47" t="str">
        <f t="shared" si="119"/>
        <v/>
      </c>
      <c r="BQ272" s="48" t="str">
        <f t="shared" si="120"/>
        <v/>
      </c>
      <c r="BR272" s="48" t="str">
        <f t="shared" si="121"/>
        <v/>
      </c>
      <c r="BS272" s="48" t="str">
        <f t="shared" si="122"/>
        <v/>
      </c>
      <c r="BT272" s="47" t="str">
        <f t="shared" si="123"/>
        <v/>
      </c>
      <c r="CA272" s="47" t="str">
        <f t="shared" si="124"/>
        <v/>
      </c>
      <c r="CB272" s="47" t="str">
        <f t="shared" si="125"/>
        <v/>
      </c>
      <c r="CC272" s="47" t="str">
        <f t="shared" si="126"/>
        <v/>
      </c>
      <c r="CD272" s="47" t="str">
        <f t="shared" si="127"/>
        <v/>
      </c>
      <c r="CE272" s="47" t="str">
        <f>IF(AH272="","",IF(OR(AI272&lt;&gt;'Seasonal Tercile Tally'!$B$3,AM272&lt;&gt;'Seasonal Tercile Tally'!$B$4),"Other site/ season",IF(DT272=0,"Excluded: duplicate (later row)",IF(N272&lt;&gt;1,"Excluded: not sighted",IF(AC272&lt;&gt;1,"Excluded: not confirmed",IF(AD272&lt;&gt;1,"Excluded: not approved",IF(AP272="Contested","Excluded: contested",IF(OR(U272="",U272=0),"Excluded: no tercile",IF(CB272="","Counted (simple tally only — no weight)","Counted")))))))))</f>
        <v/>
      </c>
      <c r="CF272" s="49" t="str">
        <f>IF(AH272="","",IFERROR(INDEX('Prior Multipliers'!$C$6:$C$70,MATCH(LEFT(AH272,10),'Prior Multipliers'!$A$6:$A$70,0)),IFERROR(INDEX('Prior Multipliers'!$C$6:$C$70,MATCH(LEFT(AH272,6),'Prior Multipliers'!$A$6:$A$70,0)),IFERROR(INDEX('Prior Multipliers'!$C$6:$C$70,MATCH(LEFT(AH272,2),'Prior Multipliers'!$A$6:$A$70,0)),1))))</f>
        <v/>
      </c>
      <c r="CG272" s="49" t="str">
        <f>IF(CB272="","",IF(AND('Seasonal Tercile Tally'!$B$5=1,BT272="Rating-based"),CB272*CF272,CB272))</f>
        <v/>
      </c>
      <c r="CH272" s="47">
        <f t="shared" si="128"/>
        <v>0</v>
      </c>
      <c r="CI272" s="45"/>
      <c r="CJ272" s="42" t="str">
        <f t="shared" si="129"/>
        <v/>
      </c>
      <c r="CM272" s="42" t="str">
        <f t="shared" si="130"/>
        <v/>
      </c>
      <c r="CP272" s="46" t="str">
        <f t="shared" si="131"/>
        <v/>
      </c>
      <c r="CS272" s="46" t="str">
        <f t="shared" si="132"/>
        <v/>
      </c>
      <c r="CT272" s="42" t="str">
        <f t="shared" si="133"/>
        <v/>
      </c>
      <c r="CU272" s="42" t="str">
        <f t="shared" si="134"/>
        <v/>
      </c>
      <c r="CV272" s="42" t="str">
        <f t="shared" si="135"/>
        <v/>
      </c>
      <c r="DB272" s="45"/>
      <c r="DH272" s="42" t="str">
        <f t="shared" si="136"/>
        <v/>
      </c>
      <c r="DI272" s="43" t="str">
        <f t="shared" si="137"/>
        <v/>
      </c>
      <c r="DK272" s="46" t="str">
        <f t="shared" si="138"/>
        <v/>
      </c>
      <c r="DQ272" s="42" t="str">
        <f>IF(AH272="","",IFERROR(ROUND(100*('Weighting Options'!$D$7*IF(ISNUMBER(CA272),CA272/3,0)+'Weighting Options'!$D$8*MIN(N(BL272),3)/3+'Weighting Options'!$D$9*IF(AP272="Community/Plenary-endorsed",1,IF(AP272="FGD-validated only",0.75,IF(AP272="Sub-community-specific",0.5,IF(AP272="Provisional/emerging",0.25,0))))+'Weighting Options'!$D$10*IF(ISNUMBER(K272),K272/3,0)+'Weighting Options'!$D$11*IF(CC272="",0.5,IF(CC272="OK",1,0.25))+'Weighting Options'!$D$12*IF(DK272="",0.5,IF(DK272="Agrees",1,IF(DK272="Opposite",0,0.5)))+'Weighting Options'!$D$13*MIN(N(BG272),3)/3+'Weighting Options'!$D$14*IF(AE272=1,1,0))/SUM('Weighting Options'!$D$7:$D$14),0),""))</f>
        <v/>
      </c>
      <c r="DR272" s="44" t="str">
        <f>IF(AH272="","",IFERROR(INDEX('Weighting Options'!$D$20:$D$27,VALUE(LEFT(TRIM(BU272),1))),1))</f>
        <v/>
      </c>
      <c r="DS272" s="44" t="str">
        <f t="shared" si="139"/>
        <v/>
      </c>
      <c r="DT272" s="42" t="str">
        <f>IF(AH272="","",IF(COUNTIFS($AH$12:AH272,AH272,$AI$12:AI272,AI272,$AM$12:AM272,AM272)=1,1,0))</f>
        <v/>
      </c>
    </row>
    <row r="273" spans="16:124" ht="12.75" customHeight="1" x14ac:dyDescent="0.35">
      <c r="P273" s="41"/>
      <c r="Q273" s="41"/>
      <c r="R273" s="41"/>
      <c r="S273" s="41"/>
      <c r="AH273" s="40"/>
      <c r="AP273" s="40"/>
      <c r="AS273" s="41"/>
      <c r="AT273" s="41"/>
      <c r="AW273" t="str">
        <f t="shared" si="112"/>
        <v/>
      </c>
      <c r="AX273" t="str">
        <f t="shared" si="113"/>
        <v/>
      </c>
      <c r="AY273" t="str">
        <f t="shared" si="114"/>
        <v/>
      </c>
      <c r="AZ273" s="40"/>
      <c r="BL273" s="47" t="str">
        <f t="shared" si="115"/>
        <v/>
      </c>
      <c r="BM273" s="47" t="str">
        <f t="shared" si="116"/>
        <v/>
      </c>
      <c r="BN273" s="47" t="str">
        <f t="shared" si="117"/>
        <v/>
      </c>
      <c r="BO273" s="47" t="str">
        <f t="shared" si="118"/>
        <v/>
      </c>
      <c r="BP273" s="47" t="str">
        <f t="shared" si="119"/>
        <v/>
      </c>
      <c r="BQ273" s="48" t="str">
        <f t="shared" si="120"/>
        <v/>
      </c>
      <c r="BR273" s="48" t="str">
        <f t="shared" si="121"/>
        <v/>
      </c>
      <c r="BS273" s="48" t="str">
        <f t="shared" si="122"/>
        <v/>
      </c>
      <c r="BT273" s="47" t="str">
        <f t="shared" si="123"/>
        <v/>
      </c>
      <c r="CA273" s="47" t="str">
        <f t="shared" si="124"/>
        <v/>
      </c>
      <c r="CB273" s="47" t="str">
        <f t="shared" si="125"/>
        <v/>
      </c>
      <c r="CC273" s="47" t="str">
        <f t="shared" si="126"/>
        <v/>
      </c>
      <c r="CD273" s="47" t="str">
        <f t="shared" si="127"/>
        <v/>
      </c>
      <c r="CE273" s="47" t="str">
        <f>IF(AH273="","",IF(OR(AI273&lt;&gt;'Seasonal Tercile Tally'!$B$3,AM273&lt;&gt;'Seasonal Tercile Tally'!$B$4),"Other site/ season",IF(DT273=0,"Excluded: duplicate (later row)",IF(N273&lt;&gt;1,"Excluded: not sighted",IF(AC273&lt;&gt;1,"Excluded: not confirmed",IF(AD273&lt;&gt;1,"Excluded: not approved",IF(AP273="Contested","Excluded: contested",IF(OR(U273="",U273=0),"Excluded: no tercile",IF(CB273="","Counted (simple tally only — no weight)","Counted")))))))))</f>
        <v/>
      </c>
      <c r="CF273" s="49" t="str">
        <f>IF(AH273="","",IFERROR(INDEX('Prior Multipliers'!$C$6:$C$70,MATCH(LEFT(AH273,10),'Prior Multipliers'!$A$6:$A$70,0)),IFERROR(INDEX('Prior Multipliers'!$C$6:$C$70,MATCH(LEFT(AH273,6),'Prior Multipliers'!$A$6:$A$70,0)),IFERROR(INDEX('Prior Multipliers'!$C$6:$C$70,MATCH(LEFT(AH273,2),'Prior Multipliers'!$A$6:$A$70,0)),1))))</f>
        <v/>
      </c>
      <c r="CG273" s="49" t="str">
        <f>IF(CB273="","",IF(AND('Seasonal Tercile Tally'!$B$5=1,BT273="Rating-based"),CB273*CF273,CB273))</f>
        <v/>
      </c>
      <c r="CH273" s="47">
        <f t="shared" si="128"/>
        <v>0</v>
      </c>
      <c r="CI273" s="45"/>
      <c r="CJ273" s="42" t="str">
        <f t="shared" si="129"/>
        <v/>
      </c>
      <c r="CM273" s="42" t="str">
        <f t="shared" si="130"/>
        <v/>
      </c>
      <c r="CP273" s="46" t="str">
        <f t="shared" si="131"/>
        <v/>
      </c>
      <c r="CS273" s="46" t="str">
        <f t="shared" si="132"/>
        <v/>
      </c>
      <c r="CT273" s="42" t="str">
        <f t="shared" si="133"/>
        <v/>
      </c>
      <c r="CU273" s="42" t="str">
        <f t="shared" si="134"/>
        <v/>
      </c>
      <c r="CV273" s="42" t="str">
        <f t="shared" si="135"/>
        <v/>
      </c>
      <c r="DB273" s="45"/>
      <c r="DH273" s="42" t="str">
        <f t="shared" si="136"/>
        <v/>
      </c>
      <c r="DI273" s="43" t="str">
        <f t="shared" si="137"/>
        <v/>
      </c>
      <c r="DK273" s="46" t="str">
        <f t="shared" si="138"/>
        <v/>
      </c>
      <c r="DQ273" s="42" t="str">
        <f>IF(AH273="","",IFERROR(ROUND(100*('Weighting Options'!$D$7*IF(ISNUMBER(CA273),CA273/3,0)+'Weighting Options'!$D$8*MIN(N(BL273),3)/3+'Weighting Options'!$D$9*IF(AP273="Community/Plenary-endorsed",1,IF(AP273="FGD-validated only",0.75,IF(AP273="Sub-community-specific",0.5,IF(AP273="Provisional/emerging",0.25,0))))+'Weighting Options'!$D$10*IF(ISNUMBER(K273),K273/3,0)+'Weighting Options'!$D$11*IF(CC273="",0.5,IF(CC273="OK",1,0.25))+'Weighting Options'!$D$12*IF(DK273="",0.5,IF(DK273="Agrees",1,IF(DK273="Opposite",0,0.5)))+'Weighting Options'!$D$13*MIN(N(BG273),3)/3+'Weighting Options'!$D$14*IF(AE273=1,1,0))/SUM('Weighting Options'!$D$7:$D$14),0),""))</f>
        <v/>
      </c>
      <c r="DR273" s="44" t="str">
        <f>IF(AH273="","",IFERROR(INDEX('Weighting Options'!$D$20:$D$27,VALUE(LEFT(TRIM(BU273),1))),1))</f>
        <v/>
      </c>
      <c r="DS273" s="44" t="str">
        <f t="shared" si="139"/>
        <v/>
      </c>
      <c r="DT273" s="42" t="str">
        <f>IF(AH273="","",IF(COUNTIFS($AH$12:AH273,AH273,$AI$12:AI273,AI273,$AM$12:AM273,AM273)=1,1,0))</f>
        <v/>
      </c>
    </row>
    <row r="274" spans="16:124" ht="12.75" customHeight="1" x14ac:dyDescent="0.35">
      <c r="P274" s="41"/>
      <c r="Q274" s="41"/>
      <c r="R274" s="41"/>
      <c r="S274" s="41"/>
      <c r="AH274" s="40"/>
      <c r="AP274" s="40"/>
      <c r="AS274" s="41"/>
      <c r="AT274" s="41"/>
      <c r="AW274" t="str">
        <f t="shared" si="112"/>
        <v/>
      </c>
      <c r="AX274" t="str">
        <f t="shared" si="113"/>
        <v/>
      </c>
      <c r="AY274" t="str">
        <f t="shared" si="114"/>
        <v/>
      </c>
      <c r="AZ274" s="40"/>
      <c r="BL274" s="47" t="str">
        <f t="shared" si="115"/>
        <v/>
      </c>
      <c r="BM274" s="47" t="str">
        <f t="shared" si="116"/>
        <v/>
      </c>
      <c r="BN274" s="47" t="str">
        <f t="shared" si="117"/>
        <v/>
      </c>
      <c r="BO274" s="47" t="str">
        <f t="shared" si="118"/>
        <v/>
      </c>
      <c r="BP274" s="47" t="str">
        <f t="shared" si="119"/>
        <v/>
      </c>
      <c r="BQ274" s="48" t="str">
        <f t="shared" si="120"/>
        <v/>
      </c>
      <c r="BR274" s="48" t="str">
        <f t="shared" si="121"/>
        <v/>
      </c>
      <c r="BS274" s="48" t="str">
        <f t="shared" si="122"/>
        <v/>
      </c>
      <c r="BT274" s="47" t="str">
        <f t="shared" si="123"/>
        <v/>
      </c>
      <c r="CA274" s="47" t="str">
        <f t="shared" si="124"/>
        <v/>
      </c>
      <c r="CB274" s="47" t="str">
        <f t="shared" si="125"/>
        <v/>
      </c>
      <c r="CC274" s="47" t="str">
        <f t="shared" si="126"/>
        <v/>
      </c>
      <c r="CD274" s="47" t="str">
        <f t="shared" si="127"/>
        <v/>
      </c>
      <c r="CE274" s="47" t="str">
        <f>IF(AH274="","",IF(OR(AI274&lt;&gt;'Seasonal Tercile Tally'!$B$3,AM274&lt;&gt;'Seasonal Tercile Tally'!$B$4),"Other site/ season",IF(DT274=0,"Excluded: duplicate (later row)",IF(N274&lt;&gt;1,"Excluded: not sighted",IF(AC274&lt;&gt;1,"Excluded: not confirmed",IF(AD274&lt;&gt;1,"Excluded: not approved",IF(AP274="Contested","Excluded: contested",IF(OR(U274="",U274=0),"Excluded: no tercile",IF(CB274="","Counted (simple tally only — no weight)","Counted")))))))))</f>
        <v/>
      </c>
      <c r="CF274" s="49" t="str">
        <f>IF(AH274="","",IFERROR(INDEX('Prior Multipliers'!$C$6:$C$70,MATCH(LEFT(AH274,10),'Prior Multipliers'!$A$6:$A$70,0)),IFERROR(INDEX('Prior Multipliers'!$C$6:$C$70,MATCH(LEFT(AH274,6),'Prior Multipliers'!$A$6:$A$70,0)),IFERROR(INDEX('Prior Multipliers'!$C$6:$C$70,MATCH(LEFT(AH274,2),'Prior Multipliers'!$A$6:$A$70,0)),1))))</f>
        <v/>
      </c>
      <c r="CG274" s="49" t="str">
        <f>IF(CB274="","",IF(AND('Seasonal Tercile Tally'!$B$5=1,BT274="Rating-based"),CB274*CF274,CB274))</f>
        <v/>
      </c>
      <c r="CH274" s="47">
        <f t="shared" si="128"/>
        <v>0</v>
      </c>
      <c r="CI274" s="45"/>
      <c r="CJ274" s="42" t="str">
        <f t="shared" si="129"/>
        <v/>
      </c>
      <c r="CM274" s="42" t="str">
        <f t="shared" si="130"/>
        <v/>
      </c>
      <c r="CP274" s="46" t="str">
        <f t="shared" si="131"/>
        <v/>
      </c>
      <c r="CS274" s="46" t="str">
        <f t="shared" si="132"/>
        <v/>
      </c>
      <c r="CT274" s="42" t="str">
        <f t="shared" si="133"/>
        <v/>
      </c>
      <c r="CU274" s="42" t="str">
        <f t="shared" si="134"/>
        <v/>
      </c>
      <c r="CV274" s="42" t="str">
        <f t="shared" si="135"/>
        <v/>
      </c>
      <c r="DB274" s="45"/>
      <c r="DH274" s="42" t="str">
        <f t="shared" si="136"/>
        <v/>
      </c>
      <c r="DI274" s="43" t="str">
        <f t="shared" si="137"/>
        <v/>
      </c>
      <c r="DK274" s="46" t="str">
        <f t="shared" si="138"/>
        <v/>
      </c>
      <c r="DQ274" s="42" t="str">
        <f>IF(AH274="","",IFERROR(ROUND(100*('Weighting Options'!$D$7*IF(ISNUMBER(CA274),CA274/3,0)+'Weighting Options'!$D$8*MIN(N(BL274),3)/3+'Weighting Options'!$D$9*IF(AP274="Community/Plenary-endorsed",1,IF(AP274="FGD-validated only",0.75,IF(AP274="Sub-community-specific",0.5,IF(AP274="Provisional/emerging",0.25,0))))+'Weighting Options'!$D$10*IF(ISNUMBER(K274),K274/3,0)+'Weighting Options'!$D$11*IF(CC274="",0.5,IF(CC274="OK",1,0.25))+'Weighting Options'!$D$12*IF(DK274="",0.5,IF(DK274="Agrees",1,IF(DK274="Opposite",0,0.5)))+'Weighting Options'!$D$13*MIN(N(BG274),3)/3+'Weighting Options'!$D$14*IF(AE274=1,1,0))/SUM('Weighting Options'!$D$7:$D$14),0),""))</f>
        <v/>
      </c>
      <c r="DR274" s="44" t="str">
        <f>IF(AH274="","",IFERROR(INDEX('Weighting Options'!$D$20:$D$27,VALUE(LEFT(TRIM(BU274),1))),1))</f>
        <v/>
      </c>
      <c r="DS274" s="44" t="str">
        <f t="shared" si="139"/>
        <v/>
      </c>
      <c r="DT274" s="42" t="str">
        <f>IF(AH274="","",IF(COUNTIFS($AH$12:AH274,AH274,$AI$12:AI274,AI274,$AM$12:AM274,AM274)=1,1,0))</f>
        <v/>
      </c>
    </row>
    <row r="275" spans="16:124" ht="12.75" customHeight="1" x14ac:dyDescent="0.35">
      <c r="P275" s="41"/>
      <c r="Q275" s="41"/>
      <c r="R275" s="41"/>
      <c r="S275" s="41"/>
      <c r="AH275" s="40"/>
      <c r="AP275" s="40"/>
      <c r="AS275" s="41"/>
      <c r="AT275" s="41"/>
      <c r="AW275" t="str">
        <f t="shared" si="112"/>
        <v/>
      </c>
      <c r="AX275" t="str">
        <f t="shared" si="113"/>
        <v/>
      </c>
      <c r="AY275" t="str">
        <f t="shared" si="114"/>
        <v/>
      </c>
      <c r="AZ275" s="40"/>
      <c r="BL275" s="47" t="str">
        <f t="shared" si="115"/>
        <v/>
      </c>
      <c r="BM275" s="47" t="str">
        <f t="shared" si="116"/>
        <v/>
      </c>
      <c r="BN275" s="47" t="str">
        <f t="shared" si="117"/>
        <v/>
      </c>
      <c r="BO275" s="47" t="str">
        <f t="shared" si="118"/>
        <v/>
      </c>
      <c r="BP275" s="47" t="str">
        <f t="shared" si="119"/>
        <v/>
      </c>
      <c r="BQ275" s="48" t="str">
        <f t="shared" si="120"/>
        <v/>
      </c>
      <c r="BR275" s="48" t="str">
        <f t="shared" si="121"/>
        <v/>
      </c>
      <c r="BS275" s="48" t="str">
        <f t="shared" si="122"/>
        <v/>
      </c>
      <c r="BT275" s="47" t="str">
        <f t="shared" si="123"/>
        <v/>
      </c>
      <c r="CA275" s="47" t="str">
        <f t="shared" si="124"/>
        <v/>
      </c>
      <c r="CB275" s="47" t="str">
        <f t="shared" si="125"/>
        <v/>
      </c>
      <c r="CC275" s="47" t="str">
        <f t="shared" si="126"/>
        <v/>
      </c>
      <c r="CD275" s="47" t="str">
        <f t="shared" si="127"/>
        <v/>
      </c>
      <c r="CE275" s="47" t="str">
        <f>IF(AH275="","",IF(OR(AI275&lt;&gt;'Seasonal Tercile Tally'!$B$3,AM275&lt;&gt;'Seasonal Tercile Tally'!$B$4),"Other site/ season",IF(DT275=0,"Excluded: duplicate (later row)",IF(N275&lt;&gt;1,"Excluded: not sighted",IF(AC275&lt;&gt;1,"Excluded: not confirmed",IF(AD275&lt;&gt;1,"Excluded: not approved",IF(AP275="Contested","Excluded: contested",IF(OR(U275="",U275=0),"Excluded: no tercile",IF(CB275="","Counted (simple tally only — no weight)","Counted")))))))))</f>
        <v/>
      </c>
      <c r="CF275" s="49" t="str">
        <f>IF(AH275="","",IFERROR(INDEX('Prior Multipliers'!$C$6:$C$70,MATCH(LEFT(AH275,10),'Prior Multipliers'!$A$6:$A$70,0)),IFERROR(INDEX('Prior Multipliers'!$C$6:$C$70,MATCH(LEFT(AH275,6),'Prior Multipliers'!$A$6:$A$70,0)),IFERROR(INDEX('Prior Multipliers'!$C$6:$C$70,MATCH(LEFT(AH275,2),'Prior Multipliers'!$A$6:$A$70,0)),1))))</f>
        <v/>
      </c>
      <c r="CG275" s="49" t="str">
        <f>IF(CB275="","",IF(AND('Seasonal Tercile Tally'!$B$5=1,BT275="Rating-based"),CB275*CF275,CB275))</f>
        <v/>
      </c>
      <c r="CH275" s="47">
        <f t="shared" si="128"/>
        <v>0</v>
      </c>
      <c r="CI275" s="45"/>
      <c r="CJ275" s="42" t="str">
        <f t="shared" si="129"/>
        <v/>
      </c>
      <c r="CM275" s="42" t="str">
        <f t="shared" si="130"/>
        <v/>
      </c>
      <c r="CP275" s="46" t="str">
        <f t="shared" si="131"/>
        <v/>
      </c>
      <c r="CS275" s="46" t="str">
        <f t="shared" si="132"/>
        <v/>
      </c>
      <c r="CT275" s="42" t="str">
        <f t="shared" si="133"/>
        <v/>
      </c>
      <c r="CU275" s="42" t="str">
        <f t="shared" si="134"/>
        <v/>
      </c>
      <c r="CV275" s="42" t="str">
        <f t="shared" si="135"/>
        <v/>
      </c>
      <c r="DB275" s="45"/>
      <c r="DH275" s="42" t="str">
        <f t="shared" si="136"/>
        <v/>
      </c>
      <c r="DI275" s="43" t="str">
        <f t="shared" si="137"/>
        <v/>
      </c>
      <c r="DK275" s="46" t="str">
        <f t="shared" si="138"/>
        <v/>
      </c>
      <c r="DQ275" s="42" t="str">
        <f>IF(AH275="","",IFERROR(ROUND(100*('Weighting Options'!$D$7*IF(ISNUMBER(CA275),CA275/3,0)+'Weighting Options'!$D$8*MIN(N(BL275),3)/3+'Weighting Options'!$D$9*IF(AP275="Community/Plenary-endorsed",1,IF(AP275="FGD-validated only",0.75,IF(AP275="Sub-community-specific",0.5,IF(AP275="Provisional/emerging",0.25,0))))+'Weighting Options'!$D$10*IF(ISNUMBER(K275),K275/3,0)+'Weighting Options'!$D$11*IF(CC275="",0.5,IF(CC275="OK",1,0.25))+'Weighting Options'!$D$12*IF(DK275="",0.5,IF(DK275="Agrees",1,IF(DK275="Opposite",0,0.5)))+'Weighting Options'!$D$13*MIN(N(BG275),3)/3+'Weighting Options'!$D$14*IF(AE275=1,1,0))/SUM('Weighting Options'!$D$7:$D$14),0),""))</f>
        <v/>
      </c>
      <c r="DR275" s="44" t="str">
        <f>IF(AH275="","",IFERROR(INDEX('Weighting Options'!$D$20:$D$27,VALUE(LEFT(TRIM(BU275),1))),1))</f>
        <v/>
      </c>
      <c r="DS275" s="44" t="str">
        <f t="shared" si="139"/>
        <v/>
      </c>
      <c r="DT275" s="42" t="str">
        <f>IF(AH275="","",IF(COUNTIFS($AH$12:AH275,AH275,$AI$12:AI275,AI275,$AM$12:AM275,AM275)=1,1,0))</f>
        <v/>
      </c>
    </row>
    <row r="276" spans="16:124" ht="12.75" customHeight="1" x14ac:dyDescent="0.35">
      <c r="P276" s="41"/>
      <c r="Q276" s="41"/>
      <c r="R276" s="41"/>
      <c r="S276" s="41"/>
      <c r="AH276" s="40"/>
      <c r="AP276" s="40"/>
      <c r="AS276" s="41"/>
      <c r="AT276" s="41"/>
      <c r="AW276" t="str">
        <f t="shared" si="112"/>
        <v/>
      </c>
      <c r="AX276" t="str">
        <f t="shared" si="113"/>
        <v/>
      </c>
      <c r="AY276" t="str">
        <f t="shared" si="114"/>
        <v/>
      </c>
      <c r="AZ276" s="40"/>
      <c r="BL276" s="47" t="str">
        <f t="shared" si="115"/>
        <v/>
      </c>
      <c r="BM276" s="47" t="str">
        <f t="shared" si="116"/>
        <v/>
      </c>
      <c r="BN276" s="47" t="str">
        <f t="shared" si="117"/>
        <v/>
      </c>
      <c r="BO276" s="47" t="str">
        <f t="shared" si="118"/>
        <v/>
      </c>
      <c r="BP276" s="47" t="str">
        <f t="shared" si="119"/>
        <v/>
      </c>
      <c r="BQ276" s="48" t="str">
        <f t="shared" si="120"/>
        <v/>
      </c>
      <c r="BR276" s="48" t="str">
        <f t="shared" si="121"/>
        <v/>
      </c>
      <c r="BS276" s="48" t="str">
        <f t="shared" si="122"/>
        <v/>
      </c>
      <c r="BT276" s="47" t="str">
        <f t="shared" si="123"/>
        <v/>
      </c>
      <c r="CA276" s="47" t="str">
        <f t="shared" si="124"/>
        <v/>
      </c>
      <c r="CB276" s="47" t="str">
        <f t="shared" si="125"/>
        <v/>
      </c>
      <c r="CC276" s="47" t="str">
        <f t="shared" si="126"/>
        <v/>
      </c>
      <c r="CD276" s="47" t="str">
        <f t="shared" si="127"/>
        <v/>
      </c>
      <c r="CE276" s="47" t="str">
        <f>IF(AH276="","",IF(OR(AI276&lt;&gt;'Seasonal Tercile Tally'!$B$3,AM276&lt;&gt;'Seasonal Tercile Tally'!$B$4),"Other site/ season",IF(DT276=0,"Excluded: duplicate (later row)",IF(N276&lt;&gt;1,"Excluded: not sighted",IF(AC276&lt;&gt;1,"Excluded: not confirmed",IF(AD276&lt;&gt;1,"Excluded: not approved",IF(AP276="Contested","Excluded: contested",IF(OR(U276="",U276=0),"Excluded: no tercile",IF(CB276="","Counted (simple tally only — no weight)","Counted")))))))))</f>
        <v/>
      </c>
      <c r="CF276" s="49" t="str">
        <f>IF(AH276="","",IFERROR(INDEX('Prior Multipliers'!$C$6:$C$70,MATCH(LEFT(AH276,10),'Prior Multipliers'!$A$6:$A$70,0)),IFERROR(INDEX('Prior Multipliers'!$C$6:$C$70,MATCH(LEFT(AH276,6),'Prior Multipliers'!$A$6:$A$70,0)),IFERROR(INDEX('Prior Multipliers'!$C$6:$C$70,MATCH(LEFT(AH276,2),'Prior Multipliers'!$A$6:$A$70,0)),1))))</f>
        <v/>
      </c>
      <c r="CG276" s="49" t="str">
        <f>IF(CB276="","",IF(AND('Seasonal Tercile Tally'!$B$5=1,BT276="Rating-based"),CB276*CF276,CB276))</f>
        <v/>
      </c>
      <c r="CH276" s="47">
        <f t="shared" si="128"/>
        <v>0</v>
      </c>
      <c r="CI276" s="45"/>
      <c r="CJ276" s="42" t="str">
        <f t="shared" si="129"/>
        <v/>
      </c>
      <c r="CM276" s="42" t="str">
        <f t="shared" si="130"/>
        <v/>
      </c>
      <c r="CP276" s="46" t="str">
        <f t="shared" si="131"/>
        <v/>
      </c>
      <c r="CS276" s="46" t="str">
        <f t="shared" si="132"/>
        <v/>
      </c>
      <c r="CT276" s="42" t="str">
        <f t="shared" si="133"/>
        <v/>
      </c>
      <c r="CU276" s="42" t="str">
        <f t="shared" si="134"/>
        <v/>
      </c>
      <c r="CV276" s="42" t="str">
        <f t="shared" si="135"/>
        <v/>
      </c>
      <c r="DB276" s="45"/>
      <c r="DH276" s="42" t="str">
        <f t="shared" si="136"/>
        <v/>
      </c>
      <c r="DI276" s="43" t="str">
        <f t="shared" si="137"/>
        <v/>
      </c>
      <c r="DK276" s="46" t="str">
        <f t="shared" si="138"/>
        <v/>
      </c>
      <c r="DQ276" s="42" t="str">
        <f>IF(AH276="","",IFERROR(ROUND(100*('Weighting Options'!$D$7*IF(ISNUMBER(CA276),CA276/3,0)+'Weighting Options'!$D$8*MIN(N(BL276),3)/3+'Weighting Options'!$D$9*IF(AP276="Community/Plenary-endorsed",1,IF(AP276="FGD-validated only",0.75,IF(AP276="Sub-community-specific",0.5,IF(AP276="Provisional/emerging",0.25,0))))+'Weighting Options'!$D$10*IF(ISNUMBER(K276),K276/3,0)+'Weighting Options'!$D$11*IF(CC276="",0.5,IF(CC276="OK",1,0.25))+'Weighting Options'!$D$12*IF(DK276="",0.5,IF(DK276="Agrees",1,IF(DK276="Opposite",0,0.5)))+'Weighting Options'!$D$13*MIN(N(BG276),3)/3+'Weighting Options'!$D$14*IF(AE276=1,1,0))/SUM('Weighting Options'!$D$7:$D$14),0),""))</f>
        <v/>
      </c>
      <c r="DR276" s="44" t="str">
        <f>IF(AH276="","",IFERROR(INDEX('Weighting Options'!$D$20:$D$27,VALUE(LEFT(TRIM(BU276),1))),1))</f>
        <v/>
      </c>
      <c r="DS276" s="44" t="str">
        <f t="shared" si="139"/>
        <v/>
      </c>
      <c r="DT276" s="42" t="str">
        <f>IF(AH276="","",IF(COUNTIFS($AH$12:AH276,AH276,$AI$12:AI276,AI276,$AM$12:AM276,AM276)=1,1,0))</f>
        <v/>
      </c>
    </row>
    <row r="277" spans="16:124" ht="12.75" customHeight="1" x14ac:dyDescent="0.35">
      <c r="P277" s="41"/>
      <c r="Q277" s="41"/>
      <c r="R277" s="41"/>
      <c r="S277" s="41"/>
      <c r="AH277" s="40"/>
      <c r="AP277" s="40"/>
      <c r="AS277" s="41"/>
      <c r="AT277" s="41"/>
      <c r="AW277" t="str">
        <f t="shared" si="112"/>
        <v/>
      </c>
      <c r="AX277" t="str">
        <f t="shared" si="113"/>
        <v/>
      </c>
      <c r="AY277" t="str">
        <f t="shared" si="114"/>
        <v/>
      </c>
      <c r="AZ277" s="40"/>
      <c r="BL277" s="47" t="str">
        <f t="shared" si="115"/>
        <v/>
      </c>
      <c r="BM277" s="47" t="str">
        <f t="shared" si="116"/>
        <v/>
      </c>
      <c r="BN277" s="47" t="str">
        <f t="shared" si="117"/>
        <v/>
      </c>
      <c r="BO277" s="47" t="str">
        <f t="shared" si="118"/>
        <v/>
      </c>
      <c r="BP277" s="47" t="str">
        <f t="shared" si="119"/>
        <v/>
      </c>
      <c r="BQ277" s="48" t="str">
        <f t="shared" si="120"/>
        <v/>
      </c>
      <c r="BR277" s="48" t="str">
        <f t="shared" si="121"/>
        <v/>
      </c>
      <c r="BS277" s="48" t="str">
        <f t="shared" si="122"/>
        <v/>
      </c>
      <c r="BT277" s="47" t="str">
        <f t="shared" si="123"/>
        <v/>
      </c>
      <c r="CA277" s="47" t="str">
        <f t="shared" si="124"/>
        <v/>
      </c>
      <c r="CB277" s="47" t="str">
        <f t="shared" si="125"/>
        <v/>
      </c>
      <c r="CC277" s="47" t="str">
        <f t="shared" si="126"/>
        <v/>
      </c>
      <c r="CD277" s="47" t="str">
        <f t="shared" si="127"/>
        <v/>
      </c>
      <c r="CE277" s="47" t="str">
        <f>IF(AH277="","",IF(OR(AI277&lt;&gt;'Seasonal Tercile Tally'!$B$3,AM277&lt;&gt;'Seasonal Tercile Tally'!$B$4),"Other site/ season",IF(DT277=0,"Excluded: duplicate (later row)",IF(N277&lt;&gt;1,"Excluded: not sighted",IF(AC277&lt;&gt;1,"Excluded: not confirmed",IF(AD277&lt;&gt;1,"Excluded: not approved",IF(AP277="Contested","Excluded: contested",IF(OR(U277="",U277=0),"Excluded: no tercile",IF(CB277="","Counted (simple tally only — no weight)","Counted")))))))))</f>
        <v/>
      </c>
      <c r="CF277" s="49" t="str">
        <f>IF(AH277="","",IFERROR(INDEX('Prior Multipliers'!$C$6:$C$70,MATCH(LEFT(AH277,10),'Prior Multipliers'!$A$6:$A$70,0)),IFERROR(INDEX('Prior Multipliers'!$C$6:$C$70,MATCH(LEFT(AH277,6),'Prior Multipliers'!$A$6:$A$70,0)),IFERROR(INDEX('Prior Multipliers'!$C$6:$C$70,MATCH(LEFT(AH277,2),'Prior Multipliers'!$A$6:$A$70,0)),1))))</f>
        <v/>
      </c>
      <c r="CG277" s="49" t="str">
        <f>IF(CB277="","",IF(AND('Seasonal Tercile Tally'!$B$5=1,BT277="Rating-based"),CB277*CF277,CB277))</f>
        <v/>
      </c>
      <c r="CH277" s="47">
        <f t="shared" si="128"/>
        <v>0</v>
      </c>
      <c r="CI277" s="45"/>
      <c r="CJ277" s="42" t="str">
        <f t="shared" si="129"/>
        <v/>
      </c>
      <c r="CM277" s="42" t="str">
        <f t="shared" si="130"/>
        <v/>
      </c>
      <c r="CP277" s="46" t="str">
        <f t="shared" si="131"/>
        <v/>
      </c>
      <c r="CS277" s="46" t="str">
        <f t="shared" si="132"/>
        <v/>
      </c>
      <c r="CT277" s="42" t="str">
        <f t="shared" si="133"/>
        <v/>
      </c>
      <c r="CU277" s="42" t="str">
        <f t="shared" si="134"/>
        <v/>
      </c>
      <c r="CV277" s="42" t="str">
        <f t="shared" si="135"/>
        <v/>
      </c>
      <c r="DB277" s="45"/>
      <c r="DH277" s="42" t="str">
        <f t="shared" si="136"/>
        <v/>
      </c>
      <c r="DI277" s="43" t="str">
        <f t="shared" si="137"/>
        <v/>
      </c>
      <c r="DK277" s="46" t="str">
        <f t="shared" si="138"/>
        <v/>
      </c>
      <c r="DQ277" s="42" t="str">
        <f>IF(AH277="","",IFERROR(ROUND(100*('Weighting Options'!$D$7*IF(ISNUMBER(CA277),CA277/3,0)+'Weighting Options'!$D$8*MIN(N(BL277),3)/3+'Weighting Options'!$D$9*IF(AP277="Community/Plenary-endorsed",1,IF(AP277="FGD-validated only",0.75,IF(AP277="Sub-community-specific",0.5,IF(AP277="Provisional/emerging",0.25,0))))+'Weighting Options'!$D$10*IF(ISNUMBER(K277),K277/3,0)+'Weighting Options'!$D$11*IF(CC277="",0.5,IF(CC277="OK",1,0.25))+'Weighting Options'!$D$12*IF(DK277="",0.5,IF(DK277="Agrees",1,IF(DK277="Opposite",0,0.5)))+'Weighting Options'!$D$13*MIN(N(BG277),3)/3+'Weighting Options'!$D$14*IF(AE277=1,1,0))/SUM('Weighting Options'!$D$7:$D$14),0),""))</f>
        <v/>
      </c>
      <c r="DR277" s="44" t="str">
        <f>IF(AH277="","",IFERROR(INDEX('Weighting Options'!$D$20:$D$27,VALUE(LEFT(TRIM(BU277),1))),1))</f>
        <v/>
      </c>
      <c r="DS277" s="44" t="str">
        <f t="shared" si="139"/>
        <v/>
      </c>
      <c r="DT277" s="42" t="str">
        <f>IF(AH277="","",IF(COUNTIFS($AH$12:AH277,AH277,$AI$12:AI277,AI277,$AM$12:AM277,AM277)=1,1,0))</f>
        <v/>
      </c>
    </row>
    <row r="278" spans="16:124" ht="12.75" customHeight="1" x14ac:dyDescent="0.35">
      <c r="P278" s="41"/>
      <c r="Q278" s="41"/>
      <c r="R278" s="41"/>
      <c r="S278" s="41"/>
      <c r="AH278" s="40"/>
      <c r="AP278" s="40"/>
      <c r="AS278" s="41"/>
      <c r="AT278" s="41"/>
      <c r="AW278" t="str">
        <f t="shared" si="112"/>
        <v/>
      </c>
      <c r="AX278" t="str">
        <f t="shared" si="113"/>
        <v/>
      </c>
      <c r="AY278" t="str">
        <f t="shared" si="114"/>
        <v/>
      </c>
      <c r="AZ278" s="40"/>
      <c r="BL278" s="47" t="str">
        <f t="shared" si="115"/>
        <v/>
      </c>
      <c r="BM278" s="47" t="str">
        <f t="shared" si="116"/>
        <v/>
      </c>
      <c r="BN278" s="47" t="str">
        <f t="shared" si="117"/>
        <v/>
      </c>
      <c r="BO278" s="47" t="str">
        <f t="shared" si="118"/>
        <v/>
      </c>
      <c r="BP278" s="47" t="str">
        <f t="shared" si="119"/>
        <v/>
      </c>
      <c r="BQ278" s="48" t="str">
        <f t="shared" si="120"/>
        <v/>
      </c>
      <c r="BR278" s="48" t="str">
        <f t="shared" si="121"/>
        <v/>
      </c>
      <c r="BS278" s="48" t="str">
        <f t="shared" si="122"/>
        <v/>
      </c>
      <c r="BT278" s="47" t="str">
        <f t="shared" si="123"/>
        <v/>
      </c>
      <c r="CA278" s="47" t="str">
        <f t="shared" si="124"/>
        <v/>
      </c>
      <c r="CB278" s="47" t="str">
        <f t="shared" si="125"/>
        <v/>
      </c>
      <c r="CC278" s="47" t="str">
        <f t="shared" si="126"/>
        <v/>
      </c>
      <c r="CD278" s="47" t="str">
        <f t="shared" si="127"/>
        <v/>
      </c>
      <c r="CE278" s="47" t="str">
        <f>IF(AH278="","",IF(OR(AI278&lt;&gt;'Seasonal Tercile Tally'!$B$3,AM278&lt;&gt;'Seasonal Tercile Tally'!$B$4),"Other site/ season",IF(DT278=0,"Excluded: duplicate (later row)",IF(N278&lt;&gt;1,"Excluded: not sighted",IF(AC278&lt;&gt;1,"Excluded: not confirmed",IF(AD278&lt;&gt;1,"Excluded: not approved",IF(AP278="Contested","Excluded: contested",IF(OR(U278="",U278=0),"Excluded: no tercile",IF(CB278="","Counted (simple tally only — no weight)","Counted")))))))))</f>
        <v/>
      </c>
      <c r="CF278" s="49" t="str">
        <f>IF(AH278="","",IFERROR(INDEX('Prior Multipliers'!$C$6:$C$70,MATCH(LEFT(AH278,10),'Prior Multipliers'!$A$6:$A$70,0)),IFERROR(INDEX('Prior Multipliers'!$C$6:$C$70,MATCH(LEFT(AH278,6),'Prior Multipliers'!$A$6:$A$70,0)),IFERROR(INDEX('Prior Multipliers'!$C$6:$C$70,MATCH(LEFT(AH278,2),'Prior Multipliers'!$A$6:$A$70,0)),1))))</f>
        <v/>
      </c>
      <c r="CG278" s="49" t="str">
        <f>IF(CB278="","",IF(AND('Seasonal Tercile Tally'!$B$5=1,BT278="Rating-based"),CB278*CF278,CB278))</f>
        <v/>
      </c>
      <c r="CH278" s="47">
        <f t="shared" si="128"/>
        <v>0</v>
      </c>
      <c r="CI278" s="45"/>
      <c r="CJ278" s="42" t="str">
        <f t="shared" si="129"/>
        <v/>
      </c>
      <c r="CM278" s="42" t="str">
        <f t="shared" si="130"/>
        <v/>
      </c>
      <c r="CP278" s="46" t="str">
        <f t="shared" si="131"/>
        <v/>
      </c>
      <c r="CS278" s="46" t="str">
        <f t="shared" si="132"/>
        <v/>
      </c>
      <c r="CT278" s="42" t="str">
        <f t="shared" si="133"/>
        <v/>
      </c>
      <c r="CU278" s="42" t="str">
        <f t="shared" si="134"/>
        <v/>
      </c>
      <c r="CV278" s="42" t="str">
        <f t="shared" si="135"/>
        <v/>
      </c>
      <c r="DB278" s="45"/>
      <c r="DH278" s="42" t="str">
        <f t="shared" si="136"/>
        <v/>
      </c>
      <c r="DI278" s="43" t="str">
        <f t="shared" si="137"/>
        <v/>
      </c>
      <c r="DK278" s="46" t="str">
        <f t="shared" si="138"/>
        <v/>
      </c>
      <c r="DQ278" s="42" t="str">
        <f>IF(AH278="","",IFERROR(ROUND(100*('Weighting Options'!$D$7*IF(ISNUMBER(CA278),CA278/3,0)+'Weighting Options'!$D$8*MIN(N(BL278),3)/3+'Weighting Options'!$D$9*IF(AP278="Community/Plenary-endorsed",1,IF(AP278="FGD-validated only",0.75,IF(AP278="Sub-community-specific",0.5,IF(AP278="Provisional/emerging",0.25,0))))+'Weighting Options'!$D$10*IF(ISNUMBER(K278),K278/3,0)+'Weighting Options'!$D$11*IF(CC278="",0.5,IF(CC278="OK",1,0.25))+'Weighting Options'!$D$12*IF(DK278="",0.5,IF(DK278="Agrees",1,IF(DK278="Opposite",0,0.5)))+'Weighting Options'!$D$13*MIN(N(BG278),3)/3+'Weighting Options'!$D$14*IF(AE278=1,1,0))/SUM('Weighting Options'!$D$7:$D$14),0),""))</f>
        <v/>
      </c>
      <c r="DR278" s="44" t="str">
        <f>IF(AH278="","",IFERROR(INDEX('Weighting Options'!$D$20:$D$27,VALUE(LEFT(TRIM(BU278),1))),1))</f>
        <v/>
      </c>
      <c r="DS278" s="44" t="str">
        <f t="shared" si="139"/>
        <v/>
      </c>
      <c r="DT278" s="42" t="str">
        <f>IF(AH278="","",IF(COUNTIFS($AH$12:AH278,AH278,$AI$12:AI278,AI278,$AM$12:AM278,AM278)=1,1,0))</f>
        <v/>
      </c>
    </row>
    <row r="279" spans="16:124" ht="12.75" customHeight="1" x14ac:dyDescent="0.35">
      <c r="P279" s="41"/>
      <c r="Q279" s="41"/>
      <c r="R279" s="41"/>
      <c r="S279" s="41"/>
      <c r="AH279" s="40"/>
      <c r="AP279" s="40"/>
      <c r="AS279" s="41"/>
      <c r="AT279" s="41"/>
      <c r="AW279" t="str">
        <f t="shared" si="112"/>
        <v/>
      </c>
      <c r="AX279" t="str">
        <f t="shared" si="113"/>
        <v/>
      </c>
      <c r="AY279" t="str">
        <f t="shared" si="114"/>
        <v/>
      </c>
      <c r="AZ279" s="40"/>
      <c r="BL279" s="47" t="str">
        <f t="shared" si="115"/>
        <v/>
      </c>
      <c r="BM279" s="47" t="str">
        <f t="shared" si="116"/>
        <v/>
      </c>
      <c r="BN279" s="47" t="str">
        <f t="shared" si="117"/>
        <v/>
      </c>
      <c r="BO279" s="47" t="str">
        <f t="shared" si="118"/>
        <v/>
      </c>
      <c r="BP279" s="47" t="str">
        <f t="shared" si="119"/>
        <v/>
      </c>
      <c r="BQ279" s="48" t="str">
        <f t="shared" si="120"/>
        <v/>
      </c>
      <c r="BR279" s="48" t="str">
        <f t="shared" si="121"/>
        <v/>
      </c>
      <c r="BS279" s="48" t="str">
        <f t="shared" si="122"/>
        <v/>
      </c>
      <c r="BT279" s="47" t="str">
        <f t="shared" si="123"/>
        <v/>
      </c>
      <c r="CA279" s="47" t="str">
        <f t="shared" si="124"/>
        <v/>
      </c>
      <c r="CB279" s="47" t="str">
        <f t="shared" si="125"/>
        <v/>
      </c>
      <c r="CC279" s="47" t="str">
        <f t="shared" si="126"/>
        <v/>
      </c>
      <c r="CD279" s="47" t="str">
        <f t="shared" si="127"/>
        <v/>
      </c>
      <c r="CE279" s="47" t="str">
        <f>IF(AH279="","",IF(OR(AI279&lt;&gt;'Seasonal Tercile Tally'!$B$3,AM279&lt;&gt;'Seasonal Tercile Tally'!$B$4),"Other site/ season",IF(DT279=0,"Excluded: duplicate (later row)",IF(N279&lt;&gt;1,"Excluded: not sighted",IF(AC279&lt;&gt;1,"Excluded: not confirmed",IF(AD279&lt;&gt;1,"Excluded: not approved",IF(AP279="Contested","Excluded: contested",IF(OR(U279="",U279=0),"Excluded: no tercile",IF(CB279="","Counted (simple tally only — no weight)","Counted")))))))))</f>
        <v/>
      </c>
      <c r="CF279" s="49" t="str">
        <f>IF(AH279="","",IFERROR(INDEX('Prior Multipliers'!$C$6:$C$70,MATCH(LEFT(AH279,10),'Prior Multipliers'!$A$6:$A$70,0)),IFERROR(INDEX('Prior Multipliers'!$C$6:$C$70,MATCH(LEFT(AH279,6),'Prior Multipliers'!$A$6:$A$70,0)),IFERROR(INDEX('Prior Multipliers'!$C$6:$C$70,MATCH(LEFT(AH279,2),'Prior Multipliers'!$A$6:$A$70,0)),1))))</f>
        <v/>
      </c>
      <c r="CG279" s="49" t="str">
        <f>IF(CB279="","",IF(AND('Seasonal Tercile Tally'!$B$5=1,BT279="Rating-based"),CB279*CF279,CB279))</f>
        <v/>
      </c>
      <c r="CH279" s="47">
        <f t="shared" si="128"/>
        <v>0</v>
      </c>
      <c r="CI279" s="45"/>
      <c r="CJ279" s="42" t="str">
        <f t="shared" si="129"/>
        <v/>
      </c>
      <c r="CM279" s="42" t="str">
        <f t="shared" si="130"/>
        <v/>
      </c>
      <c r="CP279" s="46" t="str">
        <f t="shared" si="131"/>
        <v/>
      </c>
      <c r="CS279" s="46" t="str">
        <f t="shared" si="132"/>
        <v/>
      </c>
      <c r="CT279" s="42" t="str">
        <f t="shared" si="133"/>
        <v/>
      </c>
      <c r="CU279" s="42" t="str">
        <f t="shared" si="134"/>
        <v/>
      </c>
      <c r="CV279" s="42" t="str">
        <f t="shared" si="135"/>
        <v/>
      </c>
      <c r="DB279" s="45"/>
      <c r="DH279" s="42" t="str">
        <f t="shared" si="136"/>
        <v/>
      </c>
      <c r="DI279" s="43" t="str">
        <f t="shared" si="137"/>
        <v/>
      </c>
      <c r="DK279" s="46" t="str">
        <f t="shared" si="138"/>
        <v/>
      </c>
      <c r="DQ279" s="42" t="str">
        <f>IF(AH279="","",IFERROR(ROUND(100*('Weighting Options'!$D$7*IF(ISNUMBER(CA279),CA279/3,0)+'Weighting Options'!$D$8*MIN(N(BL279),3)/3+'Weighting Options'!$D$9*IF(AP279="Community/Plenary-endorsed",1,IF(AP279="FGD-validated only",0.75,IF(AP279="Sub-community-specific",0.5,IF(AP279="Provisional/emerging",0.25,0))))+'Weighting Options'!$D$10*IF(ISNUMBER(K279),K279/3,0)+'Weighting Options'!$D$11*IF(CC279="",0.5,IF(CC279="OK",1,0.25))+'Weighting Options'!$D$12*IF(DK279="",0.5,IF(DK279="Agrees",1,IF(DK279="Opposite",0,0.5)))+'Weighting Options'!$D$13*MIN(N(BG279),3)/3+'Weighting Options'!$D$14*IF(AE279=1,1,0))/SUM('Weighting Options'!$D$7:$D$14),0),""))</f>
        <v/>
      </c>
      <c r="DR279" s="44" t="str">
        <f>IF(AH279="","",IFERROR(INDEX('Weighting Options'!$D$20:$D$27,VALUE(LEFT(TRIM(BU279),1))),1))</f>
        <v/>
      </c>
      <c r="DS279" s="44" t="str">
        <f t="shared" si="139"/>
        <v/>
      </c>
      <c r="DT279" s="42" t="str">
        <f>IF(AH279="","",IF(COUNTIFS($AH$12:AH279,AH279,$AI$12:AI279,AI279,$AM$12:AM279,AM279)=1,1,0))</f>
        <v/>
      </c>
    </row>
    <row r="280" spans="16:124" ht="12.75" customHeight="1" x14ac:dyDescent="0.35">
      <c r="P280" s="41"/>
      <c r="Q280" s="41"/>
      <c r="R280" s="41"/>
      <c r="S280" s="41"/>
      <c r="AH280" s="40"/>
      <c r="AP280" s="40"/>
      <c r="AS280" s="41"/>
      <c r="AT280" s="41"/>
      <c r="AW280" t="str">
        <f t="shared" si="112"/>
        <v/>
      </c>
      <c r="AX280" t="str">
        <f t="shared" si="113"/>
        <v/>
      </c>
      <c r="AY280" t="str">
        <f t="shared" si="114"/>
        <v/>
      </c>
      <c r="AZ280" s="40"/>
      <c r="BL280" s="47" t="str">
        <f t="shared" si="115"/>
        <v/>
      </c>
      <c r="BM280" s="47" t="str">
        <f t="shared" si="116"/>
        <v/>
      </c>
      <c r="BN280" s="47" t="str">
        <f t="shared" si="117"/>
        <v/>
      </c>
      <c r="BO280" s="47" t="str">
        <f t="shared" si="118"/>
        <v/>
      </c>
      <c r="BP280" s="47" t="str">
        <f t="shared" si="119"/>
        <v/>
      </c>
      <c r="BQ280" s="48" t="str">
        <f t="shared" si="120"/>
        <v/>
      </c>
      <c r="BR280" s="48" t="str">
        <f t="shared" si="121"/>
        <v/>
      </c>
      <c r="BS280" s="48" t="str">
        <f t="shared" si="122"/>
        <v/>
      </c>
      <c r="BT280" s="47" t="str">
        <f t="shared" si="123"/>
        <v/>
      </c>
      <c r="CA280" s="47" t="str">
        <f t="shared" si="124"/>
        <v/>
      </c>
      <c r="CB280" s="47" t="str">
        <f t="shared" si="125"/>
        <v/>
      </c>
      <c r="CC280" s="47" t="str">
        <f t="shared" si="126"/>
        <v/>
      </c>
      <c r="CD280" s="47" t="str">
        <f t="shared" si="127"/>
        <v/>
      </c>
      <c r="CE280" s="47" t="str">
        <f>IF(AH280="","",IF(OR(AI280&lt;&gt;'Seasonal Tercile Tally'!$B$3,AM280&lt;&gt;'Seasonal Tercile Tally'!$B$4),"Other site/ season",IF(DT280=0,"Excluded: duplicate (later row)",IF(N280&lt;&gt;1,"Excluded: not sighted",IF(AC280&lt;&gt;1,"Excluded: not confirmed",IF(AD280&lt;&gt;1,"Excluded: not approved",IF(AP280="Contested","Excluded: contested",IF(OR(U280="",U280=0),"Excluded: no tercile",IF(CB280="","Counted (simple tally only — no weight)","Counted")))))))))</f>
        <v/>
      </c>
      <c r="CF280" s="49" t="str">
        <f>IF(AH280="","",IFERROR(INDEX('Prior Multipliers'!$C$6:$C$70,MATCH(LEFT(AH280,10),'Prior Multipliers'!$A$6:$A$70,0)),IFERROR(INDEX('Prior Multipliers'!$C$6:$C$70,MATCH(LEFT(AH280,6),'Prior Multipliers'!$A$6:$A$70,0)),IFERROR(INDEX('Prior Multipliers'!$C$6:$C$70,MATCH(LEFT(AH280,2),'Prior Multipliers'!$A$6:$A$70,0)),1))))</f>
        <v/>
      </c>
      <c r="CG280" s="49" t="str">
        <f>IF(CB280="","",IF(AND('Seasonal Tercile Tally'!$B$5=1,BT280="Rating-based"),CB280*CF280,CB280))</f>
        <v/>
      </c>
      <c r="CH280" s="47">
        <f t="shared" si="128"/>
        <v>0</v>
      </c>
      <c r="CI280" s="45"/>
      <c r="CJ280" s="42" t="str">
        <f t="shared" si="129"/>
        <v/>
      </c>
      <c r="CM280" s="42" t="str">
        <f t="shared" si="130"/>
        <v/>
      </c>
      <c r="CP280" s="46" t="str">
        <f t="shared" si="131"/>
        <v/>
      </c>
      <c r="CS280" s="46" t="str">
        <f t="shared" si="132"/>
        <v/>
      </c>
      <c r="CT280" s="42" t="str">
        <f t="shared" si="133"/>
        <v/>
      </c>
      <c r="CU280" s="42" t="str">
        <f t="shared" si="134"/>
        <v/>
      </c>
      <c r="CV280" s="42" t="str">
        <f t="shared" si="135"/>
        <v/>
      </c>
      <c r="DB280" s="45"/>
      <c r="DH280" s="42" t="str">
        <f t="shared" si="136"/>
        <v/>
      </c>
      <c r="DI280" s="43" t="str">
        <f t="shared" si="137"/>
        <v/>
      </c>
      <c r="DK280" s="46" t="str">
        <f t="shared" si="138"/>
        <v/>
      </c>
      <c r="DQ280" s="42" t="str">
        <f>IF(AH280="","",IFERROR(ROUND(100*('Weighting Options'!$D$7*IF(ISNUMBER(CA280),CA280/3,0)+'Weighting Options'!$D$8*MIN(N(BL280),3)/3+'Weighting Options'!$D$9*IF(AP280="Community/Plenary-endorsed",1,IF(AP280="FGD-validated only",0.75,IF(AP280="Sub-community-specific",0.5,IF(AP280="Provisional/emerging",0.25,0))))+'Weighting Options'!$D$10*IF(ISNUMBER(K280),K280/3,0)+'Weighting Options'!$D$11*IF(CC280="",0.5,IF(CC280="OK",1,0.25))+'Weighting Options'!$D$12*IF(DK280="",0.5,IF(DK280="Agrees",1,IF(DK280="Opposite",0,0.5)))+'Weighting Options'!$D$13*MIN(N(BG280),3)/3+'Weighting Options'!$D$14*IF(AE280=1,1,0))/SUM('Weighting Options'!$D$7:$D$14),0),""))</f>
        <v/>
      </c>
      <c r="DR280" s="44" t="str">
        <f>IF(AH280="","",IFERROR(INDEX('Weighting Options'!$D$20:$D$27,VALUE(LEFT(TRIM(BU280),1))),1))</f>
        <v/>
      </c>
      <c r="DS280" s="44" t="str">
        <f t="shared" si="139"/>
        <v/>
      </c>
      <c r="DT280" s="42" t="str">
        <f>IF(AH280="","",IF(COUNTIFS($AH$12:AH280,AH280,$AI$12:AI280,AI280,$AM$12:AM280,AM280)=1,1,0))</f>
        <v/>
      </c>
    </row>
    <row r="281" spans="16:124" ht="12.75" customHeight="1" x14ac:dyDescent="0.35">
      <c r="P281" s="41"/>
      <c r="Q281" s="41"/>
      <c r="R281" s="41"/>
      <c r="S281" s="41"/>
      <c r="AH281" s="40"/>
      <c r="AP281" s="40"/>
      <c r="AS281" s="41"/>
      <c r="AT281" s="41"/>
      <c r="AW281" t="str">
        <f t="shared" si="112"/>
        <v/>
      </c>
      <c r="AX281" t="str">
        <f t="shared" si="113"/>
        <v/>
      </c>
      <c r="AY281" t="str">
        <f t="shared" si="114"/>
        <v/>
      </c>
      <c r="AZ281" s="40"/>
      <c r="BL281" s="47" t="str">
        <f t="shared" si="115"/>
        <v/>
      </c>
      <c r="BM281" s="47" t="str">
        <f t="shared" si="116"/>
        <v/>
      </c>
      <c r="BN281" s="47" t="str">
        <f t="shared" si="117"/>
        <v/>
      </c>
      <c r="BO281" s="47" t="str">
        <f t="shared" si="118"/>
        <v/>
      </c>
      <c r="BP281" s="47" t="str">
        <f t="shared" si="119"/>
        <v/>
      </c>
      <c r="BQ281" s="48" t="str">
        <f t="shared" si="120"/>
        <v/>
      </c>
      <c r="BR281" s="48" t="str">
        <f t="shared" si="121"/>
        <v/>
      </c>
      <c r="BS281" s="48" t="str">
        <f t="shared" si="122"/>
        <v/>
      </c>
      <c r="BT281" s="47" t="str">
        <f t="shared" si="123"/>
        <v/>
      </c>
      <c r="CA281" s="47" t="str">
        <f t="shared" si="124"/>
        <v/>
      </c>
      <c r="CB281" s="47" t="str">
        <f t="shared" si="125"/>
        <v/>
      </c>
      <c r="CC281" s="47" t="str">
        <f t="shared" si="126"/>
        <v/>
      </c>
      <c r="CD281" s="47" t="str">
        <f t="shared" si="127"/>
        <v/>
      </c>
      <c r="CE281" s="47" t="str">
        <f>IF(AH281="","",IF(OR(AI281&lt;&gt;'Seasonal Tercile Tally'!$B$3,AM281&lt;&gt;'Seasonal Tercile Tally'!$B$4),"Other site/ season",IF(DT281=0,"Excluded: duplicate (later row)",IF(N281&lt;&gt;1,"Excluded: not sighted",IF(AC281&lt;&gt;1,"Excluded: not confirmed",IF(AD281&lt;&gt;1,"Excluded: not approved",IF(AP281="Contested","Excluded: contested",IF(OR(U281="",U281=0),"Excluded: no tercile",IF(CB281="","Counted (simple tally only — no weight)","Counted")))))))))</f>
        <v/>
      </c>
      <c r="CF281" s="49" t="str">
        <f>IF(AH281="","",IFERROR(INDEX('Prior Multipliers'!$C$6:$C$70,MATCH(LEFT(AH281,10),'Prior Multipliers'!$A$6:$A$70,0)),IFERROR(INDEX('Prior Multipliers'!$C$6:$C$70,MATCH(LEFT(AH281,6),'Prior Multipliers'!$A$6:$A$70,0)),IFERROR(INDEX('Prior Multipliers'!$C$6:$C$70,MATCH(LEFT(AH281,2),'Prior Multipliers'!$A$6:$A$70,0)),1))))</f>
        <v/>
      </c>
      <c r="CG281" s="49" t="str">
        <f>IF(CB281="","",IF(AND('Seasonal Tercile Tally'!$B$5=1,BT281="Rating-based"),CB281*CF281,CB281))</f>
        <v/>
      </c>
      <c r="CH281" s="47">
        <f t="shared" si="128"/>
        <v>0</v>
      </c>
      <c r="CI281" s="45"/>
      <c r="CJ281" s="42" t="str">
        <f t="shared" si="129"/>
        <v/>
      </c>
      <c r="CM281" s="42" t="str">
        <f t="shared" si="130"/>
        <v/>
      </c>
      <c r="CP281" s="46" t="str">
        <f t="shared" si="131"/>
        <v/>
      </c>
      <c r="CS281" s="46" t="str">
        <f t="shared" si="132"/>
        <v/>
      </c>
      <c r="CT281" s="42" t="str">
        <f t="shared" si="133"/>
        <v/>
      </c>
      <c r="CU281" s="42" t="str">
        <f t="shared" si="134"/>
        <v/>
      </c>
      <c r="CV281" s="42" t="str">
        <f t="shared" si="135"/>
        <v/>
      </c>
      <c r="DB281" s="45"/>
      <c r="DH281" s="42" t="str">
        <f t="shared" si="136"/>
        <v/>
      </c>
      <c r="DI281" s="43" t="str">
        <f t="shared" si="137"/>
        <v/>
      </c>
      <c r="DK281" s="46" t="str">
        <f t="shared" si="138"/>
        <v/>
      </c>
      <c r="DQ281" s="42" t="str">
        <f>IF(AH281="","",IFERROR(ROUND(100*('Weighting Options'!$D$7*IF(ISNUMBER(CA281),CA281/3,0)+'Weighting Options'!$D$8*MIN(N(BL281),3)/3+'Weighting Options'!$D$9*IF(AP281="Community/Plenary-endorsed",1,IF(AP281="FGD-validated only",0.75,IF(AP281="Sub-community-specific",0.5,IF(AP281="Provisional/emerging",0.25,0))))+'Weighting Options'!$D$10*IF(ISNUMBER(K281),K281/3,0)+'Weighting Options'!$D$11*IF(CC281="",0.5,IF(CC281="OK",1,0.25))+'Weighting Options'!$D$12*IF(DK281="",0.5,IF(DK281="Agrees",1,IF(DK281="Opposite",0,0.5)))+'Weighting Options'!$D$13*MIN(N(BG281),3)/3+'Weighting Options'!$D$14*IF(AE281=1,1,0))/SUM('Weighting Options'!$D$7:$D$14),0),""))</f>
        <v/>
      </c>
      <c r="DR281" s="44" t="str">
        <f>IF(AH281="","",IFERROR(INDEX('Weighting Options'!$D$20:$D$27,VALUE(LEFT(TRIM(BU281),1))),1))</f>
        <v/>
      </c>
      <c r="DS281" s="44" t="str">
        <f t="shared" si="139"/>
        <v/>
      </c>
      <c r="DT281" s="42" t="str">
        <f>IF(AH281="","",IF(COUNTIFS($AH$12:AH281,AH281,$AI$12:AI281,AI281,$AM$12:AM281,AM281)=1,1,0))</f>
        <v/>
      </c>
    </row>
    <row r="282" spans="16:124" ht="12.75" customHeight="1" x14ac:dyDescent="0.35">
      <c r="P282" s="41"/>
      <c r="Q282" s="41"/>
      <c r="R282" s="41"/>
      <c r="S282" s="41"/>
      <c r="AH282" s="40"/>
      <c r="AP282" s="40"/>
      <c r="AS282" s="41"/>
      <c r="AT282" s="41"/>
      <c r="AW282" t="str">
        <f t="shared" si="112"/>
        <v/>
      </c>
      <c r="AX282" t="str">
        <f t="shared" si="113"/>
        <v/>
      </c>
      <c r="AY282" t="str">
        <f t="shared" si="114"/>
        <v/>
      </c>
      <c r="AZ282" s="40"/>
      <c r="BL282" s="47" t="str">
        <f t="shared" si="115"/>
        <v/>
      </c>
      <c r="BM282" s="47" t="str">
        <f t="shared" si="116"/>
        <v/>
      </c>
      <c r="BN282" s="47" t="str">
        <f t="shared" si="117"/>
        <v/>
      </c>
      <c r="BO282" s="47" t="str">
        <f t="shared" si="118"/>
        <v/>
      </c>
      <c r="BP282" s="47" t="str">
        <f t="shared" si="119"/>
        <v/>
      </c>
      <c r="BQ282" s="48" t="str">
        <f t="shared" si="120"/>
        <v/>
      </c>
      <c r="BR282" s="48" t="str">
        <f t="shared" si="121"/>
        <v/>
      </c>
      <c r="BS282" s="48" t="str">
        <f t="shared" si="122"/>
        <v/>
      </c>
      <c r="BT282" s="47" t="str">
        <f t="shared" si="123"/>
        <v/>
      </c>
      <c r="CA282" s="47" t="str">
        <f t="shared" si="124"/>
        <v/>
      </c>
      <c r="CB282" s="47" t="str">
        <f t="shared" si="125"/>
        <v/>
      </c>
      <c r="CC282" s="47" t="str">
        <f t="shared" si="126"/>
        <v/>
      </c>
      <c r="CD282" s="47" t="str">
        <f t="shared" si="127"/>
        <v/>
      </c>
      <c r="CE282" s="47" t="str">
        <f>IF(AH282="","",IF(OR(AI282&lt;&gt;'Seasonal Tercile Tally'!$B$3,AM282&lt;&gt;'Seasonal Tercile Tally'!$B$4),"Other site/ season",IF(DT282=0,"Excluded: duplicate (later row)",IF(N282&lt;&gt;1,"Excluded: not sighted",IF(AC282&lt;&gt;1,"Excluded: not confirmed",IF(AD282&lt;&gt;1,"Excluded: not approved",IF(AP282="Contested","Excluded: contested",IF(OR(U282="",U282=0),"Excluded: no tercile",IF(CB282="","Counted (simple tally only — no weight)","Counted")))))))))</f>
        <v/>
      </c>
      <c r="CF282" s="49" t="str">
        <f>IF(AH282="","",IFERROR(INDEX('Prior Multipliers'!$C$6:$C$70,MATCH(LEFT(AH282,10),'Prior Multipliers'!$A$6:$A$70,0)),IFERROR(INDEX('Prior Multipliers'!$C$6:$C$70,MATCH(LEFT(AH282,6),'Prior Multipliers'!$A$6:$A$70,0)),IFERROR(INDEX('Prior Multipliers'!$C$6:$C$70,MATCH(LEFT(AH282,2),'Prior Multipliers'!$A$6:$A$70,0)),1))))</f>
        <v/>
      </c>
      <c r="CG282" s="49" t="str">
        <f>IF(CB282="","",IF(AND('Seasonal Tercile Tally'!$B$5=1,BT282="Rating-based"),CB282*CF282,CB282))</f>
        <v/>
      </c>
      <c r="CH282" s="47">
        <f t="shared" si="128"/>
        <v>0</v>
      </c>
      <c r="CI282" s="45"/>
      <c r="CJ282" s="42" t="str">
        <f t="shared" si="129"/>
        <v/>
      </c>
      <c r="CM282" s="42" t="str">
        <f t="shared" si="130"/>
        <v/>
      </c>
      <c r="CP282" s="46" t="str">
        <f t="shared" si="131"/>
        <v/>
      </c>
      <c r="CS282" s="46" t="str">
        <f t="shared" si="132"/>
        <v/>
      </c>
      <c r="CT282" s="42" t="str">
        <f t="shared" si="133"/>
        <v/>
      </c>
      <c r="CU282" s="42" t="str">
        <f t="shared" si="134"/>
        <v/>
      </c>
      <c r="CV282" s="42" t="str">
        <f t="shared" si="135"/>
        <v/>
      </c>
      <c r="DB282" s="45"/>
      <c r="DH282" s="42" t="str">
        <f t="shared" si="136"/>
        <v/>
      </c>
      <c r="DI282" s="43" t="str">
        <f t="shared" si="137"/>
        <v/>
      </c>
      <c r="DK282" s="46" t="str">
        <f t="shared" si="138"/>
        <v/>
      </c>
      <c r="DQ282" s="42" t="str">
        <f>IF(AH282="","",IFERROR(ROUND(100*('Weighting Options'!$D$7*IF(ISNUMBER(CA282),CA282/3,0)+'Weighting Options'!$D$8*MIN(N(BL282),3)/3+'Weighting Options'!$D$9*IF(AP282="Community/Plenary-endorsed",1,IF(AP282="FGD-validated only",0.75,IF(AP282="Sub-community-specific",0.5,IF(AP282="Provisional/emerging",0.25,0))))+'Weighting Options'!$D$10*IF(ISNUMBER(K282),K282/3,0)+'Weighting Options'!$D$11*IF(CC282="",0.5,IF(CC282="OK",1,0.25))+'Weighting Options'!$D$12*IF(DK282="",0.5,IF(DK282="Agrees",1,IF(DK282="Opposite",0,0.5)))+'Weighting Options'!$D$13*MIN(N(BG282),3)/3+'Weighting Options'!$D$14*IF(AE282=1,1,0))/SUM('Weighting Options'!$D$7:$D$14),0),""))</f>
        <v/>
      </c>
      <c r="DR282" s="44" t="str">
        <f>IF(AH282="","",IFERROR(INDEX('Weighting Options'!$D$20:$D$27,VALUE(LEFT(TRIM(BU282),1))),1))</f>
        <v/>
      </c>
      <c r="DS282" s="44" t="str">
        <f t="shared" si="139"/>
        <v/>
      </c>
      <c r="DT282" s="42" t="str">
        <f>IF(AH282="","",IF(COUNTIFS($AH$12:AH282,AH282,$AI$12:AI282,AI282,$AM$12:AM282,AM282)=1,1,0))</f>
        <v/>
      </c>
    </row>
    <row r="283" spans="16:124" ht="12.75" customHeight="1" x14ac:dyDescent="0.35">
      <c r="P283" s="41"/>
      <c r="Q283" s="41"/>
      <c r="R283" s="41"/>
      <c r="S283" s="41"/>
      <c r="AH283" s="40"/>
      <c r="AP283" s="40"/>
      <c r="AS283" s="41"/>
      <c r="AT283" s="41"/>
      <c r="AW283" t="str">
        <f t="shared" si="112"/>
        <v/>
      </c>
      <c r="AX283" t="str">
        <f t="shared" si="113"/>
        <v/>
      </c>
      <c r="AY283" t="str">
        <f t="shared" si="114"/>
        <v/>
      </c>
      <c r="AZ283" s="40"/>
      <c r="BL283" s="47" t="str">
        <f t="shared" si="115"/>
        <v/>
      </c>
      <c r="BM283" s="47" t="str">
        <f t="shared" si="116"/>
        <v/>
      </c>
      <c r="BN283" s="47" t="str">
        <f t="shared" si="117"/>
        <v/>
      </c>
      <c r="BO283" s="47" t="str">
        <f t="shared" si="118"/>
        <v/>
      </c>
      <c r="BP283" s="47" t="str">
        <f t="shared" si="119"/>
        <v/>
      </c>
      <c r="BQ283" s="48" t="str">
        <f t="shared" si="120"/>
        <v/>
      </c>
      <c r="BR283" s="48" t="str">
        <f t="shared" si="121"/>
        <v/>
      </c>
      <c r="BS283" s="48" t="str">
        <f t="shared" si="122"/>
        <v/>
      </c>
      <c r="BT283" s="47" t="str">
        <f t="shared" si="123"/>
        <v/>
      </c>
      <c r="CA283" s="47" t="str">
        <f t="shared" si="124"/>
        <v/>
      </c>
      <c r="CB283" s="47" t="str">
        <f t="shared" si="125"/>
        <v/>
      </c>
      <c r="CC283" s="47" t="str">
        <f t="shared" si="126"/>
        <v/>
      </c>
      <c r="CD283" s="47" t="str">
        <f t="shared" si="127"/>
        <v/>
      </c>
      <c r="CE283" s="47" t="str">
        <f>IF(AH283="","",IF(OR(AI283&lt;&gt;'Seasonal Tercile Tally'!$B$3,AM283&lt;&gt;'Seasonal Tercile Tally'!$B$4),"Other site/ season",IF(DT283=0,"Excluded: duplicate (later row)",IF(N283&lt;&gt;1,"Excluded: not sighted",IF(AC283&lt;&gt;1,"Excluded: not confirmed",IF(AD283&lt;&gt;1,"Excluded: not approved",IF(AP283="Contested","Excluded: contested",IF(OR(U283="",U283=0),"Excluded: no tercile",IF(CB283="","Counted (simple tally only — no weight)","Counted")))))))))</f>
        <v/>
      </c>
      <c r="CF283" s="49" t="str">
        <f>IF(AH283="","",IFERROR(INDEX('Prior Multipliers'!$C$6:$C$70,MATCH(LEFT(AH283,10),'Prior Multipliers'!$A$6:$A$70,0)),IFERROR(INDEX('Prior Multipliers'!$C$6:$C$70,MATCH(LEFT(AH283,6),'Prior Multipliers'!$A$6:$A$70,0)),IFERROR(INDEX('Prior Multipliers'!$C$6:$C$70,MATCH(LEFT(AH283,2),'Prior Multipliers'!$A$6:$A$70,0)),1))))</f>
        <v/>
      </c>
      <c r="CG283" s="49" t="str">
        <f>IF(CB283="","",IF(AND('Seasonal Tercile Tally'!$B$5=1,BT283="Rating-based"),CB283*CF283,CB283))</f>
        <v/>
      </c>
      <c r="CH283" s="47">
        <f t="shared" si="128"/>
        <v>0</v>
      </c>
      <c r="CI283" s="45"/>
      <c r="CJ283" s="42" t="str">
        <f t="shared" si="129"/>
        <v/>
      </c>
      <c r="CM283" s="42" t="str">
        <f t="shared" si="130"/>
        <v/>
      </c>
      <c r="CP283" s="46" t="str">
        <f t="shared" si="131"/>
        <v/>
      </c>
      <c r="CS283" s="46" t="str">
        <f t="shared" si="132"/>
        <v/>
      </c>
      <c r="CT283" s="42" t="str">
        <f t="shared" si="133"/>
        <v/>
      </c>
      <c r="CU283" s="42" t="str">
        <f t="shared" si="134"/>
        <v/>
      </c>
      <c r="CV283" s="42" t="str">
        <f t="shared" si="135"/>
        <v/>
      </c>
      <c r="DB283" s="45"/>
      <c r="DH283" s="42" t="str">
        <f t="shared" si="136"/>
        <v/>
      </c>
      <c r="DI283" s="43" t="str">
        <f t="shared" si="137"/>
        <v/>
      </c>
      <c r="DK283" s="46" t="str">
        <f t="shared" si="138"/>
        <v/>
      </c>
      <c r="DQ283" s="42" t="str">
        <f>IF(AH283="","",IFERROR(ROUND(100*('Weighting Options'!$D$7*IF(ISNUMBER(CA283),CA283/3,0)+'Weighting Options'!$D$8*MIN(N(BL283),3)/3+'Weighting Options'!$D$9*IF(AP283="Community/Plenary-endorsed",1,IF(AP283="FGD-validated only",0.75,IF(AP283="Sub-community-specific",0.5,IF(AP283="Provisional/emerging",0.25,0))))+'Weighting Options'!$D$10*IF(ISNUMBER(K283),K283/3,0)+'Weighting Options'!$D$11*IF(CC283="",0.5,IF(CC283="OK",1,0.25))+'Weighting Options'!$D$12*IF(DK283="",0.5,IF(DK283="Agrees",1,IF(DK283="Opposite",0,0.5)))+'Weighting Options'!$D$13*MIN(N(BG283),3)/3+'Weighting Options'!$D$14*IF(AE283=1,1,0))/SUM('Weighting Options'!$D$7:$D$14),0),""))</f>
        <v/>
      </c>
      <c r="DR283" s="44" t="str">
        <f>IF(AH283="","",IFERROR(INDEX('Weighting Options'!$D$20:$D$27,VALUE(LEFT(TRIM(BU283),1))),1))</f>
        <v/>
      </c>
      <c r="DS283" s="44" t="str">
        <f t="shared" si="139"/>
        <v/>
      </c>
      <c r="DT283" s="42" t="str">
        <f>IF(AH283="","",IF(COUNTIFS($AH$12:AH283,AH283,$AI$12:AI283,AI283,$AM$12:AM283,AM283)=1,1,0))</f>
        <v/>
      </c>
    </row>
    <row r="284" spans="16:124" ht="12.75" customHeight="1" x14ac:dyDescent="0.35">
      <c r="P284" s="41"/>
      <c r="Q284" s="41"/>
      <c r="R284" s="41"/>
      <c r="S284" s="41"/>
      <c r="AH284" s="40"/>
      <c r="AP284" s="40"/>
      <c r="AS284" s="41"/>
      <c r="AT284" s="41"/>
      <c r="AW284" t="str">
        <f t="shared" si="112"/>
        <v/>
      </c>
      <c r="AX284" t="str">
        <f t="shared" si="113"/>
        <v/>
      </c>
      <c r="AY284" t="str">
        <f t="shared" si="114"/>
        <v/>
      </c>
      <c r="AZ284" s="40"/>
      <c r="BL284" s="47" t="str">
        <f t="shared" si="115"/>
        <v/>
      </c>
      <c r="BM284" s="47" t="str">
        <f t="shared" si="116"/>
        <v/>
      </c>
      <c r="BN284" s="47" t="str">
        <f t="shared" si="117"/>
        <v/>
      </c>
      <c r="BO284" s="47" t="str">
        <f t="shared" si="118"/>
        <v/>
      </c>
      <c r="BP284" s="47" t="str">
        <f t="shared" si="119"/>
        <v/>
      </c>
      <c r="BQ284" s="48" t="str">
        <f t="shared" si="120"/>
        <v/>
      </c>
      <c r="BR284" s="48" t="str">
        <f t="shared" si="121"/>
        <v/>
      </c>
      <c r="BS284" s="48" t="str">
        <f t="shared" si="122"/>
        <v/>
      </c>
      <c r="BT284" s="47" t="str">
        <f t="shared" si="123"/>
        <v/>
      </c>
      <c r="CA284" s="47" t="str">
        <f t="shared" si="124"/>
        <v/>
      </c>
      <c r="CB284" s="47" t="str">
        <f t="shared" si="125"/>
        <v/>
      </c>
      <c r="CC284" s="47" t="str">
        <f t="shared" si="126"/>
        <v/>
      </c>
      <c r="CD284" s="47" t="str">
        <f t="shared" si="127"/>
        <v/>
      </c>
      <c r="CE284" s="47" t="str">
        <f>IF(AH284="","",IF(OR(AI284&lt;&gt;'Seasonal Tercile Tally'!$B$3,AM284&lt;&gt;'Seasonal Tercile Tally'!$B$4),"Other site/ season",IF(DT284=0,"Excluded: duplicate (later row)",IF(N284&lt;&gt;1,"Excluded: not sighted",IF(AC284&lt;&gt;1,"Excluded: not confirmed",IF(AD284&lt;&gt;1,"Excluded: not approved",IF(AP284="Contested","Excluded: contested",IF(OR(U284="",U284=0),"Excluded: no tercile",IF(CB284="","Counted (simple tally only — no weight)","Counted")))))))))</f>
        <v/>
      </c>
      <c r="CF284" s="49" t="str">
        <f>IF(AH284="","",IFERROR(INDEX('Prior Multipliers'!$C$6:$C$70,MATCH(LEFT(AH284,10),'Prior Multipliers'!$A$6:$A$70,0)),IFERROR(INDEX('Prior Multipliers'!$C$6:$C$70,MATCH(LEFT(AH284,6),'Prior Multipliers'!$A$6:$A$70,0)),IFERROR(INDEX('Prior Multipliers'!$C$6:$C$70,MATCH(LEFT(AH284,2),'Prior Multipliers'!$A$6:$A$70,0)),1))))</f>
        <v/>
      </c>
      <c r="CG284" s="49" t="str">
        <f>IF(CB284="","",IF(AND('Seasonal Tercile Tally'!$B$5=1,BT284="Rating-based"),CB284*CF284,CB284))</f>
        <v/>
      </c>
      <c r="CH284" s="47">
        <f t="shared" si="128"/>
        <v>0</v>
      </c>
      <c r="CI284" s="45"/>
      <c r="CJ284" s="42" t="str">
        <f t="shared" si="129"/>
        <v/>
      </c>
      <c r="CM284" s="42" t="str">
        <f t="shared" si="130"/>
        <v/>
      </c>
      <c r="CP284" s="46" t="str">
        <f t="shared" si="131"/>
        <v/>
      </c>
      <c r="CS284" s="46" t="str">
        <f t="shared" si="132"/>
        <v/>
      </c>
      <c r="CT284" s="42" t="str">
        <f t="shared" si="133"/>
        <v/>
      </c>
      <c r="CU284" s="42" t="str">
        <f t="shared" si="134"/>
        <v/>
      </c>
      <c r="CV284" s="42" t="str">
        <f t="shared" si="135"/>
        <v/>
      </c>
      <c r="DB284" s="45"/>
      <c r="DH284" s="42" t="str">
        <f t="shared" si="136"/>
        <v/>
      </c>
      <c r="DI284" s="43" t="str">
        <f t="shared" si="137"/>
        <v/>
      </c>
      <c r="DK284" s="46" t="str">
        <f t="shared" si="138"/>
        <v/>
      </c>
      <c r="DQ284" s="42" t="str">
        <f>IF(AH284="","",IFERROR(ROUND(100*('Weighting Options'!$D$7*IF(ISNUMBER(CA284),CA284/3,0)+'Weighting Options'!$D$8*MIN(N(BL284),3)/3+'Weighting Options'!$D$9*IF(AP284="Community/Plenary-endorsed",1,IF(AP284="FGD-validated only",0.75,IF(AP284="Sub-community-specific",0.5,IF(AP284="Provisional/emerging",0.25,0))))+'Weighting Options'!$D$10*IF(ISNUMBER(K284),K284/3,0)+'Weighting Options'!$D$11*IF(CC284="",0.5,IF(CC284="OK",1,0.25))+'Weighting Options'!$D$12*IF(DK284="",0.5,IF(DK284="Agrees",1,IF(DK284="Opposite",0,0.5)))+'Weighting Options'!$D$13*MIN(N(BG284),3)/3+'Weighting Options'!$D$14*IF(AE284=1,1,0))/SUM('Weighting Options'!$D$7:$D$14),0),""))</f>
        <v/>
      </c>
      <c r="DR284" s="44" t="str">
        <f>IF(AH284="","",IFERROR(INDEX('Weighting Options'!$D$20:$D$27,VALUE(LEFT(TRIM(BU284),1))),1))</f>
        <v/>
      </c>
      <c r="DS284" s="44" t="str">
        <f t="shared" si="139"/>
        <v/>
      </c>
      <c r="DT284" s="42" t="str">
        <f>IF(AH284="","",IF(COUNTIFS($AH$12:AH284,AH284,$AI$12:AI284,AI284,$AM$12:AM284,AM284)=1,1,0))</f>
        <v/>
      </c>
    </row>
    <row r="285" spans="16:124" ht="12.75" customHeight="1" x14ac:dyDescent="0.35">
      <c r="P285" s="41"/>
      <c r="Q285" s="41"/>
      <c r="R285" s="41"/>
      <c r="S285" s="41"/>
      <c r="AH285" s="40"/>
      <c r="AP285" s="40"/>
      <c r="AS285" s="41"/>
      <c r="AT285" s="41"/>
      <c r="AW285" t="str">
        <f t="shared" si="112"/>
        <v/>
      </c>
      <c r="AX285" t="str">
        <f t="shared" si="113"/>
        <v/>
      </c>
      <c r="AY285" t="str">
        <f t="shared" si="114"/>
        <v/>
      </c>
      <c r="AZ285" s="40"/>
      <c r="BL285" s="47" t="str">
        <f t="shared" si="115"/>
        <v/>
      </c>
      <c r="BM285" s="47" t="str">
        <f t="shared" si="116"/>
        <v/>
      </c>
      <c r="BN285" s="47" t="str">
        <f t="shared" si="117"/>
        <v/>
      </c>
      <c r="BO285" s="47" t="str">
        <f t="shared" si="118"/>
        <v/>
      </c>
      <c r="BP285" s="47" t="str">
        <f t="shared" si="119"/>
        <v/>
      </c>
      <c r="BQ285" s="48" t="str">
        <f t="shared" si="120"/>
        <v/>
      </c>
      <c r="BR285" s="48" t="str">
        <f t="shared" si="121"/>
        <v/>
      </c>
      <c r="BS285" s="48" t="str">
        <f t="shared" si="122"/>
        <v/>
      </c>
      <c r="BT285" s="47" t="str">
        <f t="shared" si="123"/>
        <v/>
      </c>
      <c r="CA285" s="47" t="str">
        <f t="shared" si="124"/>
        <v/>
      </c>
      <c r="CB285" s="47" t="str">
        <f t="shared" si="125"/>
        <v/>
      </c>
      <c r="CC285" s="47" t="str">
        <f t="shared" si="126"/>
        <v/>
      </c>
      <c r="CD285" s="47" t="str">
        <f t="shared" si="127"/>
        <v/>
      </c>
      <c r="CE285" s="47" t="str">
        <f>IF(AH285="","",IF(OR(AI285&lt;&gt;'Seasonal Tercile Tally'!$B$3,AM285&lt;&gt;'Seasonal Tercile Tally'!$B$4),"Other site/ season",IF(DT285=0,"Excluded: duplicate (later row)",IF(N285&lt;&gt;1,"Excluded: not sighted",IF(AC285&lt;&gt;1,"Excluded: not confirmed",IF(AD285&lt;&gt;1,"Excluded: not approved",IF(AP285="Contested","Excluded: contested",IF(OR(U285="",U285=0),"Excluded: no tercile",IF(CB285="","Counted (simple tally only — no weight)","Counted")))))))))</f>
        <v/>
      </c>
      <c r="CF285" s="49" t="str">
        <f>IF(AH285="","",IFERROR(INDEX('Prior Multipliers'!$C$6:$C$70,MATCH(LEFT(AH285,10),'Prior Multipliers'!$A$6:$A$70,0)),IFERROR(INDEX('Prior Multipliers'!$C$6:$C$70,MATCH(LEFT(AH285,6),'Prior Multipliers'!$A$6:$A$70,0)),IFERROR(INDEX('Prior Multipliers'!$C$6:$C$70,MATCH(LEFT(AH285,2),'Prior Multipliers'!$A$6:$A$70,0)),1))))</f>
        <v/>
      </c>
      <c r="CG285" s="49" t="str">
        <f>IF(CB285="","",IF(AND('Seasonal Tercile Tally'!$B$5=1,BT285="Rating-based"),CB285*CF285,CB285))</f>
        <v/>
      </c>
      <c r="CH285" s="47">
        <f t="shared" si="128"/>
        <v>0</v>
      </c>
      <c r="CI285" s="45"/>
      <c r="CJ285" s="42" t="str">
        <f t="shared" si="129"/>
        <v/>
      </c>
      <c r="CM285" s="42" t="str">
        <f t="shared" si="130"/>
        <v/>
      </c>
      <c r="CP285" s="46" t="str">
        <f t="shared" si="131"/>
        <v/>
      </c>
      <c r="CS285" s="46" t="str">
        <f t="shared" si="132"/>
        <v/>
      </c>
      <c r="CT285" s="42" t="str">
        <f t="shared" si="133"/>
        <v/>
      </c>
      <c r="CU285" s="42" t="str">
        <f t="shared" si="134"/>
        <v/>
      </c>
      <c r="CV285" s="42" t="str">
        <f t="shared" si="135"/>
        <v/>
      </c>
      <c r="DB285" s="45"/>
      <c r="DH285" s="42" t="str">
        <f t="shared" si="136"/>
        <v/>
      </c>
      <c r="DI285" s="43" t="str">
        <f t="shared" si="137"/>
        <v/>
      </c>
      <c r="DK285" s="46" t="str">
        <f t="shared" si="138"/>
        <v/>
      </c>
      <c r="DQ285" s="42" t="str">
        <f>IF(AH285="","",IFERROR(ROUND(100*('Weighting Options'!$D$7*IF(ISNUMBER(CA285),CA285/3,0)+'Weighting Options'!$D$8*MIN(N(BL285),3)/3+'Weighting Options'!$D$9*IF(AP285="Community/Plenary-endorsed",1,IF(AP285="FGD-validated only",0.75,IF(AP285="Sub-community-specific",0.5,IF(AP285="Provisional/emerging",0.25,0))))+'Weighting Options'!$D$10*IF(ISNUMBER(K285),K285/3,0)+'Weighting Options'!$D$11*IF(CC285="",0.5,IF(CC285="OK",1,0.25))+'Weighting Options'!$D$12*IF(DK285="",0.5,IF(DK285="Agrees",1,IF(DK285="Opposite",0,0.5)))+'Weighting Options'!$D$13*MIN(N(BG285),3)/3+'Weighting Options'!$D$14*IF(AE285=1,1,0))/SUM('Weighting Options'!$D$7:$D$14),0),""))</f>
        <v/>
      </c>
      <c r="DR285" s="44" t="str">
        <f>IF(AH285="","",IFERROR(INDEX('Weighting Options'!$D$20:$D$27,VALUE(LEFT(TRIM(BU285),1))),1))</f>
        <v/>
      </c>
      <c r="DS285" s="44" t="str">
        <f t="shared" si="139"/>
        <v/>
      </c>
      <c r="DT285" s="42" t="str">
        <f>IF(AH285="","",IF(COUNTIFS($AH$12:AH285,AH285,$AI$12:AI285,AI285,$AM$12:AM285,AM285)=1,1,0))</f>
        <v/>
      </c>
    </row>
    <row r="286" spans="16:124" ht="12.75" customHeight="1" x14ac:dyDescent="0.35">
      <c r="P286" s="41"/>
      <c r="Q286" s="41"/>
      <c r="R286" s="41"/>
      <c r="S286" s="41"/>
      <c r="AH286" s="40"/>
      <c r="AP286" s="40"/>
      <c r="AS286" s="41"/>
      <c r="AT286" s="41"/>
      <c r="AW286" t="str">
        <f t="shared" si="112"/>
        <v/>
      </c>
      <c r="AX286" t="str">
        <f t="shared" si="113"/>
        <v/>
      </c>
      <c r="AY286" t="str">
        <f t="shared" si="114"/>
        <v/>
      </c>
      <c r="AZ286" s="40"/>
      <c r="BL286" s="47" t="str">
        <f t="shared" si="115"/>
        <v/>
      </c>
      <c r="BM286" s="47" t="str">
        <f t="shared" si="116"/>
        <v/>
      </c>
      <c r="BN286" s="47" t="str">
        <f t="shared" si="117"/>
        <v/>
      </c>
      <c r="BO286" s="47" t="str">
        <f t="shared" si="118"/>
        <v/>
      </c>
      <c r="BP286" s="47" t="str">
        <f t="shared" si="119"/>
        <v/>
      </c>
      <c r="BQ286" s="48" t="str">
        <f t="shared" si="120"/>
        <v/>
      </c>
      <c r="BR286" s="48" t="str">
        <f t="shared" si="121"/>
        <v/>
      </c>
      <c r="BS286" s="48" t="str">
        <f t="shared" si="122"/>
        <v/>
      </c>
      <c r="BT286" s="47" t="str">
        <f t="shared" si="123"/>
        <v/>
      </c>
      <c r="CA286" s="47" t="str">
        <f t="shared" si="124"/>
        <v/>
      </c>
      <c r="CB286" s="47" t="str">
        <f t="shared" si="125"/>
        <v/>
      </c>
      <c r="CC286" s="47" t="str">
        <f t="shared" si="126"/>
        <v/>
      </c>
      <c r="CD286" s="47" t="str">
        <f t="shared" si="127"/>
        <v/>
      </c>
      <c r="CE286" s="47" t="str">
        <f>IF(AH286="","",IF(OR(AI286&lt;&gt;'Seasonal Tercile Tally'!$B$3,AM286&lt;&gt;'Seasonal Tercile Tally'!$B$4),"Other site/ season",IF(DT286=0,"Excluded: duplicate (later row)",IF(N286&lt;&gt;1,"Excluded: not sighted",IF(AC286&lt;&gt;1,"Excluded: not confirmed",IF(AD286&lt;&gt;1,"Excluded: not approved",IF(AP286="Contested","Excluded: contested",IF(OR(U286="",U286=0),"Excluded: no tercile",IF(CB286="","Counted (simple tally only — no weight)","Counted")))))))))</f>
        <v/>
      </c>
      <c r="CF286" s="49" t="str">
        <f>IF(AH286="","",IFERROR(INDEX('Prior Multipliers'!$C$6:$C$70,MATCH(LEFT(AH286,10),'Prior Multipliers'!$A$6:$A$70,0)),IFERROR(INDEX('Prior Multipliers'!$C$6:$C$70,MATCH(LEFT(AH286,6),'Prior Multipliers'!$A$6:$A$70,0)),IFERROR(INDEX('Prior Multipliers'!$C$6:$C$70,MATCH(LEFT(AH286,2),'Prior Multipliers'!$A$6:$A$70,0)),1))))</f>
        <v/>
      </c>
      <c r="CG286" s="49" t="str">
        <f>IF(CB286="","",IF(AND('Seasonal Tercile Tally'!$B$5=1,BT286="Rating-based"),CB286*CF286,CB286))</f>
        <v/>
      </c>
      <c r="CH286" s="47">
        <f t="shared" si="128"/>
        <v>0</v>
      </c>
      <c r="CI286" s="45"/>
      <c r="CJ286" s="42" t="str">
        <f t="shared" si="129"/>
        <v/>
      </c>
      <c r="CM286" s="42" t="str">
        <f t="shared" si="130"/>
        <v/>
      </c>
      <c r="CP286" s="46" t="str">
        <f t="shared" si="131"/>
        <v/>
      </c>
      <c r="CS286" s="46" t="str">
        <f t="shared" si="132"/>
        <v/>
      </c>
      <c r="CT286" s="42" t="str">
        <f t="shared" si="133"/>
        <v/>
      </c>
      <c r="CU286" s="42" t="str">
        <f t="shared" si="134"/>
        <v/>
      </c>
      <c r="CV286" s="42" t="str">
        <f t="shared" si="135"/>
        <v/>
      </c>
      <c r="DB286" s="45"/>
      <c r="DH286" s="42" t="str">
        <f t="shared" si="136"/>
        <v/>
      </c>
      <c r="DI286" s="43" t="str">
        <f t="shared" si="137"/>
        <v/>
      </c>
      <c r="DK286" s="46" t="str">
        <f t="shared" si="138"/>
        <v/>
      </c>
      <c r="DQ286" s="42" t="str">
        <f>IF(AH286="","",IFERROR(ROUND(100*('Weighting Options'!$D$7*IF(ISNUMBER(CA286),CA286/3,0)+'Weighting Options'!$D$8*MIN(N(BL286),3)/3+'Weighting Options'!$D$9*IF(AP286="Community/Plenary-endorsed",1,IF(AP286="FGD-validated only",0.75,IF(AP286="Sub-community-specific",0.5,IF(AP286="Provisional/emerging",0.25,0))))+'Weighting Options'!$D$10*IF(ISNUMBER(K286),K286/3,0)+'Weighting Options'!$D$11*IF(CC286="",0.5,IF(CC286="OK",1,0.25))+'Weighting Options'!$D$12*IF(DK286="",0.5,IF(DK286="Agrees",1,IF(DK286="Opposite",0,0.5)))+'Weighting Options'!$D$13*MIN(N(BG286),3)/3+'Weighting Options'!$D$14*IF(AE286=1,1,0))/SUM('Weighting Options'!$D$7:$D$14),0),""))</f>
        <v/>
      </c>
      <c r="DR286" s="44" t="str">
        <f>IF(AH286="","",IFERROR(INDEX('Weighting Options'!$D$20:$D$27,VALUE(LEFT(TRIM(BU286),1))),1))</f>
        <v/>
      </c>
      <c r="DS286" s="44" t="str">
        <f t="shared" si="139"/>
        <v/>
      </c>
      <c r="DT286" s="42" t="str">
        <f>IF(AH286="","",IF(COUNTIFS($AH$12:AH286,AH286,$AI$12:AI286,AI286,$AM$12:AM286,AM286)=1,1,0))</f>
        <v/>
      </c>
    </row>
    <row r="287" spans="16:124" ht="12.75" customHeight="1" x14ac:dyDescent="0.35">
      <c r="P287" s="41"/>
      <c r="Q287" s="41"/>
      <c r="R287" s="41"/>
      <c r="S287" s="41"/>
      <c r="AH287" s="40"/>
      <c r="AP287" s="40"/>
      <c r="AS287" s="41"/>
      <c r="AT287" s="41"/>
      <c r="AW287" t="str">
        <f t="shared" si="112"/>
        <v/>
      </c>
      <c r="AX287" t="str">
        <f t="shared" si="113"/>
        <v/>
      </c>
      <c r="AY287" t="str">
        <f t="shared" si="114"/>
        <v/>
      </c>
      <c r="AZ287" s="40"/>
      <c r="BL287" s="47" t="str">
        <f t="shared" si="115"/>
        <v/>
      </c>
      <c r="BM287" s="47" t="str">
        <f t="shared" si="116"/>
        <v/>
      </c>
      <c r="BN287" s="47" t="str">
        <f t="shared" si="117"/>
        <v/>
      </c>
      <c r="BO287" s="47" t="str">
        <f t="shared" si="118"/>
        <v/>
      </c>
      <c r="BP287" s="47" t="str">
        <f t="shared" si="119"/>
        <v/>
      </c>
      <c r="BQ287" s="48" t="str">
        <f t="shared" si="120"/>
        <v/>
      </c>
      <c r="BR287" s="48" t="str">
        <f t="shared" si="121"/>
        <v/>
      </c>
      <c r="BS287" s="48" t="str">
        <f t="shared" si="122"/>
        <v/>
      </c>
      <c r="BT287" s="47" t="str">
        <f t="shared" si="123"/>
        <v/>
      </c>
      <c r="CA287" s="47" t="str">
        <f t="shared" si="124"/>
        <v/>
      </c>
      <c r="CB287" s="47" t="str">
        <f t="shared" si="125"/>
        <v/>
      </c>
      <c r="CC287" s="47" t="str">
        <f t="shared" si="126"/>
        <v/>
      </c>
      <c r="CD287" s="47" t="str">
        <f t="shared" si="127"/>
        <v/>
      </c>
      <c r="CE287" s="47" t="str">
        <f>IF(AH287="","",IF(OR(AI287&lt;&gt;'Seasonal Tercile Tally'!$B$3,AM287&lt;&gt;'Seasonal Tercile Tally'!$B$4),"Other site/ season",IF(DT287=0,"Excluded: duplicate (later row)",IF(N287&lt;&gt;1,"Excluded: not sighted",IF(AC287&lt;&gt;1,"Excluded: not confirmed",IF(AD287&lt;&gt;1,"Excluded: not approved",IF(AP287="Contested","Excluded: contested",IF(OR(U287="",U287=0),"Excluded: no tercile",IF(CB287="","Counted (simple tally only — no weight)","Counted")))))))))</f>
        <v/>
      </c>
      <c r="CF287" s="49" t="str">
        <f>IF(AH287="","",IFERROR(INDEX('Prior Multipliers'!$C$6:$C$70,MATCH(LEFT(AH287,10),'Prior Multipliers'!$A$6:$A$70,0)),IFERROR(INDEX('Prior Multipliers'!$C$6:$C$70,MATCH(LEFT(AH287,6),'Prior Multipliers'!$A$6:$A$70,0)),IFERROR(INDEX('Prior Multipliers'!$C$6:$C$70,MATCH(LEFT(AH287,2),'Prior Multipliers'!$A$6:$A$70,0)),1))))</f>
        <v/>
      </c>
      <c r="CG287" s="49" t="str">
        <f>IF(CB287="","",IF(AND('Seasonal Tercile Tally'!$B$5=1,BT287="Rating-based"),CB287*CF287,CB287))</f>
        <v/>
      </c>
      <c r="CH287" s="47">
        <f t="shared" si="128"/>
        <v>0</v>
      </c>
      <c r="CI287" s="45"/>
      <c r="CJ287" s="42" t="str">
        <f t="shared" si="129"/>
        <v/>
      </c>
      <c r="CM287" s="42" t="str">
        <f t="shared" si="130"/>
        <v/>
      </c>
      <c r="CP287" s="46" t="str">
        <f t="shared" si="131"/>
        <v/>
      </c>
      <c r="CS287" s="46" t="str">
        <f t="shared" si="132"/>
        <v/>
      </c>
      <c r="CT287" s="42" t="str">
        <f t="shared" si="133"/>
        <v/>
      </c>
      <c r="CU287" s="42" t="str">
        <f t="shared" si="134"/>
        <v/>
      </c>
      <c r="CV287" s="42" t="str">
        <f t="shared" si="135"/>
        <v/>
      </c>
      <c r="DB287" s="45"/>
      <c r="DH287" s="42" t="str">
        <f t="shared" si="136"/>
        <v/>
      </c>
      <c r="DI287" s="43" t="str">
        <f t="shared" si="137"/>
        <v/>
      </c>
      <c r="DK287" s="46" t="str">
        <f t="shared" si="138"/>
        <v/>
      </c>
      <c r="DQ287" s="42" t="str">
        <f>IF(AH287="","",IFERROR(ROUND(100*('Weighting Options'!$D$7*IF(ISNUMBER(CA287),CA287/3,0)+'Weighting Options'!$D$8*MIN(N(BL287),3)/3+'Weighting Options'!$D$9*IF(AP287="Community/Plenary-endorsed",1,IF(AP287="FGD-validated only",0.75,IF(AP287="Sub-community-specific",0.5,IF(AP287="Provisional/emerging",0.25,0))))+'Weighting Options'!$D$10*IF(ISNUMBER(K287),K287/3,0)+'Weighting Options'!$D$11*IF(CC287="",0.5,IF(CC287="OK",1,0.25))+'Weighting Options'!$D$12*IF(DK287="",0.5,IF(DK287="Agrees",1,IF(DK287="Opposite",0,0.5)))+'Weighting Options'!$D$13*MIN(N(BG287),3)/3+'Weighting Options'!$D$14*IF(AE287=1,1,0))/SUM('Weighting Options'!$D$7:$D$14),0),""))</f>
        <v/>
      </c>
      <c r="DR287" s="44" t="str">
        <f>IF(AH287="","",IFERROR(INDEX('Weighting Options'!$D$20:$D$27,VALUE(LEFT(TRIM(BU287),1))),1))</f>
        <v/>
      </c>
      <c r="DS287" s="44" t="str">
        <f t="shared" si="139"/>
        <v/>
      </c>
      <c r="DT287" s="42" t="str">
        <f>IF(AH287="","",IF(COUNTIFS($AH$12:AH287,AH287,$AI$12:AI287,AI287,$AM$12:AM287,AM287)=1,1,0))</f>
        <v/>
      </c>
    </row>
    <row r="288" spans="16:124" ht="12.75" customHeight="1" x14ac:dyDescent="0.35">
      <c r="P288" s="41"/>
      <c r="Q288" s="41"/>
      <c r="R288" s="41"/>
      <c r="S288" s="41"/>
      <c r="AH288" s="40"/>
      <c r="AP288" s="40"/>
      <c r="AS288" s="41"/>
      <c r="AT288" s="41"/>
      <c r="AW288" t="str">
        <f t="shared" si="112"/>
        <v/>
      </c>
      <c r="AX288" t="str">
        <f t="shared" si="113"/>
        <v/>
      </c>
      <c r="AY288" t="str">
        <f t="shared" si="114"/>
        <v/>
      </c>
      <c r="AZ288" s="40"/>
      <c r="BL288" s="47" t="str">
        <f t="shared" si="115"/>
        <v/>
      </c>
      <c r="BM288" s="47" t="str">
        <f t="shared" si="116"/>
        <v/>
      </c>
      <c r="BN288" s="47" t="str">
        <f t="shared" si="117"/>
        <v/>
      </c>
      <c r="BO288" s="47" t="str">
        <f t="shared" si="118"/>
        <v/>
      </c>
      <c r="BP288" s="47" t="str">
        <f t="shared" si="119"/>
        <v/>
      </c>
      <c r="BQ288" s="48" t="str">
        <f t="shared" si="120"/>
        <v/>
      </c>
      <c r="BR288" s="48" t="str">
        <f t="shared" si="121"/>
        <v/>
      </c>
      <c r="BS288" s="48" t="str">
        <f t="shared" si="122"/>
        <v/>
      </c>
      <c r="BT288" s="47" t="str">
        <f t="shared" si="123"/>
        <v/>
      </c>
      <c r="CA288" s="47" t="str">
        <f t="shared" si="124"/>
        <v/>
      </c>
      <c r="CB288" s="47" t="str">
        <f t="shared" si="125"/>
        <v/>
      </c>
      <c r="CC288" s="47" t="str">
        <f t="shared" si="126"/>
        <v/>
      </c>
      <c r="CD288" s="47" t="str">
        <f t="shared" si="127"/>
        <v/>
      </c>
      <c r="CE288" s="47" t="str">
        <f>IF(AH288="","",IF(OR(AI288&lt;&gt;'Seasonal Tercile Tally'!$B$3,AM288&lt;&gt;'Seasonal Tercile Tally'!$B$4),"Other site/ season",IF(DT288=0,"Excluded: duplicate (later row)",IF(N288&lt;&gt;1,"Excluded: not sighted",IF(AC288&lt;&gt;1,"Excluded: not confirmed",IF(AD288&lt;&gt;1,"Excluded: not approved",IF(AP288="Contested","Excluded: contested",IF(OR(U288="",U288=0),"Excluded: no tercile",IF(CB288="","Counted (simple tally only — no weight)","Counted")))))))))</f>
        <v/>
      </c>
      <c r="CF288" s="49" t="str">
        <f>IF(AH288="","",IFERROR(INDEX('Prior Multipliers'!$C$6:$C$70,MATCH(LEFT(AH288,10),'Prior Multipliers'!$A$6:$A$70,0)),IFERROR(INDEX('Prior Multipliers'!$C$6:$C$70,MATCH(LEFT(AH288,6),'Prior Multipliers'!$A$6:$A$70,0)),IFERROR(INDEX('Prior Multipliers'!$C$6:$C$70,MATCH(LEFT(AH288,2),'Prior Multipliers'!$A$6:$A$70,0)),1))))</f>
        <v/>
      </c>
      <c r="CG288" s="49" t="str">
        <f>IF(CB288="","",IF(AND('Seasonal Tercile Tally'!$B$5=1,BT288="Rating-based"),CB288*CF288,CB288))</f>
        <v/>
      </c>
      <c r="CH288" s="47">
        <f t="shared" si="128"/>
        <v>0</v>
      </c>
      <c r="CI288" s="45"/>
      <c r="CJ288" s="42" t="str">
        <f t="shared" si="129"/>
        <v/>
      </c>
      <c r="CM288" s="42" t="str">
        <f t="shared" si="130"/>
        <v/>
      </c>
      <c r="CP288" s="46" t="str">
        <f t="shared" si="131"/>
        <v/>
      </c>
      <c r="CS288" s="46" t="str">
        <f t="shared" si="132"/>
        <v/>
      </c>
      <c r="CT288" s="42" t="str">
        <f t="shared" si="133"/>
        <v/>
      </c>
      <c r="CU288" s="42" t="str">
        <f t="shared" si="134"/>
        <v/>
      </c>
      <c r="CV288" s="42" t="str">
        <f t="shared" si="135"/>
        <v/>
      </c>
      <c r="DB288" s="45"/>
      <c r="DH288" s="42" t="str">
        <f t="shared" si="136"/>
        <v/>
      </c>
      <c r="DI288" s="43" t="str">
        <f t="shared" si="137"/>
        <v/>
      </c>
      <c r="DK288" s="46" t="str">
        <f t="shared" si="138"/>
        <v/>
      </c>
      <c r="DQ288" s="42" t="str">
        <f>IF(AH288="","",IFERROR(ROUND(100*('Weighting Options'!$D$7*IF(ISNUMBER(CA288),CA288/3,0)+'Weighting Options'!$D$8*MIN(N(BL288),3)/3+'Weighting Options'!$D$9*IF(AP288="Community/Plenary-endorsed",1,IF(AP288="FGD-validated only",0.75,IF(AP288="Sub-community-specific",0.5,IF(AP288="Provisional/emerging",0.25,0))))+'Weighting Options'!$D$10*IF(ISNUMBER(K288),K288/3,0)+'Weighting Options'!$D$11*IF(CC288="",0.5,IF(CC288="OK",1,0.25))+'Weighting Options'!$D$12*IF(DK288="",0.5,IF(DK288="Agrees",1,IF(DK288="Opposite",0,0.5)))+'Weighting Options'!$D$13*MIN(N(BG288),3)/3+'Weighting Options'!$D$14*IF(AE288=1,1,0))/SUM('Weighting Options'!$D$7:$D$14),0),""))</f>
        <v/>
      </c>
      <c r="DR288" s="44" t="str">
        <f>IF(AH288="","",IFERROR(INDEX('Weighting Options'!$D$20:$D$27,VALUE(LEFT(TRIM(BU288),1))),1))</f>
        <v/>
      </c>
      <c r="DS288" s="44" t="str">
        <f t="shared" si="139"/>
        <v/>
      </c>
      <c r="DT288" s="42" t="str">
        <f>IF(AH288="","",IF(COUNTIFS($AH$12:AH288,AH288,$AI$12:AI288,AI288,$AM$12:AM288,AM288)=1,1,0))</f>
        <v/>
      </c>
    </row>
    <row r="289" spans="16:124" ht="12.75" customHeight="1" x14ac:dyDescent="0.35">
      <c r="P289" s="41"/>
      <c r="Q289" s="41"/>
      <c r="R289" s="41"/>
      <c r="S289" s="41"/>
      <c r="AH289" s="40"/>
      <c r="AP289" s="40"/>
      <c r="AS289" s="41"/>
      <c r="AT289" s="41"/>
      <c r="AW289" t="str">
        <f t="shared" si="112"/>
        <v/>
      </c>
      <c r="AX289" t="str">
        <f t="shared" si="113"/>
        <v/>
      </c>
      <c r="AY289" t="str">
        <f t="shared" si="114"/>
        <v/>
      </c>
      <c r="AZ289" s="40"/>
      <c r="BL289" s="47" t="str">
        <f t="shared" si="115"/>
        <v/>
      </c>
      <c r="BM289" s="47" t="str">
        <f t="shared" si="116"/>
        <v/>
      </c>
      <c r="BN289" s="47" t="str">
        <f t="shared" si="117"/>
        <v/>
      </c>
      <c r="BO289" s="47" t="str">
        <f t="shared" si="118"/>
        <v/>
      </c>
      <c r="BP289" s="47" t="str">
        <f t="shared" si="119"/>
        <v/>
      </c>
      <c r="BQ289" s="48" t="str">
        <f t="shared" si="120"/>
        <v/>
      </c>
      <c r="BR289" s="48" t="str">
        <f t="shared" si="121"/>
        <v/>
      </c>
      <c r="BS289" s="48" t="str">
        <f t="shared" si="122"/>
        <v/>
      </c>
      <c r="BT289" s="47" t="str">
        <f t="shared" si="123"/>
        <v/>
      </c>
      <c r="CA289" s="47" t="str">
        <f t="shared" si="124"/>
        <v/>
      </c>
      <c r="CB289" s="47" t="str">
        <f t="shared" si="125"/>
        <v/>
      </c>
      <c r="CC289" s="47" t="str">
        <f t="shared" si="126"/>
        <v/>
      </c>
      <c r="CD289" s="47" t="str">
        <f t="shared" si="127"/>
        <v/>
      </c>
      <c r="CE289" s="47" t="str">
        <f>IF(AH289="","",IF(OR(AI289&lt;&gt;'Seasonal Tercile Tally'!$B$3,AM289&lt;&gt;'Seasonal Tercile Tally'!$B$4),"Other site/ season",IF(DT289=0,"Excluded: duplicate (later row)",IF(N289&lt;&gt;1,"Excluded: not sighted",IF(AC289&lt;&gt;1,"Excluded: not confirmed",IF(AD289&lt;&gt;1,"Excluded: not approved",IF(AP289="Contested","Excluded: contested",IF(OR(U289="",U289=0),"Excluded: no tercile",IF(CB289="","Counted (simple tally only — no weight)","Counted")))))))))</f>
        <v/>
      </c>
      <c r="CF289" s="49" t="str">
        <f>IF(AH289="","",IFERROR(INDEX('Prior Multipliers'!$C$6:$C$70,MATCH(LEFT(AH289,10),'Prior Multipliers'!$A$6:$A$70,0)),IFERROR(INDEX('Prior Multipliers'!$C$6:$C$70,MATCH(LEFT(AH289,6),'Prior Multipliers'!$A$6:$A$70,0)),IFERROR(INDEX('Prior Multipliers'!$C$6:$C$70,MATCH(LEFT(AH289,2),'Prior Multipliers'!$A$6:$A$70,0)),1))))</f>
        <v/>
      </c>
      <c r="CG289" s="49" t="str">
        <f>IF(CB289="","",IF(AND('Seasonal Tercile Tally'!$B$5=1,BT289="Rating-based"),CB289*CF289,CB289))</f>
        <v/>
      </c>
      <c r="CH289" s="47">
        <f t="shared" si="128"/>
        <v>0</v>
      </c>
      <c r="CI289" s="45"/>
      <c r="CJ289" s="42" t="str">
        <f t="shared" si="129"/>
        <v/>
      </c>
      <c r="CM289" s="42" t="str">
        <f t="shared" si="130"/>
        <v/>
      </c>
      <c r="CP289" s="46" t="str">
        <f t="shared" si="131"/>
        <v/>
      </c>
      <c r="CS289" s="46" t="str">
        <f t="shared" si="132"/>
        <v/>
      </c>
      <c r="CT289" s="42" t="str">
        <f t="shared" si="133"/>
        <v/>
      </c>
      <c r="CU289" s="42" t="str">
        <f t="shared" si="134"/>
        <v/>
      </c>
      <c r="CV289" s="42" t="str">
        <f t="shared" si="135"/>
        <v/>
      </c>
      <c r="DB289" s="45"/>
      <c r="DH289" s="42" t="str">
        <f t="shared" si="136"/>
        <v/>
      </c>
      <c r="DI289" s="43" t="str">
        <f t="shared" si="137"/>
        <v/>
      </c>
      <c r="DK289" s="46" t="str">
        <f t="shared" si="138"/>
        <v/>
      </c>
      <c r="DQ289" s="42" t="str">
        <f>IF(AH289="","",IFERROR(ROUND(100*('Weighting Options'!$D$7*IF(ISNUMBER(CA289),CA289/3,0)+'Weighting Options'!$D$8*MIN(N(BL289),3)/3+'Weighting Options'!$D$9*IF(AP289="Community/Plenary-endorsed",1,IF(AP289="FGD-validated only",0.75,IF(AP289="Sub-community-specific",0.5,IF(AP289="Provisional/emerging",0.25,0))))+'Weighting Options'!$D$10*IF(ISNUMBER(K289),K289/3,0)+'Weighting Options'!$D$11*IF(CC289="",0.5,IF(CC289="OK",1,0.25))+'Weighting Options'!$D$12*IF(DK289="",0.5,IF(DK289="Agrees",1,IF(DK289="Opposite",0,0.5)))+'Weighting Options'!$D$13*MIN(N(BG289),3)/3+'Weighting Options'!$D$14*IF(AE289=1,1,0))/SUM('Weighting Options'!$D$7:$D$14),0),""))</f>
        <v/>
      </c>
      <c r="DR289" s="44" t="str">
        <f>IF(AH289="","",IFERROR(INDEX('Weighting Options'!$D$20:$D$27,VALUE(LEFT(TRIM(BU289),1))),1))</f>
        <v/>
      </c>
      <c r="DS289" s="44" t="str">
        <f t="shared" si="139"/>
        <v/>
      </c>
      <c r="DT289" s="42" t="str">
        <f>IF(AH289="","",IF(COUNTIFS($AH$12:AH289,AH289,$AI$12:AI289,AI289,$AM$12:AM289,AM289)=1,1,0))</f>
        <v/>
      </c>
    </row>
    <row r="290" spans="16:124" ht="12.75" customHeight="1" x14ac:dyDescent="0.35">
      <c r="P290" s="41"/>
      <c r="Q290" s="41"/>
      <c r="R290" s="41"/>
      <c r="S290" s="41"/>
      <c r="AH290" s="40"/>
      <c r="AP290" s="40"/>
      <c r="AS290" s="41"/>
      <c r="AT290" s="41"/>
      <c r="AW290" t="str">
        <f t="shared" si="112"/>
        <v/>
      </c>
      <c r="AX290" t="str">
        <f t="shared" si="113"/>
        <v/>
      </c>
      <c r="AY290" t="str">
        <f t="shared" si="114"/>
        <v/>
      </c>
      <c r="AZ290" s="40"/>
      <c r="BL290" s="47" t="str">
        <f t="shared" si="115"/>
        <v/>
      </c>
      <c r="BM290" s="47" t="str">
        <f t="shared" si="116"/>
        <v/>
      </c>
      <c r="BN290" s="47" t="str">
        <f t="shared" si="117"/>
        <v/>
      </c>
      <c r="BO290" s="47" t="str">
        <f t="shared" si="118"/>
        <v/>
      </c>
      <c r="BP290" s="47" t="str">
        <f t="shared" si="119"/>
        <v/>
      </c>
      <c r="BQ290" s="48" t="str">
        <f t="shared" si="120"/>
        <v/>
      </c>
      <c r="BR290" s="48" t="str">
        <f t="shared" si="121"/>
        <v/>
      </c>
      <c r="BS290" s="48" t="str">
        <f t="shared" si="122"/>
        <v/>
      </c>
      <c r="BT290" s="47" t="str">
        <f t="shared" si="123"/>
        <v/>
      </c>
      <c r="CA290" s="47" t="str">
        <f t="shared" si="124"/>
        <v/>
      </c>
      <c r="CB290" s="47" t="str">
        <f t="shared" si="125"/>
        <v/>
      </c>
      <c r="CC290" s="47" t="str">
        <f t="shared" si="126"/>
        <v/>
      </c>
      <c r="CD290" s="47" t="str">
        <f t="shared" si="127"/>
        <v/>
      </c>
      <c r="CE290" s="47" t="str">
        <f>IF(AH290="","",IF(OR(AI290&lt;&gt;'Seasonal Tercile Tally'!$B$3,AM290&lt;&gt;'Seasonal Tercile Tally'!$B$4),"Other site/ season",IF(DT290=0,"Excluded: duplicate (later row)",IF(N290&lt;&gt;1,"Excluded: not sighted",IF(AC290&lt;&gt;1,"Excluded: not confirmed",IF(AD290&lt;&gt;1,"Excluded: not approved",IF(AP290="Contested","Excluded: contested",IF(OR(U290="",U290=0),"Excluded: no tercile",IF(CB290="","Counted (simple tally only — no weight)","Counted")))))))))</f>
        <v/>
      </c>
      <c r="CF290" s="49" t="str">
        <f>IF(AH290="","",IFERROR(INDEX('Prior Multipliers'!$C$6:$C$70,MATCH(LEFT(AH290,10),'Prior Multipliers'!$A$6:$A$70,0)),IFERROR(INDEX('Prior Multipliers'!$C$6:$C$70,MATCH(LEFT(AH290,6),'Prior Multipliers'!$A$6:$A$70,0)),IFERROR(INDEX('Prior Multipliers'!$C$6:$C$70,MATCH(LEFT(AH290,2),'Prior Multipliers'!$A$6:$A$70,0)),1))))</f>
        <v/>
      </c>
      <c r="CG290" s="49" t="str">
        <f>IF(CB290="","",IF(AND('Seasonal Tercile Tally'!$B$5=1,BT290="Rating-based"),CB290*CF290,CB290))</f>
        <v/>
      </c>
      <c r="CH290" s="47">
        <f t="shared" si="128"/>
        <v>0</v>
      </c>
      <c r="CI290" s="45"/>
      <c r="CJ290" s="42" t="str">
        <f t="shared" si="129"/>
        <v/>
      </c>
      <c r="CM290" s="42" t="str">
        <f t="shared" si="130"/>
        <v/>
      </c>
      <c r="CP290" s="46" t="str">
        <f t="shared" si="131"/>
        <v/>
      </c>
      <c r="CS290" s="46" t="str">
        <f t="shared" si="132"/>
        <v/>
      </c>
      <c r="CT290" s="42" t="str">
        <f t="shared" si="133"/>
        <v/>
      </c>
      <c r="CU290" s="42" t="str">
        <f t="shared" si="134"/>
        <v/>
      </c>
      <c r="CV290" s="42" t="str">
        <f t="shared" si="135"/>
        <v/>
      </c>
      <c r="DB290" s="45"/>
      <c r="DH290" s="42" t="str">
        <f t="shared" si="136"/>
        <v/>
      </c>
      <c r="DI290" s="43" t="str">
        <f t="shared" si="137"/>
        <v/>
      </c>
      <c r="DK290" s="46" t="str">
        <f t="shared" si="138"/>
        <v/>
      </c>
      <c r="DQ290" s="42" t="str">
        <f>IF(AH290="","",IFERROR(ROUND(100*('Weighting Options'!$D$7*IF(ISNUMBER(CA290),CA290/3,0)+'Weighting Options'!$D$8*MIN(N(BL290),3)/3+'Weighting Options'!$D$9*IF(AP290="Community/Plenary-endorsed",1,IF(AP290="FGD-validated only",0.75,IF(AP290="Sub-community-specific",0.5,IF(AP290="Provisional/emerging",0.25,0))))+'Weighting Options'!$D$10*IF(ISNUMBER(K290),K290/3,0)+'Weighting Options'!$D$11*IF(CC290="",0.5,IF(CC290="OK",1,0.25))+'Weighting Options'!$D$12*IF(DK290="",0.5,IF(DK290="Agrees",1,IF(DK290="Opposite",0,0.5)))+'Weighting Options'!$D$13*MIN(N(BG290),3)/3+'Weighting Options'!$D$14*IF(AE290=1,1,0))/SUM('Weighting Options'!$D$7:$D$14),0),""))</f>
        <v/>
      </c>
      <c r="DR290" s="44" t="str">
        <f>IF(AH290="","",IFERROR(INDEX('Weighting Options'!$D$20:$D$27,VALUE(LEFT(TRIM(BU290),1))),1))</f>
        <v/>
      </c>
      <c r="DS290" s="44" t="str">
        <f t="shared" si="139"/>
        <v/>
      </c>
      <c r="DT290" s="42" t="str">
        <f>IF(AH290="","",IF(COUNTIFS($AH$12:AH290,AH290,$AI$12:AI290,AI290,$AM$12:AM290,AM290)=1,1,0))</f>
        <v/>
      </c>
    </row>
    <row r="291" spans="16:124" ht="12.75" customHeight="1" x14ac:dyDescent="0.35">
      <c r="P291" s="41"/>
      <c r="Q291" s="41"/>
      <c r="R291" s="41"/>
      <c r="S291" s="41"/>
      <c r="AH291" s="40"/>
      <c r="AP291" s="40"/>
      <c r="AS291" s="41"/>
      <c r="AT291" s="41"/>
      <c r="AW291" t="str">
        <f t="shared" si="112"/>
        <v/>
      </c>
      <c r="AX291" t="str">
        <f t="shared" si="113"/>
        <v/>
      </c>
      <c r="AY291" t="str">
        <f t="shared" si="114"/>
        <v/>
      </c>
      <c r="AZ291" s="40"/>
      <c r="BL291" s="47" t="str">
        <f t="shared" si="115"/>
        <v/>
      </c>
      <c r="BM291" s="47" t="str">
        <f t="shared" si="116"/>
        <v/>
      </c>
      <c r="BN291" s="47" t="str">
        <f t="shared" si="117"/>
        <v/>
      </c>
      <c r="BO291" s="47" t="str">
        <f t="shared" si="118"/>
        <v/>
      </c>
      <c r="BP291" s="47" t="str">
        <f t="shared" si="119"/>
        <v/>
      </c>
      <c r="BQ291" s="48" t="str">
        <f t="shared" si="120"/>
        <v/>
      </c>
      <c r="BR291" s="48" t="str">
        <f t="shared" si="121"/>
        <v/>
      </c>
      <c r="BS291" s="48" t="str">
        <f t="shared" si="122"/>
        <v/>
      </c>
      <c r="BT291" s="47" t="str">
        <f t="shared" si="123"/>
        <v/>
      </c>
      <c r="CA291" s="47" t="str">
        <f t="shared" si="124"/>
        <v/>
      </c>
      <c r="CB291" s="47" t="str">
        <f t="shared" si="125"/>
        <v/>
      </c>
      <c r="CC291" s="47" t="str">
        <f t="shared" si="126"/>
        <v/>
      </c>
      <c r="CD291" s="47" t="str">
        <f t="shared" si="127"/>
        <v/>
      </c>
      <c r="CE291" s="47" t="str">
        <f>IF(AH291="","",IF(OR(AI291&lt;&gt;'Seasonal Tercile Tally'!$B$3,AM291&lt;&gt;'Seasonal Tercile Tally'!$B$4),"Other site/ season",IF(DT291=0,"Excluded: duplicate (later row)",IF(N291&lt;&gt;1,"Excluded: not sighted",IF(AC291&lt;&gt;1,"Excluded: not confirmed",IF(AD291&lt;&gt;1,"Excluded: not approved",IF(AP291="Contested","Excluded: contested",IF(OR(U291="",U291=0),"Excluded: no tercile",IF(CB291="","Counted (simple tally only — no weight)","Counted")))))))))</f>
        <v/>
      </c>
      <c r="CF291" s="49" t="str">
        <f>IF(AH291="","",IFERROR(INDEX('Prior Multipliers'!$C$6:$C$70,MATCH(LEFT(AH291,10),'Prior Multipliers'!$A$6:$A$70,0)),IFERROR(INDEX('Prior Multipliers'!$C$6:$C$70,MATCH(LEFT(AH291,6),'Prior Multipliers'!$A$6:$A$70,0)),IFERROR(INDEX('Prior Multipliers'!$C$6:$C$70,MATCH(LEFT(AH291,2),'Prior Multipliers'!$A$6:$A$70,0)),1))))</f>
        <v/>
      </c>
      <c r="CG291" s="49" t="str">
        <f>IF(CB291="","",IF(AND('Seasonal Tercile Tally'!$B$5=1,BT291="Rating-based"),CB291*CF291,CB291))</f>
        <v/>
      </c>
      <c r="CH291" s="47">
        <f t="shared" si="128"/>
        <v>0</v>
      </c>
      <c r="CI291" s="45"/>
      <c r="CJ291" s="42" t="str">
        <f t="shared" si="129"/>
        <v/>
      </c>
      <c r="CM291" s="42" t="str">
        <f t="shared" si="130"/>
        <v/>
      </c>
      <c r="CP291" s="46" t="str">
        <f t="shared" si="131"/>
        <v/>
      </c>
      <c r="CS291" s="46" t="str">
        <f t="shared" si="132"/>
        <v/>
      </c>
      <c r="CT291" s="42" t="str">
        <f t="shared" si="133"/>
        <v/>
      </c>
      <c r="CU291" s="42" t="str">
        <f t="shared" si="134"/>
        <v/>
      </c>
      <c r="CV291" s="42" t="str">
        <f t="shared" si="135"/>
        <v/>
      </c>
      <c r="DB291" s="45"/>
      <c r="DH291" s="42" t="str">
        <f t="shared" si="136"/>
        <v/>
      </c>
      <c r="DI291" s="43" t="str">
        <f t="shared" si="137"/>
        <v/>
      </c>
      <c r="DK291" s="46" t="str">
        <f t="shared" si="138"/>
        <v/>
      </c>
      <c r="DQ291" s="42" t="str">
        <f>IF(AH291="","",IFERROR(ROUND(100*('Weighting Options'!$D$7*IF(ISNUMBER(CA291),CA291/3,0)+'Weighting Options'!$D$8*MIN(N(BL291),3)/3+'Weighting Options'!$D$9*IF(AP291="Community/Plenary-endorsed",1,IF(AP291="FGD-validated only",0.75,IF(AP291="Sub-community-specific",0.5,IF(AP291="Provisional/emerging",0.25,0))))+'Weighting Options'!$D$10*IF(ISNUMBER(K291),K291/3,0)+'Weighting Options'!$D$11*IF(CC291="",0.5,IF(CC291="OK",1,0.25))+'Weighting Options'!$D$12*IF(DK291="",0.5,IF(DK291="Agrees",1,IF(DK291="Opposite",0,0.5)))+'Weighting Options'!$D$13*MIN(N(BG291),3)/3+'Weighting Options'!$D$14*IF(AE291=1,1,0))/SUM('Weighting Options'!$D$7:$D$14),0),""))</f>
        <v/>
      </c>
      <c r="DR291" s="44" t="str">
        <f>IF(AH291="","",IFERROR(INDEX('Weighting Options'!$D$20:$D$27,VALUE(LEFT(TRIM(BU291),1))),1))</f>
        <v/>
      </c>
      <c r="DS291" s="44" t="str">
        <f t="shared" si="139"/>
        <v/>
      </c>
      <c r="DT291" s="42" t="str">
        <f>IF(AH291="","",IF(COUNTIFS($AH$12:AH291,AH291,$AI$12:AI291,AI291,$AM$12:AM291,AM291)=1,1,0))</f>
        <v/>
      </c>
    </row>
    <row r="292" spans="16:124" ht="12.75" customHeight="1" x14ac:dyDescent="0.35">
      <c r="P292" s="41"/>
      <c r="Q292" s="41"/>
      <c r="R292" s="41"/>
      <c r="S292" s="41"/>
      <c r="AH292" s="40"/>
      <c r="AP292" s="40"/>
      <c r="AS292" s="41"/>
      <c r="AT292" s="41"/>
      <c r="AW292" t="str">
        <f t="shared" si="112"/>
        <v/>
      </c>
      <c r="AX292" t="str">
        <f t="shared" si="113"/>
        <v/>
      </c>
      <c r="AY292" t="str">
        <f t="shared" si="114"/>
        <v/>
      </c>
      <c r="AZ292" s="40"/>
      <c r="BL292" s="47" t="str">
        <f t="shared" si="115"/>
        <v/>
      </c>
      <c r="BM292" s="47" t="str">
        <f t="shared" si="116"/>
        <v/>
      </c>
      <c r="BN292" s="47" t="str">
        <f t="shared" si="117"/>
        <v/>
      </c>
      <c r="BO292" s="47" t="str">
        <f t="shared" si="118"/>
        <v/>
      </c>
      <c r="BP292" s="47" t="str">
        <f t="shared" si="119"/>
        <v/>
      </c>
      <c r="BQ292" s="48" t="str">
        <f t="shared" si="120"/>
        <v/>
      </c>
      <c r="BR292" s="48" t="str">
        <f t="shared" si="121"/>
        <v/>
      </c>
      <c r="BS292" s="48" t="str">
        <f t="shared" si="122"/>
        <v/>
      </c>
      <c r="BT292" s="47" t="str">
        <f t="shared" si="123"/>
        <v/>
      </c>
      <c r="CA292" s="47" t="str">
        <f t="shared" si="124"/>
        <v/>
      </c>
      <c r="CB292" s="47" t="str">
        <f t="shared" si="125"/>
        <v/>
      </c>
      <c r="CC292" s="47" t="str">
        <f t="shared" si="126"/>
        <v/>
      </c>
      <c r="CD292" s="47" t="str">
        <f t="shared" si="127"/>
        <v/>
      </c>
      <c r="CE292" s="47" t="str">
        <f>IF(AH292="","",IF(OR(AI292&lt;&gt;'Seasonal Tercile Tally'!$B$3,AM292&lt;&gt;'Seasonal Tercile Tally'!$B$4),"Other site/ season",IF(DT292=0,"Excluded: duplicate (later row)",IF(N292&lt;&gt;1,"Excluded: not sighted",IF(AC292&lt;&gt;1,"Excluded: not confirmed",IF(AD292&lt;&gt;1,"Excluded: not approved",IF(AP292="Contested","Excluded: contested",IF(OR(U292="",U292=0),"Excluded: no tercile",IF(CB292="","Counted (simple tally only — no weight)","Counted")))))))))</f>
        <v/>
      </c>
      <c r="CF292" s="49" t="str">
        <f>IF(AH292="","",IFERROR(INDEX('Prior Multipliers'!$C$6:$C$70,MATCH(LEFT(AH292,10),'Prior Multipliers'!$A$6:$A$70,0)),IFERROR(INDEX('Prior Multipliers'!$C$6:$C$70,MATCH(LEFT(AH292,6),'Prior Multipliers'!$A$6:$A$70,0)),IFERROR(INDEX('Prior Multipliers'!$C$6:$C$70,MATCH(LEFT(AH292,2),'Prior Multipliers'!$A$6:$A$70,0)),1))))</f>
        <v/>
      </c>
      <c r="CG292" s="49" t="str">
        <f>IF(CB292="","",IF(AND('Seasonal Tercile Tally'!$B$5=1,BT292="Rating-based"),CB292*CF292,CB292))</f>
        <v/>
      </c>
      <c r="CH292" s="47">
        <f t="shared" si="128"/>
        <v>0</v>
      </c>
      <c r="CI292" s="45"/>
      <c r="CJ292" s="42" t="str">
        <f t="shared" si="129"/>
        <v/>
      </c>
      <c r="CM292" s="42" t="str">
        <f t="shared" si="130"/>
        <v/>
      </c>
      <c r="CP292" s="46" t="str">
        <f t="shared" si="131"/>
        <v/>
      </c>
      <c r="CS292" s="46" t="str">
        <f t="shared" si="132"/>
        <v/>
      </c>
      <c r="CT292" s="42" t="str">
        <f t="shared" si="133"/>
        <v/>
      </c>
      <c r="CU292" s="42" t="str">
        <f t="shared" si="134"/>
        <v/>
      </c>
      <c r="CV292" s="42" t="str">
        <f t="shared" si="135"/>
        <v/>
      </c>
      <c r="DB292" s="45"/>
      <c r="DH292" s="42" t="str">
        <f t="shared" si="136"/>
        <v/>
      </c>
      <c r="DI292" s="43" t="str">
        <f t="shared" si="137"/>
        <v/>
      </c>
      <c r="DK292" s="46" t="str">
        <f t="shared" si="138"/>
        <v/>
      </c>
      <c r="DQ292" s="42" t="str">
        <f>IF(AH292="","",IFERROR(ROUND(100*('Weighting Options'!$D$7*IF(ISNUMBER(CA292),CA292/3,0)+'Weighting Options'!$D$8*MIN(N(BL292),3)/3+'Weighting Options'!$D$9*IF(AP292="Community/Plenary-endorsed",1,IF(AP292="FGD-validated only",0.75,IF(AP292="Sub-community-specific",0.5,IF(AP292="Provisional/emerging",0.25,0))))+'Weighting Options'!$D$10*IF(ISNUMBER(K292),K292/3,0)+'Weighting Options'!$D$11*IF(CC292="",0.5,IF(CC292="OK",1,0.25))+'Weighting Options'!$D$12*IF(DK292="",0.5,IF(DK292="Agrees",1,IF(DK292="Opposite",0,0.5)))+'Weighting Options'!$D$13*MIN(N(BG292),3)/3+'Weighting Options'!$D$14*IF(AE292=1,1,0))/SUM('Weighting Options'!$D$7:$D$14),0),""))</f>
        <v/>
      </c>
      <c r="DR292" s="44" t="str">
        <f>IF(AH292="","",IFERROR(INDEX('Weighting Options'!$D$20:$D$27,VALUE(LEFT(TRIM(BU292),1))),1))</f>
        <v/>
      </c>
      <c r="DS292" s="44" t="str">
        <f t="shared" si="139"/>
        <v/>
      </c>
      <c r="DT292" s="42" t="str">
        <f>IF(AH292="","",IF(COUNTIFS($AH$12:AH292,AH292,$AI$12:AI292,AI292,$AM$12:AM292,AM292)=1,1,0))</f>
        <v/>
      </c>
    </row>
    <row r="293" spans="16:124" ht="12.75" customHeight="1" x14ac:dyDescent="0.35">
      <c r="P293" s="41"/>
      <c r="Q293" s="41"/>
      <c r="R293" s="41"/>
      <c r="S293" s="41"/>
      <c r="AH293" s="40"/>
      <c r="AP293" s="40"/>
      <c r="AS293" s="41"/>
      <c r="AT293" s="41"/>
      <c r="AW293" t="str">
        <f t="shared" si="112"/>
        <v/>
      </c>
      <c r="AX293" t="str">
        <f t="shared" si="113"/>
        <v/>
      </c>
      <c r="AY293" t="str">
        <f t="shared" si="114"/>
        <v/>
      </c>
      <c r="AZ293" s="40"/>
      <c r="BL293" s="47" t="str">
        <f t="shared" si="115"/>
        <v/>
      </c>
      <c r="BM293" s="47" t="str">
        <f t="shared" si="116"/>
        <v/>
      </c>
      <c r="BN293" s="47" t="str">
        <f t="shared" si="117"/>
        <v/>
      </c>
      <c r="BO293" s="47" t="str">
        <f t="shared" si="118"/>
        <v/>
      </c>
      <c r="BP293" s="47" t="str">
        <f t="shared" si="119"/>
        <v/>
      </c>
      <c r="BQ293" s="48" t="str">
        <f t="shared" si="120"/>
        <v/>
      </c>
      <c r="BR293" s="48" t="str">
        <f t="shared" si="121"/>
        <v/>
      </c>
      <c r="BS293" s="48" t="str">
        <f t="shared" si="122"/>
        <v/>
      </c>
      <c r="BT293" s="47" t="str">
        <f t="shared" si="123"/>
        <v/>
      </c>
      <c r="CA293" s="47" t="str">
        <f t="shared" si="124"/>
        <v/>
      </c>
      <c r="CB293" s="47" t="str">
        <f t="shared" si="125"/>
        <v/>
      </c>
      <c r="CC293" s="47" t="str">
        <f t="shared" si="126"/>
        <v/>
      </c>
      <c r="CD293" s="47" t="str">
        <f t="shared" si="127"/>
        <v/>
      </c>
      <c r="CE293" s="47" t="str">
        <f>IF(AH293="","",IF(OR(AI293&lt;&gt;'Seasonal Tercile Tally'!$B$3,AM293&lt;&gt;'Seasonal Tercile Tally'!$B$4),"Other site/ season",IF(DT293=0,"Excluded: duplicate (later row)",IF(N293&lt;&gt;1,"Excluded: not sighted",IF(AC293&lt;&gt;1,"Excluded: not confirmed",IF(AD293&lt;&gt;1,"Excluded: not approved",IF(AP293="Contested","Excluded: contested",IF(OR(U293="",U293=0),"Excluded: no tercile",IF(CB293="","Counted (simple tally only — no weight)","Counted")))))))))</f>
        <v/>
      </c>
      <c r="CF293" s="49" t="str">
        <f>IF(AH293="","",IFERROR(INDEX('Prior Multipliers'!$C$6:$C$70,MATCH(LEFT(AH293,10),'Prior Multipliers'!$A$6:$A$70,0)),IFERROR(INDEX('Prior Multipliers'!$C$6:$C$70,MATCH(LEFT(AH293,6),'Prior Multipliers'!$A$6:$A$70,0)),IFERROR(INDEX('Prior Multipliers'!$C$6:$C$70,MATCH(LEFT(AH293,2),'Prior Multipliers'!$A$6:$A$70,0)),1))))</f>
        <v/>
      </c>
      <c r="CG293" s="49" t="str">
        <f>IF(CB293="","",IF(AND('Seasonal Tercile Tally'!$B$5=1,BT293="Rating-based"),CB293*CF293,CB293))</f>
        <v/>
      </c>
      <c r="CH293" s="47">
        <f t="shared" si="128"/>
        <v>0</v>
      </c>
      <c r="CI293" s="45"/>
      <c r="CJ293" s="42" t="str">
        <f t="shared" si="129"/>
        <v/>
      </c>
      <c r="CM293" s="42" t="str">
        <f t="shared" si="130"/>
        <v/>
      </c>
      <c r="CP293" s="46" t="str">
        <f t="shared" si="131"/>
        <v/>
      </c>
      <c r="CS293" s="46" t="str">
        <f t="shared" si="132"/>
        <v/>
      </c>
      <c r="CT293" s="42" t="str">
        <f t="shared" si="133"/>
        <v/>
      </c>
      <c r="CU293" s="42" t="str">
        <f t="shared" si="134"/>
        <v/>
      </c>
      <c r="CV293" s="42" t="str">
        <f t="shared" si="135"/>
        <v/>
      </c>
      <c r="DB293" s="45"/>
      <c r="DH293" s="42" t="str">
        <f t="shared" si="136"/>
        <v/>
      </c>
      <c r="DI293" s="43" t="str">
        <f t="shared" si="137"/>
        <v/>
      </c>
      <c r="DK293" s="46" t="str">
        <f t="shared" si="138"/>
        <v/>
      </c>
      <c r="DQ293" s="42" t="str">
        <f>IF(AH293="","",IFERROR(ROUND(100*('Weighting Options'!$D$7*IF(ISNUMBER(CA293),CA293/3,0)+'Weighting Options'!$D$8*MIN(N(BL293),3)/3+'Weighting Options'!$D$9*IF(AP293="Community/Plenary-endorsed",1,IF(AP293="FGD-validated only",0.75,IF(AP293="Sub-community-specific",0.5,IF(AP293="Provisional/emerging",0.25,0))))+'Weighting Options'!$D$10*IF(ISNUMBER(K293),K293/3,0)+'Weighting Options'!$D$11*IF(CC293="",0.5,IF(CC293="OK",1,0.25))+'Weighting Options'!$D$12*IF(DK293="",0.5,IF(DK293="Agrees",1,IF(DK293="Opposite",0,0.5)))+'Weighting Options'!$D$13*MIN(N(BG293),3)/3+'Weighting Options'!$D$14*IF(AE293=1,1,0))/SUM('Weighting Options'!$D$7:$D$14),0),""))</f>
        <v/>
      </c>
      <c r="DR293" s="44" t="str">
        <f>IF(AH293="","",IFERROR(INDEX('Weighting Options'!$D$20:$D$27,VALUE(LEFT(TRIM(BU293),1))),1))</f>
        <v/>
      </c>
      <c r="DS293" s="44" t="str">
        <f t="shared" si="139"/>
        <v/>
      </c>
      <c r="DT293" s="42" t="str">
        <f>IF(AH293="","",IF(COUNTIFS($AH$12:AH293,AH293,$AI$12:AI293,AI293,$AM$12:AM293,AM293)=1,1,0))</f>
        <v/>
      </c>
    </row>
    <row r="294" spans="16:124" ht="12.75" customHeight="1" x14ac:dyDescent="0.35">
      <c r="P294" s="41"/>
      <c r="Q294" s="41"/>
      <c r="R294" s="41"/>
      <c r="S294" s="41"/>
      <c r="AH294" s="40"/>
      <c r="AP294" s="40"/>
      <c r="AS294" s="41"/>
      <c r="AT294" s="41"/>
      <c r="AW294" t="str">
        <f t="shared" si="112"/>
        <v/>
      </c>
      <c r="AX294" t="str">
        <f t="shared" si="113"/>
        <v/>
      </c>
      <c r="AY294" t="str">
        <f t="shared" si="114"/>
        <v/>
      </c>
      <c r="AZ294" s="40"/>
      <c r="BL294" s="47" t="str">
        <f t="shared" si="115"/>
        <v/>
      </c>
      <c r="BM294" s="47" t="str">
        <f t="shared" si="116"/>
        <v/>
      </c>
      <c r="BN294" s="47" t="str">
        <f t="shared" si="117"/>
        <v/>
      </c>
      <c r="BO294" s="47" t="str">
        <f t="shared" si="118"/>
        <v/>
      </c>
      <c r="BP294" s="47" t="str">
        <f t="shared" si="119"/>
        <v/>
      </c>
      <c r="BQ294" s="48" t="str">
        <f t="shared" si="120"/>
        <v/>
      </c>
      <c r="BR294" s="48" t="str">
        <f t="shared" si="121"/>
        <v/>
      </c>
      <c r="BS294" s="48" t="str">
        <f t="shared" si="122"/>
        <v/>
      </c>
      <c r="BT294" s="47" t="str">
        <f t="shared" si="123"/>
        <v/>
      </c>
      <c r="CA294" s="47" t="str">
        <f t="shared" si="124"/>
        <v/>
      </c>
      <c r="CB294" s="47" t="str">
        <f t="shared" si="125"/>
        <v/>
      </c>
      <c r="CC294" s="47" t="str">
        <f t="shared" si="126"/>
        <v/>
      </c>
      <c r="CD294" s="47" t="str">
        <f t="shared" si="127"/>
        <v/>
      </c>
      <c r="CE294" s="47" t="str">
        <f>IF(AH294="","",IF(OR(AI294&lt;&gt;'Seasonal Tercile Tally'!$B$3,AM294&lt;&gt;'Seasonal Tercile Tally'!$B$4),"Other site/ season",IF(DT294=0,"Excluded: duplicate (later row)",IF(N294&lt;&gt;1,"Excluded: not sighted",IF(AC294&lt;&gt;1,"Excluded: not confirmed",IF(AD294&lt;&gt;1,"Excluded: not approved",IF(AP294="Contested","Excluded: contested",IF(OR(U294="",U294=0),"Excluded: no tercile",IF(CB294="","Counted (simple tally only — no weight)","Counted")))))))))</f>
        <v/>
      </c>
      <c r="CF294" s="49" t="str">
        <f>IF(AH294="","",IFERROR(INDEX('Prior Multipliers'!$C$6:$C$70,MATCH(LEFT(AH294,10),'Prior Multipliers'!$A$6:$A$70,0)),IFERROR(INDEX('Prior Multipliers'!$C$6:$C$70,MATCH(LEFT(AH294,6),'Prior Multipliers'!$A$6:$A$70,0)),IFERROR(INDEX('Prior Multipliers'!$C$6:$C$70,MATCH(LEFT(AH294,2),'Prior Multipliers'!$A$6:$A$70,0)),1))))</f>
        <v/>
      </c>
      <c r="CG294" s="49" t="str">
        <f>IF(CB294="","",IF(AND('Seasonal Tercile Tally'!$B$5=1,BT294="Rating-based"),CB294*CF294,CB294))</f>
        <v/>
      </c>
      <c r="CH294" s="47">
        <f t="shared" si="128"/>
        <v>0</v>
      </c>
      <c r="CI294" s="45"/>
      <c r="CJ294" s="42" t="str">
        <f t="shared" si="129"/>
        <v/>
      </c>
      <c r="CM294" s="42" t="str">
        <f t="shared" si="130"/>
        <v/>
      </c>
      <c r="CP294" s="46" t="str">
        <f t="shared" si="131"/>
        <v/>
      </c>
      <c r="CS294" s="46" t="str">
        <f t="shared" si="132"/>
        <v/>
      </c>
      <c r="CT294" s="42" t="str">
        <f t="shared" si="133"/>
        <v/>
      </c>
      <c r="CU294" s="42" t="str">
        <f t="shared" si="134"/>
        <v/>
      </c>
      <c r="CV294" s="42" t="str">
        <f t="shared" si="135"/>
        <v/>
      </c>
      <c r="DB294" s="45"/>
      <c r="DH294" s="42" t="str">
        <f t="shared" si="136"/>
        <v/>
      </c>
      <c r="DI294" s="43" t="str">
        <f t="shared" si="137"/>
        <v/>
      </c>
      <c r="DK294" s="46" t="str">
        <f t="shared" si="138"/>
        <v/>
      </c>
      <c r="DQ294" s="42" t="str">
        <f>IF(AH294="","",IFERROR(ROUND(100*('Weighting Options'!$D$7*IF(ISNUMBER(CA294),CA294/3,0)+'Weighting Options'!$D$8*MIN(N(BL294),3)/3+'Weighting Options'!$D$9*IF(AP294="Community/Plenary-endorsed",1,IF(AP294="FGD-validated only",0.75,IF(AP294="Sub-community-specific",0.5,IF(AP294="Provisional/emerging",0.25,0))))+'Weighting Options'!$D$10*IF(ISNUMBER(K294),K294/3,0)+'Weighting Options'!$D$11*IF(CC294="",0.5,IF(CC294="OK",1,0.25))+'Weighting Options'!$D$12*IF(DK294="",0.5,IF(DK294="Agrees",1,IF(DK294="Opposite",0,0.5)))+'Weighting Options'!$D$13*MIN(N(BG294),3)/3+'Weighting Options'!$D$14*IF(AE294=1,1,0))/SUM('Weighting Options'!$D$7:$D$14),0),""))</f>
        <v/>
      </c>
      <c r="DR294" s="44" t="str">
        <f>IF(AH294="","",IFERROR(INDEX('Weighting Options'!$D$20:$D$27,VALUE(LEFT(TRIM(BU294),1))),1))</f>
        <v/>
      </c>
      <c r="DS294" s="44" t="str">
        <f t="shared" si="139"/>
        <v/>
      </c>
      <c r="DT294" s="42" t="str">
        <f>IF(AH294="","",IF(COUNTIFS($AH$12:AH294,AH294,$AI$12:AI294,AI294,$AM$12:AM294,AM294)=1,1,0))</f>
        <v/>
      </c>
    </row>
    <row r="295" spans="16:124" ht="12.75" customHeight="1" x14ac:dyDescent="0.35">
      <c r="P295" s="41"/>
      <c r="Q295" s="41"/>
      <c r="R295" s="41"/>
      <c r="S295" s="41"/>
      <c r="AH295" s="40"/>
      <c r="AP295" s="40"/>
      <c r="AS295" s="41"/>
      <c r="AT295" s="41"/>
      <c r="AW295" t="str">
        <f t="shared" si="112"/>
        <v/>
      </c>
      <c r="AX295" t="str">
        <f t="shared" si="113"/>
        <v/>
      </c>
      <c r="AY295" t="str">
        <f t="shared" si="114"/>
        <v/>
      </c>
      <c r="AZ295" s="40"/>
      <c r="BL295" s="47" t="str">
        <f t="shared" si="115"/>
        <v/>
      </c>
      <c r="BM295" s="47" t="str">
        <f t="shared" si="116"/>
        <v/>
      </c>
      <c r="BN295" s="47" t="str">
        <f t="shared" si="117"/>
        <v/>
      </c>
      <c r="BO295" s="47" t="str">
        <f t="shared" si="118"/>
        <v/>
      </c>
      <c r="BP295" s="47" t="str">
        <f t="shared" si="119"/>
        <v/>
      </c>
      <c r="BQ295" s="48" t="str">
        <f t="shared" si="120"/>
        <v/>
      </c>
      <c r="BR295" s="48" t="str">
        <f t="shared" si="121"/>
        <v/>
      </c>
      <c r="BS295" s="48" t="str">
        <f t="shared" si="122"/>
        <v/>
      </c>
      <c r="BT295" s="47" t="str">
        <f t="shared" si="123"/>
        <v/>
      </c>
      <c r="CA295" s="47" t="str">
        <f t="shared" si="124"/>
        <v/>
      </c>
      <c r="CB295" s="47" t="str">
        <f t="shared" si="125"/>
        <v/>
      </c>
      <c r="CC295" s="47" t="str">
        <f t="shared" si="126"/>
        <v/>
      </c>
      <c r="CD295" s="47" t="str">
        <f t="shared" si="127"/>
        <v/>
      </c>
      <c r="CE295" s="47" t="str">
        <f>IF(AH295="","",IF(OR(AI295&lt;&gt;'Seasonal Tercile Tally'!$B$3,AM295&lt;&gt;'Seasonal Tercile Tally'!$B$4),"Other site/ season",IF(DT295=0,"Excluded: duplicate (later row)",IF(N295&lt;&gt;1,"Excluded: not sighted",IF(AC295&lt;&gt;1,"Excluded: not confirmed",IF(AD295&lt;&gt;1,"Excluded: not approved",IF(AP295="Contested","Excluded: contested",IF(OR(U295="",U295=0),"Excluded: no tercile",IF(CB295="","Counted (simple tally only — no weight)","Counted")))))))))</f>
        <v/>
      </c>
      <c r="CF295" s="49" t="str">
        <f>IF(AH295="","",IFERROR(INDEX('Prior Multipliers'!$C$6:$C$70,MATCH(LEFT(AH295,10),'Prior Multipliers'!$A$6:$A$70,0)),IFERROR(INDEX('Prior Multipliers'!$C$6:$C$70,MATCH(LEFT(AH295,6),'Prior Multipliers'!$A$6:$A$70,0)),IFERROR(INDEX('Prior Multipliers'!$C$6:$C$70,MATCH(LEFT(AH295,2),'Prior Multipliers'!$A$6:$A$70,0)),1))))</f>
        <v/>
      </c>
      <c r="CG295" s="49" t="str">
        <f>IF(CB295="","",IF(AND('Seasonal Tercile Tally'!$B$5=1,BT295="Rating-based"),CB295*CF295,CB295))</f>
        <v/>
      </c>
      <c r="CH295" s="47">
        <f t="shared" si="128"/>
        <v>0</v>
      </c>
      <c r="CI295" s="45"/>
      <c r="CJ295" s="42" t="str">
        <f t="shared" si="129"/>
        <v/>
      </c>
      <c r="CM295" s="42" t="str">
        <f t="shared" si="130"/>
        <v/>
      </c>
      <c r="CP295" s="46" t="str">
        <f t="shared" si="131"/>
        <v/>
      </c>
      <c r="CS295" s="46" t="str">
        <f t="shared" si="132"/>
        <v/>
      </c>
      <c r="CT295" s="42" t="str">
        <f t="shared" si="133"/>
        <v/>
      </c>
      <c r="CU295" s="42" t="str">
        <f t="shared" si="134"/>
        <v/>
      </c>
      <c r="CV295" s="42" t="str">
        <f t="shared" si="135"/>
        <v/>
      </c>
      <c r="DB295" s="45"/>
      <c r="DH295" s="42" t="str">
        <f t="shared" si="136"/>
        <v/>
      </c>
      <c r="DI295" s="43" t="str">
        <f t="shared" si="137"/>
        <v/>
      </c>
      <c r="DK295" s="46" t="str">
        <f t="shared" si="138"/>
        <v/>
      </c>
      <c r="DQ295" s="42" t="str">
        <f>IF(AH295="","",IFERROR(ROUND(100*('Weighting Options'!$D$7*IF(ISNUMBER(CA295),CA295/3,0)+'Weighting Options'!$D$8*MIN(N(BL295),3)/3+'Weighting Options'!$D$9*IF(AP295="Community/Plenary-endorsed",1,IF(AP295="FGD-validated only",0.75,IF(AP295="Sub-community-specific",0.5,IF(AP295="Provisional/emerging",0.25,0))))+'Weighting Options'!$D$10*IF(ISNUMBER(K295),K295/3,0)+'Weighting Options'!$D$11*IF(CC295="",0.5,IF(CC295="OK",1,0.25))+'Weighting Options'!$D$12*IF(DK295="",0.5,IF(DK295="Agrees",1,IF(DK295="Opposite",0,0.5)))+'Weighting Options'!$D$13*MIN(N(BG295),3)/3+'Weighting Options'!$D$14*IF(AE295=1,1,0))/SUM('Weighting Options'!$D$7:$D$14),0),""))</f>
        <v/>
      </c>
      <c r="DR295" s="44" t="str">
        <f>IF(AH295="","",IFERROR(INDEX('Weighting Options'!$D$20:$D$27,VALUE(LEFT(TRIM(BU295),1))),1))</f>
        <v/>
      </c>
      <c r="DS295" s="44" t="str">
        <f t="shared" si="139"/>
        <v/>
      </c>
      <c r="DT295" s="42" t="str">
        <f>IF(AH295="","",IF(COUNTIFS($AH$12:AH295,AH295,$AI$12:AI295,AI295,$AM$12:AM295,AM295)=1,1,0))</f>
        <v/>
      </c>
    </row>
    <row r="296" spans="16:124" ht="12.75" customHeight="1" x14ac:dyDescent="0.35">
      <c r="P296" s="41"/>
      <c r="Q296" s="41"/>
      <c r="R296" s="41"/>
      <c r="S296" s="41"/>
      <c r="AH296" s="40"/>
      <c r="AP296" s="40"/>
      <c r="AS296" s="41"/>
      <c r="AT296" s="41"/>
      <c r="AW296" t="str">
        <f t="shared" si="112"/>
        <v/>
      </c>
      <c r="AX296" t="str">
        <f t="shared" si="113"/>
        <v/>
      </c>
      <c r="AY296" t="str">
        <f t="shared" si="114"/>
        <v/>
      </c>
      <c r="AZ296" s="40"/>
      <c r="BL296" s="47" t="str">
        <f t="shared" si="115"/>
        <v/>
      </c>
      <c r="BM296" s="47" t="str">
        <f t="shared" si="116"/>
        <v/>
      </c>
      <c r="BN296" s="47" t="str">
        <f t="shared" si="117"/>
        <v/>
      </c>
      <c r="BO296" s="47" t="str">
        <f t="shared" si="118"/>
        <v/>
      </c>
      <c r="BP296" s="47" t="str">
        <f t="shared" si="119"/>
        <v/>
      </c>
      <c r="BQ296" s="48" t="str">
        <f t="shared" si="120"/>
        <v/>
      </c>
      <c r="BR296" s="48" t="str">
        <f t="shared" si="121"/>
        <v/>
      </c>
      <c r="BS296" s="48" t="str">
        <f t="shared" si="122"/>
        <v/>
      </c>
      <c r="BT296" s="47" t="str">
        <f t="shared" si="123"/>
        <v/>
      </c>
      <c r="CA296" s="47" t="str">
        <f t="shared" si="124"/>
        <v/>
      </c>
      <c r="CB296" s="47" t="str">
        <f t="shared" si="125"/>
        <v/>
      </c>
      <c r="CC296" s="47" t="str">
        <f t="shared" si="126"/>
        <v/>
      </c>
      <c r="CD296" s="47" t="str">
        <f t="shared" si="127"/>
        <v/>
      </c>
      <c r="CE296" s="47" t="str">
        <f>IF(AH296="","",IF(OR(AI296&lt;&gt;'Seasonal Tercile Tally'!$B$3,AM296&lt;&gt;'Seasonal Tercile Tally'!$B$4),"Other site/ season",IF(DT296=0,"Excluded: duplicate (later row)",IF(N296&lt;&gt;1,"Excluded: not sighted",IF(AC296&lt;&gt;1,"Excluded: not confirmed",IF(AD296&lt;&gt;1,"Excluded: not approved",IF(AP296="Contested","Excluded: contested",IF(OR(U296="",U296=0),"Excluded: no tercile",IF(CB296="","Counted (simple tally only — no weight)","Counted")))))))))</f>
        <v/>
      </c>
      <c r="CF296" s="49" t="str">
        <f>IF(AH296="","",IFERROR(INDEX('Prior Multipliers'!$C$6:$C$70,MATCH(LEFT(AH296,10),'Prior Multipliers'!$A$6:$A$70,0)),IFERROR(INDEX('Prior Multipliers'!$C$6:$C$70,MATCH(LEFT(AH296,6),'Prior Multipliers'!$A$6:$A$70,0)),IFERROR(INDEX('Prior Multipliers'!$C$6:$C$70,MATCH(LEFT(AH296,2),'Prior Multipliers'!$A$6:$A$70,0)),1))))</f>
        <v/>
      </c>
      <c r="CG296" s="49" t="str">
        <f>IF(CB296="","",IF(AND('Seasonal Tercile Tally'!$B$5=1,BT296="Rating-based"),CB296*CF296,CB296))</f>
        <v/>
      </c>
      <c r="CH296" s="47">
        <f t="shared" si="128"/>
        <v>0</v>
      </c>
      <c r="CI296" s="45"/>
      <c r="CJ296" s="42" t="str">
        <f t="shared" si="129"/>
        <v/>
      </c>
      <c r="CM296" s="42" t="str">
        <f t="shared" si="130"/>
        <v/>
      </c>
      <c r="CP296" s="46" t="str">
        <f t="shared" si="131"/>
        <v/>
      </c>
      <c r="CS296" s="46" t="str">
        <f t="shared" si="132"/>
        <v/>
      </c>
      <c r="CT296" s="42" t="str">
        <f t="shared" si="133"/>
        <v/>
      </c>
      <c r="CU296" s="42" t="str">
        <f t="shared" si="134"/>
        <v/>
      </c>
      <c r="CV296" s="42" t="str">
        <f t="shared" si="135"/>
        <v/>
      </c>
      <c r="DB296" s="45"/>
      <c r="DH296" s="42" t="str">
        <f t="shared" si="136"/>
        <v/>
      </c>
      <c r="DI296" s="43" t="str">
        <f t="shared" si="137"/>
        <v/>
      </c>
      <c r="DK296" s="46" t="str">
        <f t="shared" si="138"/>
        <v/>
      </c>
      <c r="DQ296" s="42" t="str">
        <f>IF(AH296="","",IFERROR(ROUND(100*('Weighting Options'!$D$7*IF(ISNUMBER(CA296),CA296/3,0)+'Weighting Options'!$D$8*MIN(N(BL296),3)/3+'Weighting Options'!$D$9*IF(AP296="Community/Plenary-endorsed",1,IF(AP296="FGD-validated only",0.75,IF(AP296="Sub-community-specific",0.5,IF(AP296="Provisional/emerging",0.25,0))))+'Weighting Options'!$D$10*IF(ISNUMBER(K296),K296/3,0)+'Weighting Options'!$D$11*IF(CC296="",0.5,IF(CC296="OK",1,0.25))+'Weighting Options'!$D$12*IF(DK296="",0.5,IF(DK296="Agrees",1,IF(DK296="Opposite",0,0.5)))+'Weighting Options'!$D$13*MIN(N(BG296),3)/3+'Weighting Options'!$D$14*IF(AE296=1,1,0))/SUM('Weighting Options'!$D$7:$D$14),0),""))</f>
        <v/>
      </c>
      <c r="DR296" s="44" t="str">
        <f>IF(AH296="","",IFERROR(INDEX('Weighting Options'!$D$20:$D$27,VALUE(LEFT(TRIM(BU296),1))),1))</f>
        <v/>
      </c>
      <c r="DS296" s="44" t="str">
        <f t="shared" si="139"/>
        <v/>
      </c>
      <c r="DT296" s="42" t="str">
        <f>IF(AH296="","",IF(COUNTIFS($AH$12:AH296,AH296,$AI$12:AI296,AI296,$AM$12:AM296,AM296)=1,1,0))</f>
        <v/>
      </c>
    </row>
    <row r="297" spans="16:124" ht="12.75" customHeight="1" x14ac:dyDescent="0.35">
      <c r="P297" s="41"/>
      <c r="Q297" s="41"/>
      <c r="R297" s="41"/>
      <c r="S297" s="41"/>
      <c r="AH297" s="40"/>
      <c r="AP297" s="40"/>
      <c r="AS297" s="41"/>
      <c r="AT297" s="41"/>
      <c r="AW297" t="str">
        <f t="shared" si="112"/>
        <v/>
      </c>
      <c r="AX297" t="str">
        <f t="shared" si="113"/>
        <v/>
      </c>
      <c r="AY297" t="str">
        <f t="shared" si="114"/>
        <v/>
      </c>
      <c r="AZ297" s="40"/>
      <c r="BL297" s="47" t="str">
        <f t="shared" si="115"/>
        <v/>
      </c>
      <c r="BM297" s="47" t="str">
        <f t="shared" si="116"/>
        <v/>
      </c>
      <c r="BN297" s="47" t="str">
        <f t="shared" si="117"/>
        <v/>
      </c>
      <c r="BO297" s="47" t="str">
        <f t="shared" si="118"/>
        <v/>
      </c>
      <c r="BP297" s="47" t="str">
        <f t="shared" si="119"/>
        <v/>
      </c>
      <c r="BQ297" s="48" t="str">
        <f t="shared" si="120"/>
        <v/>
      </c>
      <c r="BR297" s="48" t="str">
        <f t="shared" si="121"/>
        <v/>
      </c>
      <c r="BS297" s="48" t="str">
        <f t="shared" si="122"/>
        <v/>
      </c>
      <c r="BT297" s="47" t="str">
        <f t="shared" si="123"/>
        <v/>
      </c>
      <c r="CA297" s="47" t="str">
        <f t="shared" si="124"/>
        <v/>
      </c>
      <c r="CB297" s="47" t="str">
        <f t="shared" si="125"/>
        <v/>
      </c>
      <c r="CC297" s="47" t="str">
        <f t="shared" si="126"/>
        <v/>
      </c>
      <c r="CD297" s="47" t="str">
        <f t="shared" si="127"/>
        <v/>
      </c>
      <c r="CE297" s="47" t="str">
        <f>IF(AH297="","",IF(OR(AI297&lt;&gt;'Seasonal Tercile Tally'!$B$3,AM297&lt;&gt;'Seasonal Tercile Tally'!$B$4),"Other site/ season",IF(DT297=0,"Excluded: duplicate (later row)",IF(N297&lt;&gt;1,"Excluded: not sighted",IF(AC297&lt;&gt;1,"Excluded: not confirmed",IF(AD297&lt;&gt;1,"Excluded: not approved",IF(AP297="Contested","Excluded: contested",IF(OR(U297="",U297=0),"Excluded: no tercile",IF(CB297="","Counted (simple tally only — no weight)","Counted")))))))))</f>
        <v/>
      </c>
      <c r="CF297" s="49" t="str">
        <f>IF(AH297="","",IFERROR(INDEX('Prior Multipliers'!$C$6:$C$70,MATCH(LEFT(AH297,10),'Prior Multipliers'!$A$6:$A$70,0)),IFERROR(INDEX('Prior Multipliers'!$C$6:$C$70,MATCH(LEFT(AH297,6),'Prior Multipliers'!$A$6:$A$70,0)),IFERROR(INDEX('Prior Multipliers'!$C$6:$C$70,MATCH(LEFT(AH297,2),'Prior Multipliers'!$A$6:$A$70,0)),1))))</f>
        <v/>
      </c>
      <c r="CG297" s="49" t="str">
        <f>IF(CB297="","",IF(AND('Seasonal Tercile Tally'!$B$5=1,BT297="Rating-based"),CB297*CF297,CB297))</f>
        <v/>
      </c>
      <c r="CH297" s="47">
        <f t="shared" si="128"/>
        <v>0</v>
      </c>
      <c r="CI297" s="45"/>
      <c r="CJ297" s="42" t="str">
        <f t="shared" si="129"/>
        <v/>
      </c>
      <c r="CM297" s="42" t="str">
        <f t="shared" si="130"/>
        <v/>
      </c>
      <c r="CP297" s="46" t="str">
        <f t="shared" si="131"/>
        <v/>
      </c>
      <c r="CS297" s="46" t="str">
        <f t="shared" si="132"/>
        <v/>
      </c>
      <c r="CT297" s="42" t="str">
        <f t="shared" si="133"/>
        <v/>
      </c>
      <c r="CU297" s="42" t="str">
        <f t="shared" si="134"/>
        <v/>
      </c>
      <c r="CV297" s="42" t="str">
        <f t="shared" si="135"/>
        <v/>
      </c>
      <c r="DB297" s="45"/>
      <c r="DH297" s="42" t="str">
        <f t="shared" si="136"/>
        <v/>
      </c>
      <c r="DI297" s="43" t="str">
        <f t="shared" si="137"/>
        <v/>
      </c>
      <c r="DK297" s="46" t="str">
        <f t="shared" si="138"/>
        <v/>
      </c>
      <c r="DQ297" s="42" t="str">
        <f>IF(AH297="","",IFERROR(ROUND(100*('Weighting Options'!$D$7*IF(ISNUMBER(CA297),CA297/3,0)+'Weighting Options'!$D$8*MIN(N(BL297),3)/3+'Weighting Options'!$D$9*IF(AP297="Community/Plenary-endorsed",1,IF(AP297="FGD-validated only",0.75,IF(AP297="Sub-community-specific",0.5,IF(AP297="Provisional/emerging",0.25,0))))+'Weighting Options'!$D$10*IF(ISNUMBER(K297),K297/3,0)+'Weighting Options'!$D$11*IF(CC297="",0.5,IF(CC297="OK",1,0.25))+'Weighting Options'!$D$12*IF(DK297="",0.5,IF(DK297="Agrees",1,IF(DK297="Opposite",0,0.5)))+'Weighting Options'!$D$13*MIN(N(BG297),3)/3+'Weighting Options'!$D$14*IF(AE297=1,1,0))/SUM('Weighting Options'!$D$7:$D$14),0),""))</f>
        <v/>
      </c>
      <c r="DR297" s="44" t="str">
        <f>IF(AH297="","",IFERROR(INDEX('Weighting Options'!$D$20:$D$27,VALUE(LEFT(TRIM(BU297),1))),1))</f>
        <v/>
      </c>
      <c r="DS297" s="44" t="str">
        <f t="shared" si="139"/>
        <v/>
      </c>
      <c r="DT297" s="42" t="str">
        <f>IF(AH297="","",IF(COUNTIFS($AH$12:AH297,AH297,$AI$12:AI297,AI297,$AM$12:AM297,AM297)=1,1,0))</f>
        <v/>
      </c>
    </row>
    <row r="298" spans="16:124" ht="12.75" customHeight="1" x14ac:dyDescent="0.35">
      <c r="P298" s="41"/>
      <c r="Q298" s="41"/>
      <c r="R298" s="41"/>
      <c r="S298" s="41"/>
      <c r="AH298" s="40"/>
      <c r="AP298" s="40"/>
      <c r="AS298" s="41"/>
      <c r="AT298" s="41"/>
      <c r="AW298" t="str">
        <f t="shared" si="112"/>
        <v/>
      </c>
      <c r="AX298" t="str">
        <f t="shared" si="113"/>
        <v/>
      </c>
      <c r="AY298" t="str">
        <f t="shared" si="114"/>
        <v/>
      </c>
      <c r="AZ298" s="40"/>
      <c r="BL298" s="47" t="str">
        <f t="shared" si="115"/>
        <v/>
      </c>
      <c r="BM298" s="47" t="str">
        <f t="shared" si="116"/>
        <v/>
      </c>
      <c r="BN298" s="47" t="str">
        <f t="shared" si="117"/>
        <v/>
      </c>
      <c r="BO298" s="47" t="str">
        <f t="shared" si="118"/>
        <v/>
      </c>
      <c r="BP298" s="47" t="str">
        <f t="shared" si="119"/>
        <v/>
      </c>
      <c r="BQ298" s="48" t="str">
        <f t="shared" si="120"/>
        <v/>
      </c>
      <c r="BR298" s="48" t="str">
        <f t="shared" si="121"/>
        <v/>
      </c>
      <c r="BS298" s="48" t="str">
        <f t="shared" si="122"/>
        <v/>
      </c>
      <c r="BT298" s="47" t="str">
        <f t="shared" si="123"/>
        <v/>
      </c>
      <c r="CA298" s="47" t="str">
        <f t="shared" si="124"/>
        <v/>
      </c>
      <c r="CB298" s="47" t="str">
        <f t="shared" si="125"/>
        <v/>
      </c>
      <c r="CC298" s="47" t="str">
        <f t="shared" si="126"/>
        <v/>
      </c>
      <c r="CD298" s="47" t="str">
        <f t="shared" si="127"/>
        <v/>
      </c>
      <c r="CE298" s="47" t="str">
        <f>IF(AH298="","",IF(OR(AI298&lt;&gt;'Seasonal Tercile Tally'!$B$3,AM298&lt;&gt;'Seasonal Tercile Tally'!$B$4),"Other site/ season",IF(DT298=0,"Excluded: duplicate (later row)",IF(N298&lt;&gt;1,"Excluded: not sighted",IF(AC298&lt;&gt;1,"Excluded: not confirmed",IF(AD298&lt;&gt;1,"Excluded: not approved",IF(AP298="Contested","Excluded: contested",IF(OR(U298="",U298=0),"Excluded: no tercile",IF(CB298="","Counted (simple tally only — no weight)","Counted")))))))))</f>
        <v/>
      </c>
      <c r="CF298" s="49" t="str">
        <f>IF(AH298="","",IFERROR(INDEX('Prior Multipliers'!$C$6:$C$70,MATCH(LEFT(AH298,10),'Prior Multipliers'!$A$6:$A$70,0)),IFERROR(INDEX('Prior Multipliers'!$C$6:$C$70,MATCH(LEFT(AH298,6),'Prior Multipliers'!$A$6:$A$70,0)),IFERROR(INDEX('Prior Multipliers'!$C$6:$C$70,MATCH(LEFT(AH298,2),'Prior Multipliers'!$A$6:$A$70,0)),1))))</f>
        <v/>
      </c>
      <c r="CG298" s="49" t="str">
        <f>IF(CB298="","",IF(AND('Seasonal Tercile Tally'!$B$5=1,BT298="Rating-based"),CB298*CF298,CB298))</f>
        <v/>
      </c>
      <c r="CH298" s="47">
        <f t="shared" si="128"/>
        <v>0</v>
      </c>
      <c r="CI298" s="45"/>
      <c r="CJ298" s="42" t="str">
        <f t="shared" si="129"/>
        <v/>
      </c>
      <c r="CM298" s="42" t="str">
        <f t="shared" si="130"/>
        <v/>
      </c>
      <c r="CP298" s="46" t="str">
        <f t="shared" si="131"/>
        <v/>
      </c>
      <c r="CS298" s="46" t="str">
        <f t="shared" si="132"/>
        <v/>
      </c>
      <c r="CT298" s="42" t="str">
        <f t="shared" si="133"/>
        <v/>
      </c>
      <c r="CU298" s="42" t="str">
        <f t="shared" si="134"/>
        <v/>
      </c>
      <c r="CV298" s="42" t="str">
        <f t="shared" si="135"/>
        <v/>
      </c>
      <c r="DB298" s="45"/>
      <c r="DH298" s="42" t="str">
        <f t="shared" si="136"/>
        <v/>
      </c>
      <c r="DI298" s="43" t="str">
        <f t="shared" si="137"/>
        <v/>
      </c>
      <c r="DK298" s="46" t="str">
        <f t="shared" si="138"/>
        <v/>
      </c>
      <c r="DQ298" s="42" t="str">
        <f>IF(AH298="","",IFERROR(ROUND(100*('Weighting Options'!$D$7*IF(ISNUMBER(CA298),CA298/3,0)+'Weighting Options'!$D$8*MIN(N(BL298),3)/3+'Weighting Options'!$D$9*IF(AP298="Community/Plenary-endorsed",1,IF(AP298="FGD-validated only",0.75,IF(AP298="Sub-community-specific",0.5,IF(AP298="Provisional/emerging",0.25,0))))+'Weighting Options'!$D$10*IF(ISNUMBER(K298),K298/3,0)+'Weighting Options'!$D$11*IF(CC298="",0.5,IF(CC298="OK",1,0.25))+'Weighting Options'!$D$12*IF(DK298="",0.5,IF(DK298="Agrees",1,IF(DK298="Opposite",0,0.5)))+'Weighting Options'!$D$13*MIN(N(BG298),3)/3+'Weighting Options'!$D$14*IF(AE298=1,1,0))/SUM('Weighting Options'!$D$7:$D$14),0),""))</f>
        <v/>
      </c>
      <c r="DR298" s="44" t="str">
        <f>IF(AH298="","",IFERROR(INDEX('Weighting Options'!$D$20:$D$27,VALUE(LEFT(TRIM(BU298),1))),1))</f>
        <v/>
      </c>
      <c r="DS298" s="44" t="str">
        <f t="shared" si="139"/>
        <v/>
      </c>
      <c r="DT298" s="42" t="str">
        <f>IF(AH298="","",IF(COUNTIFS($AH$12:AH298,AH298,$AI$12:AI298,AI298,$AM$12:AM298,AM298)=1,1,0))</f>
        <v/>
      </c>
    </row>
    <row r="299" spans="16:124" ht="12.75" customHeight="1" x14ac:dyDescent="0.35">
      <c r="P299" s="41"/>
      <c r="Q299" s="41"/>
      <c r="R299" s="41"/>
      <c r="S299" s="41"/>
      <c r="AH299" s="40"/>
      <c r="AP299" s="40"/>
      <c r="AS299" s="41"/>
      <c r="AT299" s="41"/>
      <c r="AW299" t="str">
        <f t="shared" si="112"/>
        <v/>
      </c>
      <c r="AX299" t="str">
        <f t="shared" si="113"/>
        <v/>
      </c>
      <c r="AY299" t="str">
        <f t="shared" si="114"/>
        <v/>
      </c>
      <c r="AZ299" s="40"/>
      <c r="BL299" s="47" t="str">
        <f t="shared" si="115"/>
        <v/>
      </c>
      <c r="BM299" s="47" t="str">
        <f t="shared" si="116"/>
        <v/>
      </c>
      <c r="BN299" s="47" t="str">
        <f t="shared" si="117"/>
        <v/>
      </c>
      <c r="BO299" s="47" t="str">
        <f t="shared" si="118"/>
        <v/>
      </c>
      <c r="BP299" s="47" t="str">
        <f t="shared" si="119"/>
        <v/>
      </c>
      <c r="BQ299" s="48" t="str">
        <f t="shared" si="120"/>
        <v/>
      </c>
      <c r="BR299" s="48" t="str">
        <f t="shared" si="121"/>
        <v/>
      </c>
      <c r="BS299" s="48" t="str">
        <f t="shared" si="122"/>
        <v/>
      </c>
      <c r="BT299" s="47" t="str">
        <f t="shared" si="123"/>
        <v/>
      </c>
      <c r="CA299" s="47" t="str">
        <f t="shared" si="124"/>
        <v/>
      </c>
      <c r="CB299" s="47" t="str">
        <f t="shared" si="125"/>
        <v/>
      </c>
      <c r="CC299" s="47" t="str">
        <f t="shared" si="126"/>
        <v/>
      </c>
      <c r="CD299" s="47" t="str">
        <f t="shared" si="127"/>
        <v/>
      </c>
      <c r="CE299" s="47" t="str">
        <f>IF(AH299="","",IF(OR(AI299&lt;&gt;'Seasonal Tercile Tally'!$B$3,AM299&lt;&gt;'Seasonal Tercile Tally'!$B$4),"Other site/ season",IF(DT299=0,"Excluded: duplicate (later row)",IF(N299&lt;&gt;1,"Excluded: not sighted",IF(AC299&lt;&gt;1,"Excluded: not confirmed",IF(AD299&lt;&gt;1,"Excluded: not approved",IF(AP299="Contested","Excluded: contested",IF(OR(U299="",U299=0),"Excluded: no tercile",IF(CB299="","Counted (simple tally only — no weight)","Counted")))))))))</f>
        <v/>
      </c>
      <c r="CF299" s="49" t="str">
        <f>IF(AH299="","",IFERROR(INDEX('Prior Multipliers'!$C$6:$C$70,MATCH(LEFT(AH299,10),'Prior Multipliers'!$A$6:$A$70,0)),IFERROR(INDEX('Prior Multipliers'!$C$6:$C$70,MATCH(LEFT(AH299,6),'Prior Multipliers'!$A$6:$A$70,0)),IFERROR(INDEX('Prior Multipliers'!$C$6:$C$70,MATCH(LEFT(AH299,2),'Prior Multipliers'!$A$6:$A$70,0)),1))))</f>
        <v/>
      </c>
      <c r="CG299" s="49" t="str">
        <f>IF(CB299="","",IF(AND('Seasonal Tercile Tally'!$B$5=1,BT299="Rating-based"),CB299*CF299,CB299))</f>
        <v/>
      </c>
      <c r="CH299" s="47">
        <f t="shared" si="128"/>
        <v>0</v>
      </c>
      <c r="CI299" s="45"/>
      <c r="CJ299" s="42" t="str">
        <f t="shared" si="129"/>
        <v/>
      </c>
      <c r="CM299" s="42" t="str">
        <f t="shared" si="130"/>
        <v/>
      </c>
      <c r="CP299" s="46" t="str">
        <f t="shared" si="131"/>
        <v/>
      </c>
      <c r="CS299" s="46" t="str">
        <f t="shared" si="132"/>
        <v/>
      </c>
      <c r="CT299" s="42" t="str">
        <f t="shared" si="133"/>
        <v/>
      </c>
      <c r="CU299" s="42" t="str">
        <f t="shared" si="134"/>
        <v/>
      </c>
      <c r="CV299" s="42" t="str">
        <f t="shared" si="135"/>
        <v/>
      </c>
      <c r="DB299" s="45"/>
      <c r="DH299" s="42" t="str">
        <f t="shared" si="136"/>
        <v/>
      </c>
      <c r="DI299" s="43" t="str">
        <f t="shared" si="137"/>
        <v/>
      </c>
      <c r="DK299" s="46" t="str">
        <f t="shared" si="138"/>
        <v/>
      </c>
      <c r="DQ299" s="42" t="str">
        <f>IF(AH299="","",IFERROR(ROUND(100*('Weighting Options'!$D$7*IF(ISNUMBER(CA299),CA299/3,0)+'Weighting Options'!$D$8*MIN(N(BL299),3)/3+'Weighting Options'!$D$9*IF(AP299="Community/Plenary-endorsed",1,IF(AP299="FGD-validated only",0.75,IF(AP299="Sub-community-specific",0.5,IF(AP299="Provisional/emerging",0.25,0))))+'Weighting Options'!$D$10*IF(ISNUMBER(K299),K299/3,0)+'Weighting Options'!$D$11*IF(CC299="",0.5,IF(CC299="OK",1,0.25))+'Weighting Options'!$D$12*IF(DK299="",0.5,IF(DK299="Agrees",1,IF(DK299="Opposite",0,0.5)))+'Weighting Options'!$D$13*MIN(N(BG299),3)/3+'Weighting Options'!$D$14*IF(AE299=1,1,0))/SUM('Weighting Options'!$D$7:$D$14),0),""))</f>
        <v/>
      </c>
      <c r="DR299" s="44" t="str">
        <f>IF(AH299="","",IFERROR(INDEX('Weighting Options'!$D$20:$D$27,VALUE(LEFT(TRIM(BU299),1))),1))</f>
        <v/>
      </c>
      <c r="DS299" s="44" t="str">
        <f t="shared" si="139"/>
        <v/>
      </c>
      <c r="DT299" s="42" t="str">
        <f>IF(AH299="","",IF(COUNTIFS($AH$12:AH299,AH299,$AI$12:AI299,AI299,$AM$12:AM299,AM299)=1,1,0))</f>
        <v/>
      </c>
    </row>
    <row r="300" spans="16:124" ht="12.75" customHeight="1" x14ac:dyDescent="0.35">
      <c r="P300" s="41"/>
      <c r="Q300" s="41"/>
      <c r="R300" s="41"/>
      <c r="S300" s="41"/>
      <c r="AH300" s="40"/>
      <c r="AP300" s="40"/>
      <c r="AS300" s="41"/>
      <c r="AT300" s="41"/>
      <c r="AW300" t="str">
        <f t="shared" si="112"/>
        <v/>
      </c>
      <c r="AX300" t="str">
        <f t="shared" si="113"/>
        <v/>
      </c>
      <c r="AY300" t="str">
        <f t="shared" si="114"/>
        <v/>
      </c>
      <c r="AZ300" s="40"/>
      <c r="BL300" s="47" t="str">
        <f t="shared" si="115"/>
        <v/>
      </c>
      <c r="BM300" s="47" t="str">
        <f t="shared" si="116"/>
        <v/>
      </c>
      <c r="BN300" s="47" t="str">
        <f t="shared" si="117"/>
        <v/>
      </c>
      <c r="BO300" s="47" t="str">
        <f t="shared" si="118"/>
        <v/>
      </c>
      <c r="BP300" s="47" t="str">
        <f t="shared" si="119"/>
        <v/>
      </c>
      <c r="BQ300" s="48" t="str">
        <f t="shared" si="120"/>
        <v/>
      </c>
      <c r="BR300" s="48" t="str">
        <f t="shared" si="121"/>
        <v/>
      </c>
      <c r="BS300" s="48" t="str">
        <f t="shared" si="122"/>
        <v/>
      </c>
      <c r="BT300" s="47" t="str">
        <f t="shared" si="123"/>
        <v/>
      </c>
      <c r="CA300" s="47" t="str">
        <f t="shared" si="124"/>
        <v/>
      </c>
      <c r="CB300" s="47" t="str">
        <f t="shared" si="125"/>
        <v/>
      </c>
      <c r="CC300" s="47" t="str">
        <f t="shared" si="126"/>
        <v/>
      </c>
      <c r="CD300" s="47" t="str">
        <f t="shared" si="127"/>
        <v/>
      </c>
      <c r="CE300" s="47" t="str">
        <f>IF(AH300="","",IF(OR(AI300&lt;&gt;'Seasonal Tercile Tally'!$B$3,AM300&lt;&gt;'Seasonal Tercile Tally'!$B$4),"Other site/ season",IF(DT300=0,"Excluded: duplicate (later row)",IF(N300&lt;&gt;1,"Excluded: not sighted",IF(AC300&lt;&gt;1,"Excluded: not confirmed",IF(AD300&lt;&gt;1,"Excluded: not approved",IF(AP300="Contested","Excluded: contested",IF(OR(U300="",U300=0),"Excluded: no tercile",IF(CB300="","Counted (simple tally only — no weight)","Counted")))))))))</f>
        <v/>
      </c>
      <c r="CF300" s="49" t="str">
        <f>IF(AH300="","",IFERROR(INDEX('Prior Multipliers'!$C$6:$C$70,MATCH(LEFT(AH300,10),'Prior Multipliers'!$A$6:$A$70,0)),IFERROR(INDEX('Prior Multipliers'!$C$6:$C$70,MATCH(LEFT(AH300,6),'Prior Multipliers'!$A$6:$A$70,0)),IFERROR(INDEX('Prior Multipliers'!$C$6:$C$70,MATCH(LEFT(AH300,2),'Prior Multipliers'!$A$6:$A$70,0)),1))))</f>
        <v/>
      </c>
      <c r="CG300" s="49" t="str">
        <f>IF(CB300="","",IF(AND('Seasonal Tercile Tally'!$B$5=1,BT300="Rating-based"),CB300*CF300,CB300))</f>
        <v/>
      </c>
      <c r="CH300" s="47">
        <f t="shared" si="128"/>
        <v>0</v>
      </c>
      <c r="CI300" s="45"/>
      <c r="CJ300" s="42" t="str">
        <f t="shared" si="129"/>
        <v/>
      </c>
      <c r="CM300" s="42" t="str">
        <f t="shared" si="130"/>
        <v/>
      </c>
      <c r="CP300" s="46" t="str">
        <f t="shared" si="131"/>
        <v/>
      </c>
      <c r="CS300" s="46" t="str">
        <f t="shared" si="132"/>
        <v/>
      </c>
      <c r="CT300" s="42" t="str">
        <f t="shared" si="133"/>
        <v/>
      </c>
      <c r="CU300" s="42" t="str">
        <f t="shared" si="134"/>
        <v/>
      </c>
      <c r="CV300" s="42" t="str">
        <f t="shared" si="135"/>
        <v/>
      </c>
      <c r="DB300" s="45"/>
      <c r="DH300" s="42" t="str">
        <f t="shared" si="136"/>
        <v/>
      </c>
      <c r="DI300" s="43" t="str">
        <f t="shared" si="137"/>
        <v/>
      </c>
      <c r="DK300" s="46" t="str">
        <f t="shared" si="138"/>
        <v/>
      </c>
      <c r="DQ300" s="42" t="str">
        <f>IF(AH300="","",IFERROR(ROUND(100*('Weighting Options'!$D$7*IF(ISNUMBER(CA300),CA300/3,0)+'Weighting Options'!$D$8*MIN(N(BL300),3)/3+'Weighting Options'!$D$9*IF(AP300="Community/Plenary-endorsed",1,IF(AP300="FGD-validated only",0.75,IF(AP300="Sub-community-specific",0.5,IF(AP300="Provisional/emerging",0.25,0))))+'Weighting Options'!$D$10*IF(ISNUMBER(K300),K300/3,0)+'Weighting Options'!$D$11*IF(CC300="",0.5,IF(CC300="OK",1,0.25))+'Weighting Options'!$D$12*IF(DK300="",0.5,IF(DK300="Agrees",1,IF(DK300="Opposite",0,0.5)))+'Weighting Options'!$D$13*MIN(N(BG300),3)/3+'Weighting Options'!$D$14*IF(AE300=1,1,0))/SUM('Weighting Options'!$D$7:$D$14),0),""))</f>
        <v/>
      </c>
      <c r="DR300" s="44" t="str">
        <f>IF(AH300="","",IFERROR(INDEX('Weighting Options'!$D$20:$D$27,VALUE(LEFT(TRIM(BU300),1))),1))</f>
        <v/>
      </c>
      <c r="DS300" s="44" t="str">
        <f t="shared" si="139"/>
        <v/>
      </c>
      <c r="DT300" s="42" t="str">
        <f>IF(AH300="","",IF(COUNTIFS($AH$12:AH300,AH300,$AI$12:AI300,AI300,$AM$12:AM300,AM300)=1,1,0))</f>
        <v/>
      </c>
    </row>
    <row r="301" spans="16:124" ht="12.75" customHeight="1" x14ac:dyDescent="0.35">
      <c r="P301" s="41"/>
      <c r="Q301" s="41"/>
      <c r="R301" s="41"/>
      <c r="S301" s="41"/>
      <c r="AH301" s="40"/>
      <c r="AP301" s="40"/>
      <c r="AS301" s="41"/>
      <c r="AT301" s="41"/>
      <c r="AW301" t="str">
        <f t="shared" si="112"/>
        <v/>
      </c>
      <c r="AX301" t="str">
        <f t="shared" si="113"/>
        <v/>
      </c>
      <c r="AY301" t="str">
        <f t="shared" si="114"/>
        <v/>
      </c>
      <c r="AZ301" s="40"/>
      <c r="BL301" s="47" t="str">
        <f t="shared" si="115"/>
        <v/>
      </c>
      <c r="BM301" s="47" t="str">
        <f t="shared" si="116"/>
        <v/>
      </c>
      <c r="BN301" s="47" t="str">
        <f t="shared" si="117"/>
        <v/>
      </c>
      <c r="BO301" s="47" t="str">
        <f t="shared" si="118"/>
        <v/>
      </c>
      <c r="BP301" s="47" t="str">
        <f t="shared" si="119"/>
        <v/>
      </c>
      <c r="BQ301" s="48" t="str">
        <f t="shared" si="120"/>
        <v/>
      </c>
      <c r="BR301" s="48" t="str">
        <f t="shared" si="121"/>
        <v/>
      </c>
      <c r="BS301" s="48" t="str">
        <f t="shared" si="122"/>
        <v/>
      </c>
      <c r="BT301" s="47" t="str">
        <f t="shared" si="123"/>
        <v/>
      </c>
      <c r="CA301" s="47" t="str">
        <f t="shared" si="124"/>
        <v/>
      </c>
      <c r="CB301" s="47" t="str">
        <f t="shared" si="125"/>
        <v/>
      </c>
      <c r="CC301" s="47" t="str">
        <f t="shared" si="126"/>
        <v/>
      </c>
      <c r="CD301" s="47" t="str">
        <f t="shared" si="127"/>
        <v/>
      </c>
      <c r="CE301" s="47" t="str">
        <f>IF(AH301="","",IF(OR(AI301&lt;&gt;'Seasonal Tercile Tally'!$B$3,AM301&lt;&gt;'Seasonal Tercile Tally'!$B$4),"Other site/ season",IF(DT301=0,"Excluded: duplicate (later row)",IF(N301&lt;&gt;1,"Excluded: not sighted",IF(AC301&lt;&gt;1,"Excluded: not confirmed",IF(AD301&lt;&gt;1,"Excluded: not approved",IF(AP301="Contested","Excluded: contested",IF(OR(U301="",U301=0),"Excluded: no tercile",IF(CB301="","Counted (simple tally only — no weight)","Counted")))))))))</f>
        <v/>
      </c>
      <c r="CF301" s="49" t="str">
        <f>IF(AH301="","",IFERROR(INDEX('Prior Multipliers'!$C$6:$C$70,MATCH(LEFT(AH301,10),'Prior Multipliers'!$A$6:$A$70,0)),IFERROR(INDEX('Prior Multipliers'!$C$6:$C$70,MATCH(LEFT(AH301,6),'Prior Multipliers'!$A$6:$A$70,0)),IFERROR(INDEX('Prior Multipliers'!$C$6:$C$70,MATCH(LEFT(AH301,2),'Prior Multipliers'!$A$6:$A$70,0)),1))))</f>
        <v/>
      </c>
      <c r="CG301" s="49" t="str">
        <f>IF(CB301="","",IF(AND('Seasonal Tercile Tally'!$B$5=1,BT301="Rating-based"),CB301*CF301,CB301))</f>
        <v/>
      </c>
      <c r="CH301" s="47">
        <f t="shared" si="128"/>
        <v>0</v>
      </c>
      <c r="CI301" s="45"/>
      <c r="CJ301" s="42" t="str">
        <f t="shared" si="129"/>
        <v/>
      </c>
      <c r="CM301" s="42" t="str">
        <f t="shared" si="130"/>
        <v/>
      </c>
      <c r="CP301" s="46" t="str">
        <f t="shared" si="131"/>
        <v/>
      </c>
      <c r="CS301" s="46" t="str">
        <f t="shared" si="132"/>
        <v/>
      </c>
      <c r="CT301" s="42" t="str">
        <f t="shared" si="133"/>
        <v/>
      </c>
      <c r="CU301" s="42" t="str">
        <f t="shared" si="134"/>
        <v/>
      </c>
      <c r="CV301" s="42" t="str">
        <f t="shared" si="135"/>
        <v/>
      </c>
      <c r="DB301" s="45"/>
      <c r="DH301" s="42" t="str">
        <f t="shared" si="136"/>
        <v/>
      </c>
      <c r="DI301" s="43" t="str">
        <f t="shared" si="137"/>
        <v/>
      </c>
      <c r="DK301" s="46" t="str">
        <f t="shared" si="138"/>
        <v/>
      </c>
      <c r="DQ301" s="42" t="str">
        <f>IF(AH301="","",IFERROR(ROUND(100*('Weighting Options'!$D$7*IF(ISNUMBER(CA301),CA301/3,0)+'Weighting Options'!$D$8*MIN(N(BL301),3)/3+'Weighting Options'!$D$9*IF(AP301="Community/Plenary-endorsed",1,IF(AP301="FGD-validated only",0.75,IF(AP301="Sub-community-specific",0.5,IF(AP301="Provisional/emerging",0.25,0))))+'Weighting Options'!$D$10*IF(ISNUMBER(K301),K301/3,0)+'Weighting Options'!$D$11*IF(CC301="",0.5,IF(CC301="OK",1,0.25))+'Weighting Options'!$D$12*IF(DK301="",0.5,IF(DK301="Agrees",1,IF(DK301="Opposite",0,0.5)))+'Weighting Options'!$D$13*MIN(N(BG301),3)/3+'Weighting Options'!$D$14*IF(AE301=1,1,0))/SUM('Weighting Options'!$D$7:$D$14),0),""))</f>
        <v/>
      </c>
      <c r="DR301" s="44" t="str">
        <f>IF(AH301="","",IFERROR(INDEX('Weighting Options'!$D$20:$D$27,VALUE(LEFT(TRIM(BU301),1))),1))</f>
        <v/>
      </c>
      <c r="DS301" s="44" t="str">
        <f t="shared" si="139"/>
        <v/>
      </c>
      <c r="DT301" s="42" t="str">
        <f>IF(AH301="","",IF(COUNTIFS($AH$12:AH301,AH301,$AI$12:AI301,AI301,$AM$12:AM301,AM301)=1,1,0))</f>
        <v/>
      </c>
    </row>
    <row r="302" spans="16:124" ht="12.75" customHeight="1" x14ac:dyDescent="0.35">
      <c r="P302" s="41"/>
      <c r="Q302" s="41"/>
      <c r="R302" s="41"/>
      <c r="S302" s="41"/>
      <c r="AH302" s="40"/>
      <c r="AP302" s="40"/>
      <c r="AS302" s="41"/>
      <c r="AT302" s="41"/>
      <c r="AW302" t="str">
        <f t="shared" si="112"/>
        <v/>
      </c>
      <c r="AX302" t="str">
        <f t="shared" si="113"/>
        <v/>
      </c>
      <c r="AY302" t="str">
        <f t="shared" si="114"/>
        <v/>
      </c>
      <c r="AZ302" s="40"/>
      <c r="BL302" s="47" t="str">
        <f t="shared" si="115"/>
        <v/>
      </c>
      <c r="BM302" s="47" t="str">
        <f t="shared" si="116"/>
        <v/>
      </c>
      <c r="BN302" s="47" t="str">
        <f t="shared" si="117"/>
        <v/>
      </c>
      <c r="BO302" s="47" t="str">
        <f t="shared" si="118"/>
        <v/>
      </c>
      <c r="BP302" s="47" t="str">
        <f t="shared" si="119"/>
        <v/>
      </c>
      <c r="BQ302" s="48" t="str">
        <f t="shared" si="120"/>
        <v/>
      </c>
      <c r="BR302" s="48" t="str">
        <f t="shared" si="121"/>
        <v/>
      </c>
      <c r="BS302" s="48" t="str">
        <f t="shared" si="122"/>
        <v/>
      </c>
      <c r="BT302" s="47" t="str">
        <f t="shared" si="123"/>
        <v/>
      </c>
      <c r="CA302" s="47" t="str">
        <f t="shared" si="124"/>
        <v/>
      </c>
      <c r="CB302" s="47" t="str">
        <f t="shared" si="125"/>
        <v/>
      </c>
      <c r="CC302" s="47" t="str">
        <f t="shared" si="126"/>
        <v/>
      </c>
      <c r="CD302" s="47" t="str">
        <f t="shared" si="127"/>
        <v/>
      </c>
      <c r="CE302" s="47" t="str">
        <f>IF(AH302="","",IF(OR(AI302&lt;&gt;'Seasonal Tercile Tally'!$B$3,AM302&lt;&gt;'Seasonal Tercile Tally'!$B$4),"Other site/ season",IF(DT302=0,"Excluded: duplicate (later row)",IF(N302&lt;&gt;1,"Excluded: not sighted",IF(AC302&lt;&gt;1,"Excluded: not confirmed",IF(AD302&lt;&gt;1,"Excluded: not approved",IF(AP302="Contested","Excluded: contested",IF(OR(U302="",U302=0),"Excluded: no tercile",IF(CB302="","Counted (simple tally only — no weight)","Counted")))))))))</f>
        <v/>
      </c>
      <c r="CF302" s="49" t="str">
        <f>IF(AH302="","",IFERROR(INDEX('Prior Multipliers'!$C$6:$C$70,MATCH(LEFT(AH302,10),'Prior Multipliers'!$A$6:$A$70,0)),IFERROR(INDEX('Prior Multipliers'!$C$6:$C$70,MATCH(LEFT(AH302,6),'Prior Multipliers'!$A$6:$A$70,0)),IFERROR(INDEX('Prior Multipliers'!$C$6:$C$70,MATCH(LEFT(AH302,2),'Prior Multipliers'!$A$6:$A$70,0)),1))))</f>
        <v/>
      </c>
      <c r="CG302" s="49" t="str">
        <f>IF(CB302="","",IF(AND('Seasonal Tercile Tally'!$B$5=1,BT302="Rating-based"),CB302*CF302,CB302))</f>
        <v/>
      </c>
      <c r="CH302" s="47">
        <f t="shared" si="128"/>
        <v>0</v>
      </c>
      <c r="CI302" s="45"/>
      <c r="CJ302" s="42" t="str">
        <f t="shared" si="129"/>
        <v/>
      </c>
      <c r="CM302" s="42" t="str">
        <f t="shared" si="130"/>
        <v/>
      </c>
      <c r="CP302" s="46" t="str">
        <f t="shared" si="131"/>
        <v/>
      </c>
      <c r="CS302" s="46" t="str">
        <f t="shared" si="132"/>
        <v/>
      </c>
      <c r="CT302" s="42" t="str">
        <f t="shared" si="133"/>
        <v/>
      </c>
      <c r="CU302" s="42" t="str">
        <f t="shared" si="134"/>
        <v/>
      </c>
      <c r="CV302" s="42" t="str">
        <f t="shared" si="135"/>
        <v/>
      </c>
      <c r="DB302" s="45"/>
      <c r="DH302" s="42" t="str">
        <f t="shared" si="136"/>
        <v/>
      </c>
      <c r="DI302" s="43" t="str">
        <f t="shared" si="137"/>
        <v/>
      </c>
      <c r="DK302" s="46" t="str">
        <f t="shared" si="138"/>
        <v/>
      </c>
      <c r="DQ302" s="42" t="str">
        <f>IF(AH302="","",IFERROR(ROUND(100*('Weighting Options'!$D$7*IF(ISNUMBER(CA302),CA302/3,0)+'Weighting Options'!$D$8*MIN(N(BL302),3)/3+'Weighting Options'!$D$9*IF(AP302="Community/Plenary-endorsed",1,IF(AP302="FGD-validated only",0.75,IF(AP302="Sub-community-specific",0.5,IF(AP302="Provisional/emerging",0.25,0))))+'Weighting Options'!$D$10*IF(ISNUMBER(K302),K302/3,0)+'Weighting Options'!$D$11*IF(CC302="",0.5,IF(CC302="OK",1,0.25))+'Weighting Options'!$D$12*IF(DK302="",0.5,IF(DK302="Agrees",1,IF(DK302="Opposite",0,0.5)))+'Weighting Options'!$D$13*MIN(N(BG302),3)/3+'Weighting Options'!$D$14*IF(AE302=1,1,0))/SUM('Weighting Options'!$D$7:$D$14),0),""))</f>
        <v/>
      </c>
      <c r="DR302" s="44" t="str">
        <f>IF(AH302="","",IFERROR(INDEX('Weighting Options'!$D$20:$D$27,VALUE(LEFT(TRIM(BU302),1))),1))</f>
        <v/>
      </c>
      <c r="DS302" s="44" t="str">
        <f t="shared" si="139"/>
        <v/>
      </c>
      <c r="DT302" s="42" t="str">
        <f>IF(AH302="","",IF(COUNTIFS($AH$12:AH302,AH302,$AI$12:AI302,AI302,$AM$12:AM302,AM302)=1,1,0))</f>
        <v/>
      </c>
    </row>
    <row r="303" spans="16:124" ht="12.75" customHeight="1" x14ac:dyDescent="0.35">
      <c r="P303" s="41"/>
      <c r="Q303" s="41"/>
      <c r="R303" s="41"/>
      <c r="S303" s="41"/>
      <c r="AH303" s="40"/>
      <c r="AP303" s="40"/>
      <c r="AS303" s="41"/>
      <c r="AT303" s="41"/>
      <c r="AW303" t="str">
        <f t="shared" si="112"/>
        <v/>
      </c>
      <c r="AX303" t="str">
        <f t="shared" si="113"/>
        <v/>
      </c>
      <c r="AY303" t="str">
        <f t="shared" si="114"/>
        <v/>
      </c>
      <c r="AZ303" s="40"/>
      <c r="BL303" s="47" t="str">
        <f t="shared" si="115"/>
        <v/>
      </c>
      <c r="BM303" s="47" t="str">
        <f t="shared" si="116"/>
        <v/>
      </c>
      <c r="BN303" s="47" t="str">
        <f t="shared" si="117"/>
        <v/>
      </c>
      <c r="BO303" s="47" t="str">
        <f t="shared" si="118"/>
        <v/>
      </c>
      <c r="BP303" s="47" t="str">
        <f t="shared" si="119"/>
        <v/>
      </c>
      <c r="BQ303" s="48" t="str">
        <f t="shared" si="120"/>
        <v/>
      </c>
      <c r="BR303" s="48" t="str">
        <f t="shared" si="121"/>
        <v/>
      </c>
      <c r="BS303" s="48" t="str">
        <f t="shared" si="122"/>
        <v/>
      </c>
      <c r="BT303" s="47" t="str">
        <f t="shared" si="123"/>
        <v/>
      </c>
      <c r="CA303" s="47" t="str">
        <f t="shared" si="124"/>
        <v/>
      </c>
      <c r="CB303" s="47" t="str">
        <f t="shared" si="125"/>
        <v/>
      </c>
      <c r="CC303" s="47" t="str">
        <f t="shared" si="126"/>
        <v/>
      </c>
      <c r="CD303" s="47" t="str">
        <f t="shared" si="127"/>
        <v/>
      </c>
      <c r="CE303" s="47" t="str">
        <f>IF(AH303="","",IF(OR(AI303&lt;&gt;'Seasonal Tercile Tally'!$B$3,AM303&lt;&gt;'Seasonal Tercile Tally'!$B$4),"Other site/ season",IF(DT303=0,"Excluded: duplicate (later row)",IF(N303&lt;&gt;1,"Excluded: not sighted",IF(AC303&lt;&gt;1,"Excluded: not confirmed",IF(AD303&lt;&gt;1,"Excluded: not approved",IF(AP303="Contested","Excluded: contested",IF(OR(U303="",U303=0),"Excluded: no tercile",IF(CB303="","Counted (simple tally only — no weight)","Counted")))))))))</f>
        <v/>
      </c>
      <c r="CF303" s="49" t="str">
        <f>IF(AH303="","",IFERROR(INDEX('Prior Multipliers'!$C$6:$C$70,MATCH(LEFT(AH303,10),'Prior Multipliers'!$A$6:$A$70,0)),IFERROR(INDEX('Prior Multipliers'!$C$6:$C$70,MATCH(LEFT(AH303,6),'Prior Multipliers'!$A$6:$A$70,0)),IFERROR(INDEX('Prior Multipliers'!$C$6:$C$70,MATCH(LEFT(AH303,2),'Prior Multipliers'!$A$6:$A$70,0)),1))))</f>
        <v/>
      </c>
      <c r="CG303" s="49" t="str">
        <f>IF(CB303="","",IF(AND('Seasonal Tercile Tally'!$B$5=1,BT303="Rating-based"),CB303*CF303,CB303))</f>
        <v/>
      </c>
      <c r="CH303" s="47">
        <f t="shared" si="128"/>
        <v>0</v>
      </c>
      <c r="CI303" s="45"/>
      <c r="CJ303" s="42" t="str">
        <f t="shared" si="129"/>
        <v/>
      </c>
      <c r="CM303" s="42" t="str">
        <f t="shared" si="130"/>
        <v/>
      </c>
      <c r="CP303" s="46" t="str">
        <f t="shared" si="131"/>
        <v/>
      </c>
      <c r="CS303" s="46" t="str">
        <f t="shared" si="132"/>
        <v/>
      </c>
      <c r="CT303" s="42" t="str">
        <f t="shared" si="133"/>
        <v/>
      </c>
      <c r="CU303" s="42" t="str">
        <f t="shared" si="134"/>
        <v/>
      </c>
      <c r="CV303" s="42" t="str">
        <f t="shared" si="135"/>
        <v/>
      </c>
      <c r="DB303" s="45"/>
      <c r="DH303" s="42" t="str">
        <f t="shared" si="136"/>
        <v/>
      </c>
      <c r="DI303" s="43" t="str">
        <f t="shared" si="137"/>
        <v/>
      </c>
      <c r="DK303" s="46" t="str">
        <f t="shared" si="138"/>
        <v/>
      </c>
      <c r="DQ303" s="42" t="str">
        <f>IF(AH303="","",IFERROR(ROUND(100*('Weighting Options'!$D$7*IF(ISNUMBER(CA303),CA303/3,0)+'Weighting Options'!$D$8*MIN(N(BL303),3)/3+'Weighting Options'!$D$9*IF(AP303="Community/Plenary-endorsed",1,IF(AP303="FGD-validated only",0.75,IF(AP303="Sub-community-specific",0.5,IF(AP303="Provisional/emerging",0.25,0))))+'Weighting Options'!$D$10*IF(ISNUMBER(K303),K303/3,0)+'Weighting Options'!$D$11*IF(CC303="",0.5,IF(CC303="OK",1,0.25))+'Weighting Options'!$D$12*IF(DK303="",0.5,IF(DK303="Agrees",1,IF(DK303="Opposite",0,0.5)))+'Weighting Options'!$D$13*MIN(N(BG303),3)/3+'Weighting Options'!$D$14*IF(AE303=1,1,0))/SUM('Weighting Options'!$D$7:$D$14),0),""))</f>
        <v/>
      </c>
      <c r="DR303" s="44" t="str">
        <f>IF(AH303="","",IFERROR(INDEX('Weighting Options'!$D$20:$D$27,VALUE(LEFT(TRIM(BU303),1))),1))</f>
        <v/>
      </c>
      <c r="DS303" s="44" t="str">
        <f t="shared" si="139"/>
        <v/>
      </c>
      <c r="DT303" s="42" t="str">
        <f>IF(AH303="","",IF(COUNTIFS($AH$12:AH303,AH303,$AI$12:AI303,AI303,$AM$12:AM303,AM303)=1,1,0))</f>
        <v/>
      </c>
    </row>
    <row r="304" spans="16:124" ht="12.75" customHeight="1" x14ac:dyDescent="0.35">
      <c r="P304" s="41"/>
      <c r="Q304" s="41"/>
      <c r="R304" s="41"/>
      <c r="S304" s="41"/>
      <c r="AH304" s="40"/>
      <c r="AP304" s="40"/>
      <c r="AS304" s="41"/>
      <c r="AT304" s="41"/>
      <c r="AW304" t="str">
        <f t="shared" si="112"/>
        <v/>
      </c>
      <c r="AX304" t="str">
        <f t="shared" si="113"/>
        <v/>
      </c>
      <c r="AY304" t="str">
        <f t="shared" si="114"/>
        <v/>
      </c>
      <c r="AZ304" s="40"/>
      <c r="BL304" s="47" t="str">
        <f t="shared" si="115"/>
        <v/>
      </c>
      <c r="BM304" s="47" t="str">
        <f t="shared" si="116"/>
        <v/>
      </c>
      <c r="BN304" s="47" t="str">
        <f t="shared" si="117"/>
        <v/>
      </c>
      <c r="BO304" s="47" t="str">
        <f t="shared" si="118"/>
        <v/>
      </c>
      <c r="BP304" s="47" t="str">
        <f t="shared" si="119"/>
        <v/>
      </c>
      <c r="BQ304" s="48" t="str">
        <f t="shared" si="120"/>
        <v/>
      </c>
      <c r="BR304" s="48" t="str">
        <f t="shared" si="121"/>
        <v/>
      </c>
      <c r="BS304" s="48" t="str">
        <f t="shared" si="122"/>
        <v/>
      </c>
      <c r="BT304" s="47" t="str">
        <f t="shared" si="123"/>
        <v/>
      </c>
      <c r="CA304" s="47" t="str">
        <f t="shared" si="124"/>
        <v/>
      </c>
      <c r="CB304" s="47" t="str">
        <f t="shared" si="125"/>
        <v/>
      </c>
      <c r="CC304" s="47" t="str">
        <f t="shared" si="126"/>
        <v/>
      </c>
      <c r="CD304" s="47" t="str">
        <f t="shared" si="127"/>
        <v/>
      </c>
      <c r="CE304" s="47" t="str">
        <f>IF(AH304="","",IF(OR(AI304&lt;&gt;'Seasonal Tercile Tally'!$B$3,AM304&lt;&gt;'Seasonal Tercile Tally'!$B$4),"Other site/ season",IF(DT304=0,"Excluded: duplicate (later row)",IF(N304&lt;&gt;1,"Excluded: not sighted",IF(AC304&lt;&gt;1,"Excluded: not confirmed",IF(AD304&lt;&gt;1,"Excluded: not approved",IF(AP304="Contested","Excluded: contested",IF(OR(U304="",U304=0),"Excluded: no tercile",IF(CB304="","Counted (simple tally only — no weight)","Counted")))))))))</f>
        <v/>
      </c>
      <c r="CF304" s="49" t="str">
        <f>IF(AH304="","",IFERROR(INDEX('Prior Multipliers'!$C$6:$C$70,MATCH(LEFT(AH304,10),'Prior Multipliers'!$A$6:$A$70,0)),IFERROR(INDEX('Prior Multipliers'!$C$6:$C$70,MATCH(LEFT(AH304,6),'Prior Multipliers'!$A$6:$A$70,0)),IFERROR(INDEX('Prior Multipliers'!$C$6:$C$70,MATCH(LEFT(AH304,2),'Prior Multipliers'!$A$6:$A$70,0)),1))))</f>
        <v/>
      </c>
      <c r="CG304" s="49" t="str">
        <f>IF(CB304="","",IF(AND('Seasonal Tercile Tally'!$B$5=1,BT304="Rating-based"),CB304*CF304,CB304))</f>
        <v/>
      </c>
      <c r="CH304" s="47">
        <f t="shared" si="128"/>
        <v>0</v>
      </c>
      <c r="CI304" s="45"/>
      <c r="CJ304" s="42" t="str">
        <f t="shared" si="129"/>
        <v/>
      </c>
      <c r="CM304" s="42" t="str">
        <f t="shared" si="130"/>
        <v/>
      </c>
      <c r="CP304" s="46" t="str">
        <f t="shared" si="131"/>
        <v/>
      </c>
      <c r="CS304" s="46" t="str">
        <f t="shared" si="132"/>
        <v/>
      </c>
      <c r="CT304" s="42" t="str">
        <f t="shared" si="133"/>
        <v/>
      </c>
      <c r="CU304" s="42" t="str">
        <f t="shared" si="134"/>
        <v/>
      </c>
      <c r="CV304" s="42" t="str">
        <f t="shared" si="135"/>
        <v/>
      </c>
      <c r="DB304" s="45"/>
      <c r="DH304" s="42" t="str">
        <f t="shared" si="136"/>
        <v/>
      </c>
      <c r="DI304" s="43" t="str">
        <f t="shared" si="137"/>
        <v/>
      </c>
      <c r="DK304" s="46" t="str">
        <f t="shared" si="138"/>
        <v/>
      </c>
      <c r="DQ304" s="42" t="str">
        <f>IF(AH304="","",IFERROR(ROUND(100*('Weighting Options'!$D$7*IF(ISNUMBER(CA304),CA304/3,0)+'Weighting Options'!$D$8*MIN(N(BL304),3)/3+'Weighting Options'!$D$9*IF(AP304="Community/Plenary-endorsed",1,IF(AP304="FGD-validated only",0.75,IF(AP304="Sub-community-specific",0.5,IF(AP304="Provisional/emerging",0.25,0))))+'Weighting Options'!$D$10*IF(ISNUMBER(K304),K304/3,0)+'Weighting Options'!$D$11*IF(CC304="",0.5,IF(CC304="OK",1,0.25))+'Weighting Options'!$D$12*IF(DK304="",0.5,IF(DK304="Agrees",1,IF(DK304="Opposite",0,0.5)))+'Weighting Options'!$D$13*MIN(N(BG304),3)/3+'Weighting Options'!$D$14*IF(AE304=1,1,0))/SUM('Weighting Options'!$D$7:$D$14),0),""))</f>
        <v/>
      </c>
      <c r="DR304" s="44" t="str">
        <f>IF(AH304="","",IFERROR(INDEX('Weighting Options'!$D$20:$D$27,VALUE(LEFT(TRIM(BU304),1))),1))</f>
        <v/>
      </c>
      <c r="DS304" s="44" t="str">
        <f t="shared" si="139"/>
        <v/>
      </c>
      <c r="DT304" s="42" t="str">
        <f>IF(AH304="","",IF(COUNTIFS($AH$12:AH304,AH304,$AI$12:AI304,AI304,$AM$12:AM304,AM304)=1,1,0))</f>
        <v/>
      </c>
    </row>
    <row r="305" spans="16:124" ht="12.75" customHeight="1" x14ac:dyDescent="0.35">
      <c r="P305" s="41"/>
      <c r="Q305" s="41"/>
      <c r="R305" s="41"/>
      <c r="S305" s="41"/>
      <c r="AH305" s="40"/>
      <c r="AP305" s="40"/>
      <c r="AS305" s="41"/>
      <c r="AT305" s="41"/>
      <c r="AW305" t="str">
        <f t="shared" si="112"/>
        <v/>
      </c>
      <c r="AX305" t="str">
        <f t="shared" si="113"/>
        <v/>
      </c>
      <c r="AY305" t="str">
        <f t="shared" si="114"/>
        <v/>
      </c>
      <c r="AZ305" s="40"/>
      <c r="BL305" s="47" t="str">
        <f t="shared" si="115"/>
        <v/>
      </c>
      <c r="BM305" s="47" t="str">
        <f t="shared" si="116"/>
        <v/>
      </c>
      <c r="BN305" s="47" t="str">
        <f t="shared" si="117"/>
        <v/>
      </c>
      <c r="BO305" s="47" t="str">
        <f t="shared" si="118"/>
        <v/>
      </c>
      <c r="BP305" s="47" t="str">
        <f t="shared" si="119"/>
        <v/>
      </c>
      <c r="BQ305" s="48" t="str">
        <f t="shared" si="120"/>
        <v/>
      </c>
      <c r="BR305" s="48" t="str">
        <f t="shared" si="121"/>
        <v/>
      </c>
      <c r="BS305" s="48" t="str">
        <f t="shared" si="122"/>
        <v/>
      </c>
      <c r="BT305" s="47" t="str">
        <f t="shared" si="123"/>
        <v/>
      </c>
      <c r="CA305" s="47" t="str">
        <f t="shared" si="124"/>
        <v/>
      </c>
      <c r="CB305" s="47" t="str">
        <f t="shared" si="125"/>
        <v/>
      </c>
      <c r="CC305" s="47" t="str">
        <f t="shared" si="126"/>
        <v/>
      </c>
      <c r="CD305" s="47" t="str">
        <f t="shared" si="127"/>
        <v/>
      </c>
      <c r="CE305" s="47" t="str">
        <f>IF(AH305="","",IF(OR(AI305&lt;&gt;'Seasonal Tercile Tally'!$B$3,AM305&lt;&gt;'Seasonal Tercile Tally'!$B$4),"Other site/ season",IF(DT305=0,"Excluded: duplicate (later row)",IF(N305&lt;&gt;1,"Excluded: not sighted",IF(AC305&lt;&gt;1,"Excluded: not confirmed",IF(AD305&lt;&gt;1,"Excluded: not approved",IF(AP305="Contested","Excluded: contested",IF(OR(U305="",U305=0),"Excluded: no tercile",IF(CB305="","Counted (simple tally only — no weight)","Counted")))))))))</f>
        <v/>
      </c>
      <c r="CF305" s="49" t="str">
        <f>IF(AH305="","",IFERROR(INDEX('Prior Multipliers'!$C$6:$C$70,MATCH(LEFT(AH305,10),'Prior Multipliers'!$A$6:$A$70,0)),IFERROR(INDEX('Prior Multipliers'!$C$6:$C$70,MATCH(LEFT(AH305,6),'Prior Multipliers'!$A$6:$A$70,0)),IFERROR(INDEX('Prior Multipliers'!$C$6:$C$70,MATCH(LEFT(AH305,2),'Prior Multipliers'!$A$6:$A$70,0)),1))))</f>
        <v/>
      </c>
      <c r="CG305" s="49" t="str">
        <f>IF(CB305="","",IF(AND('Seasonal Tercile Tally'!$B$5=1,BT305="Rating-based"),CB305*CF305,CB305))</f>
        <v/>
      </c>
      <c r="CH305" s="47">
        <f t="shared" si="128"/>
        <v>0</v>
      </c>
      <c r="CI305" s="45"/>
      <c r="CJ305" s="42" t="str">
        <f t="shared" si="129"/>
        <v/>
      </c>
      <c r="CM305" s="42" t="str">
        <f t="shared" si="130"/>
        <v/>
      </c>
      <c r="CP305" s="46" t="str">
        <f t="shared" si="131"/>
        <v/>
      </c>
      <c r="CS305" s="46" t="str">
        <f t="shared" si="132"/>
        <v/>
      </c>
      <c r="CT305" s="42" t="str">
        <f t="shared" si="133"/>
        <v/>
      </c>
      <c r="CU305" s="42" t="str">
        <f t="shared" si="134"/>
        <v/>
      </c>
      <c r="CV305" s="42" t="str">
        <f t="shared" si="135"/>
        <v/>
      </c>
      <c r="DB305" s="45"/>
      <c r="DH305" s="42" t="str">
        <f t="shared" si="136"/>
        <v/>
      </c>
      <c r="DI305" s="43" t="str">
        <f t="shared" si="137"/>
        <v/>
      </c>
      <c r="DK305" s="46" t="str">
        <f t="shared" si="138"/>
        <v/>
      </c>
      <c r="DQ305" s="42" t="str">
        <f>IF(AH305="","",IFERROR(ROUND(100*('Weighting Options'!$D$7*IF(ISNUMBER(CA305),CA305/3,0)+'Weighting Options'!$D$8*MIN(N(BL305),3)/3+'Weighting Options'!$D$9*IF(AP305="Community/Plenary-endorsed",1,IF(AP305="FGD-validated only",0.75,IF(AP305="Sub-community-specific",0.5,IF(AP305="Provisional/emerging",0.25,0))))+'Weighting Options'!$D$10*IF(ISNUMBER(K305),K305/3,0)+'Weighting Options'!$D$11*IF(CC305="",0.5,IF(CC305="OK",1,0.25))+'Weighting Options'!$D$12*IF(DK305="",0.5,IF(DK305="Agrees",1,IF(DK305="Opposite",0,0.5)))+'Weighting Options'!$D$13*MIN(N(BG305),3)/3+'Weighting Options'!$D$14*IF(AE305=1,1,0))/SUM('Weighting Options'!$D$7:$D$14),0),""))</f>
        <v/>
      </c>
      <c r="DR305" s="44" t="str">
        <f>IF(AH305="","",IFERROR(INDEX('Weighting Options'!$D$20:$D$27,VALUE(LEFT(TRIM(BU305),1))),1))</f>
        <v/>
      </c>
      <c r="DS305" s="44" t="str">
        <f t="shared" si="139"/>
        <v/>
      </c>
      <c r="DT305" s="42" t="str">
        <f>IF(AH305="","",IF(COUNTIFS($AH$12:AH305,AH305,$AI$12:AI305,AI305,$AM$12:AM305,AM305)=1,1,0))</f>
        <v/>
      </c>
    </row>
    <row r="306" spans="16:124" ht="12.75" customHeight="1" x14ac:dyDescent="0.35">
      <c r="P306" s="41"/>
      <c r="Q306" s="41"/>
      <c r="R306" s="41"/>
      <c r="S306" s="41"/>
      <c r="AH306" s="40"/>
      <c r="AP306" s="40"/>
      <c r="AS306" s="41"/>
      <c r="AT306" s="41"/>
      <c r="AW306" t="str">
        <f t="shared" si="112"/>
        <v/>
      </c>
      <c r="AX306" t="str">
        <f t="shared" si="113"/>
        <v/>
      </c>
      <c r="AY306" t="str">
        <f t="shared" si="114"/>
        <v/>
      </c>
      <c r="AZ306" s="40"/>
      <c r="BL306" s="47" t="str">
        <f t="shared" si="115"/>
        <v/>
      </c>
      <c r="BM306" s="47" t="str">
        <f t="shared" si="116"/>
        <v/>
      </c>
      <c r="BN306" s="47" t="str">
        <f t="shared" si="117"/>
        <v/>
      </c>
      <c r="BO306" s="47" t="str">
        <f t="shared" si="118"/>
        <v/>
      </c>
      <c r="BP306" s="47" t="str">
        <f t="shared" si="119"/>
        <v/>
      </c>
      <c r="BQ306" s="48" t="str">
        <f t="shared" si="120"/>
        <v/>
      </c>
      <c r="BR306" s="48" t="str">
        <f t="shared" si="121"/>
        <v/>
      </c>
      <c r="BS306" s="48" t="str">
        <f t="shared" si="122"/>
        <v/>
      </c>
      <c r="BT306" s="47" t="str">
        <f t="shared" si="123"/>
        <v/>
      </c>
      <c r="CA306" s="47" t="str">
        <f t="shared" si="124"/>
        <v/>
      </c>
      <c r="CB306" s="47" t="str">
        <f t="shared" si="125"/>
        <v/>
      </c>
      <c r="CC306" s="47" t="str">
        <f t="shared" si="126"/>
        <v/>
      </c>
      <c r="CD306" s="47" t="str">
        <f t="shared" si="127"/>
        <v/>
      </c>
      <c r="CE306" s="47" t="str">
        <f>IF(AH306="","",IF(OR(AI306&lt;&gt;'Seasonal Tercile Tally'!$B$3,AM306&lt;&gt;'Seasonal Tercile Tally'!$B$4),"Other site/ season",IF(DT306=0,"Excluded: duplicate (later row)",IF(N306&lt;&gt;1,"Excluded: not sighted",IF(AC306&lt;&gt;1,"Excluded: not confirmed",IF(AD306&lt;&gt;1,"Excluded: not approved",IF(AP306="Contested","Excluded: contested",IF(OR(U306="",U306=0),"Excluded: no tercile",IF(CB306="","Counted (simple tally only — no weight)","Counted")))))))))</f>
        <v/>
      </c>
      <c r="CF306" s="49" t="str">
        <f>IF(AH306="","",IFERROR(INDEX('Prior Multipliers'!$C$6:$C$70,MATCH(LEFT(AH306,10),'Prior Multipliers'!$A$6:$A$70,0)),IFERROR(INDEX('Prior Multipliers'!$C$6:$C$70,MATCH(LEFT(AH306,6),'Prior Multipliers'!$A$6:$A$70,0)),IFERROR(INDEX('Prior Multipliers'!$C$6:$C$70,MATCH(LEFT(AH306,2),'Prior Multipliers'!$A$6:$A$70,0)),1))))</f>
        <v/>
      </c>
      <c r="CG306" s="49" t="str">
        <f>IF(CB306="","",IF(AND('Seasonal Tercile Tally'!$B$5=1,BT306="Rating-based"),CB306*CF306,CB306))</f>
        <v/>
      </c>
      <c r="CH306" s="47">
        <f t="shared" si="128"/>
        <v>0</v>
      </c>
      <c r="CI306" s="45"/>
      <c r="CJ306" s="42" t="str">
        <f t="shared" si="129"/>
        <v/>
      </c>
      <c r="CM306" s="42" t="str">
        <f t="shared" si="130"/>
        <v/>
      </c>
      <c r="CP306" s="46" t="str">
        <f t="shared" si="131"/>
        <v/>
      </c>
      <c r="CS306" s="46" t="str">
        <f t="shared" si="132"/>
        <v/>
      </c>
      <c r="CT306" s="42" t="str">
        <f t="shared" si="133"/>
        <v/>
      </c>
      <c r="CU306" s="42" t="str">
        <f t="shared" si="134"/>
        <v/>
      </c>
      <c r="CV306" s="42" t="str">
        <f t="shared" si="135"/>
        <v/>
      </c>
      <c r="DB306" s="45"/>
      <c r="DH306" s="42" t="str">
        <f t="shared" si="136"/>
        <v/>
      </c>
      <c r="DI306" s="43" t="str">
        <f t="shared" si="137"/>
        <v/>
      </c>
      <c r="DK306" s="46" t="str">
        <f t="shared" si="138"/>
        <v/>
      </c>
      <c r="DQ306" s="42" t="str">
        <f>IF(AH306="","",IFERROR(ROUND(100*('Weighting Options'!$D$7*IF(ISNUMBER(CA306),CA306/3,0)+'Weighting Options'!$D$8*MIN(N(BL306),3)/3+'Weighting Options'!$D$9*IF(AP306="Community/Plenary-endorsed",1,IF(AP306="FGD-validated only",0.75,IF(AP306="Sub-community-specific",0.5,IF(AP306="Provisional/emerging",0.25,0))))+'Weighting Options'!$D$10*IF(ISNUMBER(K306),K306/3,0)+'Weighting Options'!$D$11*IF(CC306="",0.5,IF(CC306="OK",1,0.25))+'Weighting Options'!$D$12*IF(DK306="",0.5,IF(DK306="Agrees",1,IF(DK306="Opposite",0,0.5)))+'Weighting Options'!$D$13*MIN(N(BG306),3)/3+'Weighting Options'!$D$14*IF(AE306=1,1,0))/SUM('Weighting Options'!$D$7:$D$14),0),""))</f>
        <v/>
      </c>
      <c r="DR306" s="44" t="str">
        <f>IF(AH306="","",IFERROR(INDEX('Weighting Options'!$D$20:$D$27,VALUE(LEFT(TRIM(BU306),1))),1))</f>
        <v/>
      </c>
      <c r="DS306" s="44" t="str">
        <f t="shared" si="139"/>
        <v/>
      </c>
      <c r="DT306" s="42" t="str">
        <f>IF(AH306="","",IF(COUNTIFS($AH$12:AH306,AH306,$AI$12:AI306,AI306,$AM$12:AM306,AM306)=1,1,0))</f>
        <v/>
      </c>
    </row>
    <row r="307" spans="16:124" ht="12.75" customHeight="1" x14ac:dyDescent="0.35">
      <c r="P307" s="41"/>
      <c r="Q307" s="41"/>
      <c r="R307" s="41"/>
      <c r="S307" s="41"/>
      <c r="AH307" s="40"/>
      <c r="AP307" s="40"/>
      <c r="AS307" s="41"/>
      <c r="AT307" s="41"/>
      <c r="AW307" t="str">
        <f t="shared" si="112"/>
        <v/>
      </c>
      <c r="AX307" t="str">
        <f t="shared" si="113"/>
        <v/>
      </c>
      <c r="AY307" t="str">
        <f t="shared" si="114"/>
        <v/>
      </c>
      <c r="AZ307" s="40"/>
      <c r="BL307" s="47" t="str">
        <f t="shared" si="115"/>
        <v/>
      </c>
      <c r="BM307" s="47" t="str">
        <f t="shared" si="116"/>
        <v/>
      </c>
      <c r="BN307" s="47" t="str">
        <f t="shared" si="117"/>
        <v/>
      </c>
      <c r="BO307" s="47" t="str">
        <f t="shared" si="118"/>
        <v/>
      </c>
      <c r="BP307" s="47" t="str">
        <f t="shared" si="119"/>
        <v/>
      </c>
      <c r="BQ307" s="48" t="str">
        <f t="shared" si="120"/>
        <v/>
      </c>
      <c r="BR307" s="48" t="str">
        <f t="shared" si="121"/>
        <v/>
      </c>
      <c r="BS307" s="48" t="str">
        <f t="shared" si="122"/>
        <v/>
      </c>
      <c r="BT307" s="47" t="str">
        <f t="shared" si="123"/>
        <v/>
      </c>
      <c r="CA307" s="47" t="str">
        <f t="shared" si="124"/>
        <v/>
      </c>
      <c r="CB307" s="47" t="str">
        <f t="shared" si="125"/>
        <v/>
      </c>
      <c r="CC307" s="47" t="str">
        <f t="shared" si="126"/>
        <v/>
      </c>
      <c r="CD307" s="47" t="str">
        <f t="shared" si="127"/>
        <v/>
      </c>
      <c r="CE307" s="47" t="str">
        <f>IF(AH307="","",IF(OR(AI307&lt;&gt;'Seasonal Tercile Tally'!$B$3,AM307&lt;&gt;'Seasonal Tercile Tally'!$B$4),"Other site/ season",IF(DT307=0,"Excluded: duplicate (later row)",IF(N307&lt;&gt;1,"Excluded: not sighted",IF(AC307&lt;&gt;1,"Excluded: not confirmed",IF(AD307&lt;&gt;1,"Excluded: not approved",IF(AP307="Contested","Excluded: contested",IF(OR(U307="",U307=0),"Excluded: no tercile",IF(CB307="","Counted (simple tally only — no weight)","Counted")))))))))</f>
        <v/>
      </c>
      <c r="CF307" s="49" t="str">
        <f>IF(AH307="","",IFERROR(INDEX('Prior Multipliers'!$C$6:$C$70,MATCH(LEFT(AH307,10),'Prior Multipliers'!$A$6:$A$70,0)),IFERROR(INDEX('Prior Multipliers'!$C$6:$C$70,MATCH(LEFT(AH307,6),'Prior Multipliers'!$A$6:$A$70,0)),IFERROR(INDEX('Prior Multipliers'!$C$6:$C$70,MATCH(LEFT(AH307,2),'Prior Multipliers'!$A$6:$A$70,0)),1))))</f>
        <v/>
      </c>
      <c r="CG307" s="49" t="str">
        <f>IF(CB307="","",IF(AND('Seasonal Tercile Tally'!$B$5=1,BT307="Rating-based"),CB307*CF307,CB307))</f>
        <v/>
      </c>
      <c r="CH307" s="47">
        <f t="shared" si="128"/>
        <v>0</v>
      </c>
      <c r="CI307" s="45"/>
      <c r="CJ307" s="42" t="str">
        <f t="shared" si="129"/>
        <v/>
      </c>
      <c r="CM307" s="42" t="str">
        <f t="shared" si="130"/>
        <v/>
      </c>
      <c r="CP307" s="46" t="str">
        <f t="shared" si="131"/>
        <v/>
      </c>
      <c r="CS307" s="46" t="str">
        <f t="shared" si="132"/>
        <v/>
      </c>
      <c r="CT307" s="42" t="str">
        <f t="shared" si="133"/>
        <v/>
      </c>
      <c r="CU307" s="42" t="str">
        <f t="shared" si="134"/>
        <v/>
      </c>
      <c r="CV307" s="42" t="str">
        <f t="shared" si="135"/>
        <v/>
      </c>
      <c r="DB307" s="45"/>
      <c r="DH307" s="42" t="str">
        <f t="shared" si="136"/>
        <v/>
      </c>
      <c r="DI307" s="43" t="str">
        <f t="shared" si="137"/>
        <v/>
      </c>
      <c r="DK307" s="46" t="str">
        <f t="shared" si="138"/>
        <v/>
      </c>
      <c r="DQ307" s="42" t="str">
        <f>IF(AH307="","",IFERROR(ROUND(100*('Weighting Options'!$D$7*IF(ISNUMBER(CA307),CA307/3,0)+'Weighting Options'!$D$8*MIN(N(BL307),3)/3+'Weighting Options'!$D$9*IF(AP307="Community/Plenary-endorsed",1,IF(AP307="FGD-validated only",0.75,IF(AP307="Sub-community-specific",0.5,IF(AP307="Provisional/emerging",0.25,0))))+'Weighting Options'!$D$10*IF(ISNUMBER(K307),K307/3,0)+'Weighting Options'!$D$11*IF(CC307="",0.5,IF(CC307="OK",1,0.25))+'Weighting Options'!$D$12*IF(DK307="",0.5,IF(DK307="Agrees",1,IF(DK307="Opposite",0,0.5)))+'Weighting Options'!$D$13*MIN(N(BG307),3)/3+'Weighting Options'!$D$14*IF(AE307=1,1,0))/SUM('Weighting Options'!$D$7:$D$14),0),""))</f>
        <v/>
      </c>
      <c r="DR307" s="44" t="str">
        <f>IF(AH307="","",IFERROR(INDEX('Weighting Options'!$D$20:$D$27,VALUE(LEFT(TRIM(BU307),1))),1))</f>
        <v/>
      </c>
      <c r="DS307" s="44" t="str">
        <f t="shared" si="139"/>
        <v/>
      </c>
      <c r="DT307" s="42" t="str">
        <f>IF(AH307="","",IF(COUNTIFS($AH$12:AH307,AH307,$AI$12:AI307,AI307,$AM$12:AM307,AM307)=1,1,0))</f>
        <v/>
      </c>
    </row>
    <row r="308" spans="16:124" ht="12.75" customHeight="1" x14ac:dyDescent="0.35">
      <c r="P308" s="41"/>
      <c r="Q308" s="41"/>
      <c r="R308" s="41"/>
      <c r="S308" s="41"/>
      <c r="AH308" s="40"/>
      <c r="AP308" s="40"/>
      <c r="AS308" s="41"/>
      <c r="AT308" s="41"/>
      <c r="AW308" t="str">
        <f t="shared" si="112"/>
        <v/>
      </c>
      <c r="AX308" t="str">
        <f t="shared" si="113"/>
        <v/>
      </c>
      <c r="AY308" t="str">
        <f t="shared" si="114"/>
        <v/>
      </c>
      <c r="AZ308" s="40"/>
      <c r="BL308" s="47" t="str">
        <f t="shared" si="115"/>
        <v/>
      </c>
      <c r="BM308" s="47" t="str">
        <f t="shared" si="116"/>
        <v/>
      </c>
      <c r="BN308" s="47" t="str">
        <f t="shared" si="117"/>
        <v/>
      </c>
      <c r="BO308" s="47" t="str">
        <f t="shared" si="118"/>
        <v/>
      </c>
      <c r="BP308" s="47" t="str">
        <f t="shared" si="119"/>
        <v/>
      </c>
      <c r="BQ308" s="48" t="str">
        <f t="shared" si="120"/>
        <v/>
      </c>
      <c r="BR308" s="48" t="str">
        <f t="shared" si="121"/>
        <v/>
      </c>
      <c r="BS308" s="48" t="str">
        <f t="shared" si="122"/>
        <v/>
      </c>
      <c r="BT308" s="47" t="str">
        <f t="shared" si="123"/>
        <v/>
      </c>
      <c r="CA308" s="47" t="str">
        <f t="shared" si="124"/>
        <v/>
      </c>
      <c r="CB308" s="47" t="str">
        <f t="shared" si="125"/>
        <v/>
      </c>
      <c r="CC308" s="47" t="str">
        <f t="shared" si="126"/>
        <v/>
      </c>
      <c r="CD308" s="47" t="str">
        <f t="shared" si="127"/>
        <v/>
      </c>
      <c r="CE308" s="47" t="str">
        <f>IF(AH308="","",IF(OR(AI308&lt;&gt;'Seasonal Tercile Tally'!$B$3,AM308&lt;&gt;'Seasonal Tercile Tally'!$B$4),"Other site/ season",IF(DT308=0,"Excluded: duplicate (later row)",IF(N308&lt;&gt;1,"Excluded: not sighted",IF(AC308&lt;&gt;1,"Excluded: not confirmed",IF(AD308&lt;&gt;1,"Excluded: not approved",IF(AP308="Contested","Excluded: contested",IF(OR(U308="",U308=0),"Excluded: no tercile",IF(CB308="","Counted (simple tally only — no weight)","Counted")))))))))</f>
        <v/>
      </c>
      <c r="CF308" s="49" t="str">
        <f>IF(AH308="","",IFERROR(INDEX('Prior Multipliers'!$C$6:$C$70,MATCH(LEFT(AH308,10),'Prior Multipliers'!$A$6:$A$70,0)),IFERROR(INDEX('Prior Multipliers'!$C$6:$C$70,MATCH(LEFT(AH308,6),'Prior Multipliers'!$A$6:$A$70,0)),IFERROR(INDEX('Prior Multipliers'!$C$6:$C$70,MATCH(LEFT(AH308,2),'Prior Multipliers'!$A$6:$A$70,0)),1))))</f>
        <v/>
      </c>
      <c r="CG308" s="49" t="str">
        <f>IF(CB308="","",IF(AND('Seasonal Tercile Tally'!$B$5=1,BT308="Rating-based"),CB308*CF308,CB308))</f>
        <v/>
      </c>
      <c r="CH308" s="47">
        <f t="shared" si="128"/>
        <v>0</v>
      </c>
      <c r="CI308" s="45"/>
      <c r="CJ308" s="42" t="str">
        <f t="shared" si="129"/>
        <v/>
      </c>
      <c r="CM308" s="42" t="str">
        <f t="shared" si="130"/>
        <v/>
      </c>
      <c r="CP308" s="46" t="str">
        <f t="shared" si="131"/>
        <v/>
      </c>
      <c r="CS308" s="46" t="str">
        <f t="shared" si="132"/>
        <v/>
      </c>
      <c r="CT308" s="42" t="str">
        <f t="shared" si="133"/>
        <v/>
      </c>
      <c r="CU308" s="42" t="str">
        <f t="shared" si="134"/>
        <v/>
      </c>
      <c r="CV308" s="42" t="str">
        <f t="shared" si="135"/>
        <v/>
      </c>
      <c r="DB308" s="45"/>
      <c r="DH308" s="42" t="str">
        <f t="shared" si="136"/>
        <v/>
      </c>
      <c r="DI308" s="43" t="str">
        <f t="shared" si="137"/>
        <v/>
      </c>
      <c r="DK308" s="46" t="str">
        <f t="shared" si="138"/>
        <v/>
      </c>
      <c r="DQ308" s="42" t="str">
        <f>IF(AH308="","",IFERROR(ROUND(100*('Weighting Options'!$D$7*IF(ISNUMBER(CA308),CA308/3,0)+'Weighting Options'!$D$8*MIN(N(BL308),3)/3+'Weighting Options'!$D$9*IF(AP308="Community/Plenary-endorsed",1,IF(AP308="FGD-validated only",0.75,IF(AP308="Sub-community-specific",0.5,IF(AP308="Provisional/emerging",0.25,0))))+'Weighting Options'!$D$10*IF(ISNUMBER(K308),K308/3,0)+'Weighting Options'!$D$11*IF(CC308="",0.5,IF(CC308="OK",1,0.25))+'Weighting Options'!$D$12*IF(DK308="",0.5,IF(DK308="Agrees",1,IF(DK308="Opposite",0,0.5)))+'Weighting Options'!$D$13*MIN(N(BG308),3)/3+'Weighting Options'!$D$14*IF(AE308=1,1,0))/SUM('Weighting Options'!$D$7:$D$14),0),""))</f>
        <v/>
      </c>
      <c r="DR308" s="44" t="str">
        <f>IF(AH308="","",IFERROR(INDEX('Weighting Options'!$D$20:$D$27,VALUE(LEFT(TRIM(BU308),1))),1))</f>
        <v/>
      </c>
      <c r="DS308" s="44" t="str">
        <f t="shared" si="139"/>
        <v/>
      </c>
      <c r="DT308" s="42" t="str">
        <f>IF(AH308="","",IF(COUNTIFS($AH$12:AH308,AH308,$AI$12:AI308,AI308,$AM$12:AM308,AM308)=1,1,0))</f>
        <v/>
      </c>
    </row>
    <row r="309" spans="16:124" ht="12.75" customHeight="1" x14ac:dyDescent="0.35">
      <c r="P309" s="41"/>
      <c r="Q309" s="41"/>
      <c r="R309" s="41"/>
      <c r="S309" s="41"/>
      <c r="AH309" s="40"/>
      <c r="AP309" s="40"/>
      <c r="AS309" s="41"/>
      <c r="AT309" s="41"/>
      <c r="AW309" t="str">
        <f t="shared" si="112"/>
        <v/>
      </c>
      <c r="AX309" t="str">
        <f t="shared" si="113"/>
        <v/>
      </c>
      <c r="AY309" t="str">
        <f t="shared" si="114"/>
        <v/>
      </c>
      <c r="AZ309" s="40"/>
      <c r="BL309" s="47" t="str">
        <f t="shared" si="115"/>
        <v/>
      </c>
      <c r="BM309" s="47" t="str">
        <f t="shared" si="116"/>
        <v/>
      </c>
      <c r="BN309" s="47" t="str">
        <f t="shared" si="117"/>
        <v/>
      </c>
      <c r="BO309" s="47" t="str">
        <f t="shared" si="118"/>
        <v/>
      </c>
      <c r="BP309" s="47" t="str">
        <f t="shared" si="119"/>
        <v/>
      </c>
      <c r="BQ309" s="48" t="str">
        <f t="shared" si="120"/>
        <v/>
      </c>
      <c r="BR309" s="48" t="str">
        <f t="shared" si="121"/>
        <v/>
      </c>
      <c r="BS309" s="48" t="str">
        <f t="shared" si="122"/>
        <v/>
      </c>
      <c r="BT309" s="47" t="str">
        <f t="shared" si="123"/>
        <v/>
      </c>
      <c r="CA309" s="47" t="str">
        <f t="shared" si="124"/>
        <v/>
      </c>
      <c r="CB309" s="47" t="str">
        <f t="shared" si="125"/>
        <v/>
      </c>
      <c r="CC309" s="47" t="str">
        <f t="shared" si="126"/>
        <v/>
      </c>
      <c r="CD309" s="47" t="str">
        <f t="shared" si="127"/>
        <v/>
      </c>
      <c r="CE309" s="47" t="str">
        <f>IF(AH309="","",IF(OR(AI309&lt;&gt;'Seasonal Tercile Tally'!$B$3,AM309&lt;&gt;'Seasonal Tercile Tally'!$B$4),"Other site/ season",IF(DT309=0,"Excluded: duplicate (later row)",IF(N309&lt;&gt;1,"Excluded: not sighted",IF(AC309&lt;&gt;1,"Excluded: not confirmed",IF(AD309&lt;&gt;1,"Excluded: not approved",IF(AP309="Contested","Excluded: contested",IF(OR(U309="",U309=0),"Excluded: no tercile",IF(CB309="","Counted (simple tally only — no weight)","Counted")))))))))</f>
        <v/>
      </c>
      <c r="CF309" s="49" t="str">
        <f>IF(AH309="","",IFERROR(INDEX('Prior Multipliers'!$C$6:$C$70,MATCH(LEFT(AH309,10),'Prior Multipliers'!$A$6:$A$70,0)),IFERROR(INDEX('Prior Multipliers'!$C$6:$C$70,MATCH(LEFT(AH309,6),'Prior Multipliers'!$A$6:$A$70,0)),IFERROR(INDEX('Prior Multipliers'!$C$6:$C$70,MATCH(LEFT(AH309,2),'Prior Multipliers'!$A$6:$A$70,0)),1))))</f>
        <v/>
      </c>
      <c r="CG309" s="49" t="str">
        <f>IF(CB309="","",IF(AND('Seasonal Tercile Tally'!$B$5=1,BT309="Rating-based"),CB309*CF309,CB309))</f>
        <v/>
      </c>
      <c r="CH309" s="47">
        <f t="shared" si="128"/>
        <v>0</v>
      </c>
      <c r="CI309" s="45"/>
      <c r="CJ309" s="42" t="str">
        <f t="shared" si="129"/>
        <v/>
      </c>
      <c r="CM309" s="42" t="str">
        <f t="shared" si="130"/>
        <v/>
      </c>
      <c r="CP309" s="46" t="str">
        <f t="shared" si="131"/>
        <v/>
      </c>
      <c r="CS309" s="46" t="str">
        <f t="shared" si="132"/>
        <v/>
      </c>
      <c r="CT309" s="42" t="str">
        <f t="shared" si="133"/>
        <v/>
      </c>
      <c r="CU309" s="42" t="str">
        <f t="shared" si="134"/>
        <v/>
      </c>
      <c r="CV309" s="42" t="str">
        <f t="shared" si="135"/>
        <v/>
      </c>
      <c r="DB309" s="45"/>
      <c r="DH309" s="42" t="str">
        <f t="shared" si="136"/>
        <v/>
      </c>
      <c r="DI309" s="43" t="str">
        <f t="shared" si="137"/>
        <v/>
      </c>
      <c r="DK309" s="46" t="str">
        <f t="shared" si="138"/>
        <v/>
      </c>
      <c r="DQ309" s="42" t="str">
        <f>IF(AH309="","",IFERROR(ROUND(100*('Weighting Options'!$D$7*IF(ISNUMBER(CA309),CA309/3,0)+'Weighting Options'!$D$8*MIN(N(BL309),3)/3+'Weighting Options'!$D$9*IF(AP309="Community/Plenary-endorsed",1,IF(AP309="FGD-validated only",0.75,IF(AP309="Sub-community-specific",0.5,IF(AP309="Provisional/emerging",0.25,0))))+'Weighting Options'!$D$10*IF(ISNUMBER(K309),K309/3,0)+'Weighting Options'!$D$11*IF(CC309="",0.5,IF(CC309="OK",1,0.25))+'Weighting Options'!$D$12*IF(DK309="",0.5,IF(DK309="Agrees",1,IF(DK309="Opposite",0,0.5)))+'Weighting Options'!$D$13*MIN(N(BG309),3)/3+'Weighting Options'!$D$14*IF(AE309=1,1,0))/SUM('Weighting Options'!$D$7:$D$14),0),""))</f>
        <v/>
      </c>
      <c r="DR309" s="44" t="str">
        <f>IF(AH309="","",IFERROR(INDEX('Weighting Options'!$D$20:$D$27,VALUE(LEFT(TRIM(BU309),1))),1))</f>
        <v/>
      </c>
      <c r="DS309" s="44" t="str">
        <f t="shared" si="139"/>
        <v/>
      </c>
      <c r="DT309" s="42" t="str">
        <f>IF(AH309="","",IF(COUNTIFS($AH$12:AH309,AH309,$AI$12:AI309,AI309,$AM$12:AM309,AM309)=1,1,0))</f>
        <v/>
      </c>
    </row>
    <row r="310" spans="16:124" ht="12.75" customHeight="1" x14ac:dyDescent="0.35">
      <c r="P310" s="41"/>
      <c r="Q310" s="41"/>
      <c r="R310" s="41"/>
      <c r="S310" s="41"/>
      <c r="AH310" s="40"/>
      <c r="AP310" s="40"/>
      <c r="AS310" s="41"/>
      <c r="AT310" s="41"/>
      <c r="AW310" t="str">
        <f t="shared" si="112"/>
        <v/>
      </c>
      <c r="AX310" t="str">
        <f t="shared" si="113"/>
        <v/>
      </c>
      <c r="AY310" t="str">
        <f t="shared" si="114"/>
        <v/>
      </c>
      <c r="AZ310" s="40"/>
      <c r="BL310" s="47" t="str">
        <f t="shared" si="115"/>
        <v/>
      </c>
      <c r="BM310" s="47" t="str">
        <f t="shared" si="116"/>
        <v/>
      </c>
      <c r="BN310" s="47" t="str">
        <f t="shared" si="117"/>
        <v/>
      </c>
      <c r="BO310" s="47" t="str">
        <f t="shared" si="118"/>
        <v/>
      </c>
      <c r="BP310" s="47" t="str">
        <f t="shared" si="119"/>
        <v/>
      </c>
      <c r="BQ310" s="48" t="str">
        <f t="shared" si="120"/>
        <v/>
      </c>
      <c r="BR310" s="48" t="str">
        <f t="shared" si="121"/>
        <v/>
      </c>
      <c r="BS310" s="48" t="str">
        <f t="shared" si="122"/>
        <v/>
      </c>
      <c r="BT310" s="47" t="str">
        <f t="shared" si="123"/>
        <v/>
      </c>
      <c r="CA310" s="47" t="str">
        <f t="shared" si="124"/>
        <v/>
      </c>
      <c r="CB310" s="47" t="str">
        <f t="shared" si="125"/>
        <v/>
      </c>
      <c r="CC310" s="47" t="str">
        <f t="shared" si="126"/>
        <v/>
      </c>
      <c r="CD310" s="47" t="str">
        <f t="shared" si="127"/>
        <v/>
      </c>
      <c r="CE310" s="47" t="str">
        <f>IF(AH310="","",IF(OR(AI310&lt;&gt;'Seasonal Tercile Tally'!$B$3,AM310&lt;&gt;'Seasonal Tercile Tally'!$B$4),"Other site/ season",IF(DT310=0,"Excluded: duplicate (later row)",IF(N310&lt;&gt;1,"Excluded: not sighted",IF(AC310&lt;&gt;1,"Excluded: not confirmed",IF(AD310&lt;&gt;1,"Excluded: not approved",IF(AP310="Contested","Excluded: contested",IF(OR(U310="",U310=0),"Excluded: no tercile",IF(CB310="","Counted (simple tally only — no weight)","Counted")))))))))</f>
        <v/>
      </c>
      <c r="CF310" s="49" t="str">
        <f>IF(AH310="","",IFERROR(INDEX('Prior Multipliers'!$C$6:$C$70,MATCH(LEFT(AH310,10),'Prior Multipliers'!$A$6:$A$70,0)),IFERROR(INDEX('Prior Multipliers'!$C$6:$C$70,MATCH(LEFT(AH310,6),'Prior Multipliers'!$A$6:$A$70,0)),IFERROR(INDEX('Prior Multipliers'!$C$6:$C$70,MATCH(LEFT(AH310,2),'Prior Multipliers'!$A$6:$A$70,0)),1))))</f>
        <v/>
      </c>
      <c r="CG310" s="49" t="str">
        <f>IF(CB310="","",IF(AND('Seasonal Tercile Tally'!$B$5=1,BT310="Rating-based"),CB310*CF310,CB310))</f>
        <v/>
      </c>
      <c r="CH310" s="47">
        <f t="shared" si="128"/>
        <v>0</v>
      </c>
      <c r="CI310" s="45"/>
      <c r="CJ310" s="42" t="str">
        <f t="shared" si="129"/>
        <v/>
      </c>
      <c r="CM310" s="42" t="str">
        <f t="shared" si="130"/>
        <v/>
      </c>
      <c r="CP310" s="46" t="str">
        <f t="shared" si="131"/>
        <v/>
      </c>
      <c r="CS310" s="46" t="str">
        <f t="shared" si="132"/>
        <v/>
      </c>
      <c r="CT310" s="42" t="str">
        <f t="shared" si="133"/>
        <v/>
      </c>
      <c r="CU310" s="42" t="str">
        <f t="shared" si="134"/>
        <v/>
      </c>
      <c r="CV310" s="42" t="str">
        <f t="shared" si="135"/>
        <v/>
      </c>
      <c r="DB310" s="45"/>
      <c r="DH310" s="42" t="str">
        <f t="shared" si="136"/>
        <v/>
      </c>
      <c r="DI310" s="43" t="str">
        <f t="shared" si="137"/>
        <v/>
      </c>
      <c r="DK310" s="46" t="str">
        <f t="shared" si="138"/>
        <v/>
      </c>
      <c r="DQ310" s="42" t="str">
        <f>IF(AH310="","",IFERROR(ROUND(100*('Weighting Options'!$D$7*IF(ISNUMBER(CA310),CA310/3,0)+'Weighting Options'!$D$8*MIN(N(BL310),3)/3+'Weighting Options'!$D$9*IF(AP310="Community/Plenary-endorsed",1,IF(AP310="FGD-validated only",0.75,IF(AP310="Sub-community-specific",0.5,IF(AP310="Provisional/emerging",0.25,0))))+'Weighting Options'!$D$10*IF(ISNUMBER(K310),K310/3,0)+'Weighting Options'!$D$11*IF(CC310="",0.5,IF(CC310="OK",1,0.25))+'Weighting Options'!$D$12*IF(DK310="",0.5,IF(DK310="Agrees",1,IF(DK310="Opposite",0,0.5)))+'Weighting Options'!$D$13*MIN(N(BG310),3)/3+'Weighting Options'!$D$14*IF(AE310=1,1,0))/SUM('Weighting Options'!$D$7:$D$14),0),""))</f>
        <v/>
      </c>
      <c r="DR310" s="44" t="str">
        <f>IF(AH310="","",IFERROR(INDEX('Weighting Options'!$D$20:$D$27,VALUE(LEFT(TRIM(BU310),1))),1))</f>
        <v/>
      </c>
      <c r="DS310" s="44" t="str">
        <f t="shared" si="139"/>
        <v/>
      </c>
      <c r="DT310" s="42" t="str">
        <f>IF(AH310="","",IF(COUNTIFS($AH$12:AH310,AH310,$AI$12:AI310,AI310,$AM$12:AM310,AM310)=1,1,0))</f>
        <v/>
      </c>
    </row>
    <row r="311" spans="16:124" ht="12.75" customHeight="1" x14ac:dyDescent="0.35">
      <c r="P311" s="41"/>
      <c r="Q311" s="41"/>
      <c r="R311" s="41"/>
      <c r="S311" s="41"/>
      <c r="AH311" s="40"/>
      <c r="AP311" s="40"/>
      <c r="AS311" s="41"/>
      <c r="AT311" s="41"/>
      <c r="AW311" t="str">
        <f t="shared" si="112"/>
        <v/>
      </c>
      <c r="AX311" t="str">
        <f t="shared" si="113"/>
        <v/>
      </c>
      <c r="AY311" t="str">
        <f t="shared" si="114"/>
        <v/>
      </c>
      <c r="AZ311" s="40"/>
      <c r="BL311" s="47" t="str">
        <f t="shared" si="115"/>
        <v/>
      </c>
      <c r="BM311" s="47" t="str">
        <f t="shared" si="116"/>
        <v/>
      </c>
      <c r="BN311" s="47" t="str">
        <f t="shared" si="117"/>
        <v/>
      </c>
      <c r="BO311" s="47" t="str">
        <f t="shared" si="118"/>
        <v/>
      </c>
      <c r="BP311" s="47" t="str">
        <f t="shared" si="119"/>
        <v/>
      </c>
      <c r="BQ311" s="48" t="str">
        <f t="shared" si="120"/>
        <v/>
      </c>
      <c r="BR311" s="48" t="str">
        <f t="shared" si="121"/>
        <v/>
      </c>
      <c r="BS311" s="48" t="str">
        <f t="shared" si="122"/>
        <v/>
      </c>
      <c r="BT311" s="47" t="str">
        <f t="shared" si="123"/>
        <v/>
      </c>
      <c r="CA311" s="47" t="str">
        <f t="shared" si="124"/>
        <v/>
      </c>
      <c r="CB311" s="47" t="str">
        <f t="shared" si="125"/>
        <v/>
      </c>
      <c r="CC311" s="47" t="str">
        <f t="shared" si="126"/>
        <v/>
      </c>
      <c r="CD311" s="47" t="str">
        <f t="shared" si="127"/>
        <v/>
      </c>
      <c r="CE311" s="47" t="str">
        <f>IF(AH311="","",IF(OR(AI311&lt;&gt;'Seasonal Tercile Tally'!$B$3,AM311&lt;&gt;'Seasonal Tercile Tally'!$B$4),"Other site/ season",IF(DT311=0,"Excluded: duplicate (later row)",IF(N311&lt;&gt;1,"Excluded: not sighted",IF(AC311&lt;&gt;1,"Excluded: not confirmed",IF(AD311&lt;&gt;1,"Excluded: not approved",IF(AP311="Contested","Excluded: contested",IF(OR(U311="",U311=0),"Excluded: no tercile",IF(CB311="","Counted (simple tally only — no weight)","Counted")))))))))</f>
        <v/>
      </c>
      <c r="CF311" s="49" t="str">
        <f>IF(AH311="","",IFERROR(INDEX('Prior Multipliers'!$C$6:$C$70,MATCH(LEFT(AH311,10),'Prior Multipliers'!$A$6:$A$70,0)),IFERROR(INDEX('Prior Multipliers'!$C$6:$C$70,MATCH(LEFT(AH311,6),'Prior Multipliers'!$A$6:$A$70,0)),IFERROR(INDEX('Prior Multipliers'!$C$6:$C$70,MATCH(LEFT(AH311,2),'Prior Multipliers'!$A$6:$A$70,0)),1))))</f>
        <v/>
      </c>
      <c r="CG311" s="49" t="str">
        <f>IF(CB311="","",IF(AND('Seasonal Tercile Tally'!$B$5=1,BT311="Rating-based"),CB311*CF311,CB311))</f>
        <v/>
      </c>
      <c r="CH311" s="47">
        <f t="shared" si="128"/>
        <v>0</v>
      </c>
      <c r="CI311" s="45"/>
      <c r="CJ311" s="42" t="str">
        <f t="shared" si="129"/>
        <v/>
      </c>
      <c r="CM311" s="42" t="str">
        <f t="shared" si="130"/>
        <v/>
      </c>
      <c r="CP311" s="46" t="str">
        <f t="shared" si="131"/>
        <v/>
      </c>
      <c r="CS311" s="46" t="str">
        <f t="shared" si="132"/>
        <v/>
      </c>
      <c r="CT311" s="42" t="str">
        <f t="shared" si="133"/>
        <v/>
      </c>
      <c r="CU311" s="42" t="str">
        <f t="shared" si="134"/>
        <v/>
      </c>
      <c r="CV311" s="42" t="str">
        <f t="shared" si="135"/>
        <v/>
      </c>
      <c r="DB311" s="45"/>
      <c r="DH311" s="42" t="str">
        <f t="shared" si="136"/>
        <v/>
      </c>
      <c r="DI311" s="43" t="str">
        <f t="shared" si="137"/>
        <v/>
      </c>
      <c r="DK311" s="46" t="str">
        <f t="shared" si="138"/>
        <v/>
      </c>
      <c r="DQ311" s="42" t="str">
        <f>IF(AH311="","",IFERROR(ROUND(100*('Weighting Options'!$D$7*IF(ISNUMBER(CA311),CA311/3,0)+'Weighting Options'!$D$8*MIN(N(BL311),3)/3+'Weighting Options'!$D$9*IF(AP311="Community/Plenary-endorsed",1,IF(AP311="FGD-validated only",0.75,IF(AP311="Sub-community-specific",0.5,IF(AP311="Provisional/emerging",0.25,0))))+'Weighting Options'!$D$10*IF(ISNUMBER(K311),K311/3,0)+'Weighting Options'!$D$11*IF(CC311="",0.5,IF(CC311="OK",1,0.25))+'Weighting Options'!$D$12*IF(DK311="",0.5,IF(DK311="Agrees",1,IF(DK311="Opposite",0,0.5)))+'Weighting Options'!$D$13*MIN(N(BG311),3)/3+'Weighting Options'!$D$14*IF(AE311=1,1,0))/SUM('Weighting Options'!$D$7:$D$14),0),""))</f>
        <v/>
      </c>
      <c r="DR311" s="44" t="str">
        <f>IF(AH311="","",IFERROR(INDEX('Weighting Options'!$D$20:$D$27,VALUE(LEFT(TRIM(BU311),1))),1))</f>
        <v/>
      </c>
      <c r="DS311" s="44" t="str">
        <f t="shared" si="139"/>
        <v/>
      </c>
      <c r="DT311" s="42" t="str">
        <f>IF(AH311="","",IF(COUNTIFS($AH$12:AH311,AH311,$AI$12:AI311,AI311,$AM$12:AM311,AM311)=1,1,0))</f>
        <v/>
      </c>
    </row>
    <row r="312" spans="16:124" ht="12.75" customHeight="1" x14ac:dyDescent="0.35">
      <c r="P312" s="41"/>
      <c r="Q312" s="41"/>
      <c r="R312" s="41"/>
      <c r="S312" s="41"/>
      <c r="AH312" s="40"/>
      <c r="AP312" s="40"/>
      <c r="AS312" s="41"/>
      <c r="AT312" s="41"/>
      <c r="AW312" t="str">
        <f t="shared" si="112"/>
        <v/>
      </c>
      <c r="AX312" t="str">
        <f t="shared" si="113"/>
        <v/>
      </c>
      <c r="AY312" t="str">
        <f t="shared" si="114"/>
        <v/>
      </c>
      <c r="AZ312" s="40"/>
      <c r="BL312" s="47" t="str">
        <f t="shared" si="115"/>
        <v/>
      </c>
      <c r="BM312" s="47" t="str">
        <f t="shared" si="116"/>
        <v/>
      </c>
      <c r="BN312" s="47" t="str">
        <f t="shared" si="117"/>
        <v/>
      </c>
      <c r="BO312" s="47" t="str">
        <f t="shared" si="118"/>
        <v/>
      </c>
      <c r="BP312" s="47" t="str">
        <f t="shared" si="119"/>
        <v/>
      </c>
      <c r="BQ312" s="48" t="str">
        <f t="shared" si="120"/>
        <v/>
      </c>
      <c r="BR312" s="48" t="str">
        <f t="shared" si="121"/>
        <v/>
      </c>
      <c r="BS312" s="48" t="str">
        <f t="shared" si="122"/>
        <v/>
      </c>
      <c r="BT312" s="47" t="str">
        <f t="shared" si="123"/>
        <v/>
      </c>
      <c r="CA312" s="47" t="str">
        <f t="shared" si="124"/>
        <v/>
      </c>
      <c r="CB312" s="47" t="str">
        <f t="shared" si="125"/>
        <v/>
      </c>
      <c r="CC312" s="47" t="str">
        <f t="shared" si="126"/>
        <v/>
      </c>
      <c r="CD312" s="47" t="str">
        <f t="shared" si="127"/>
        <v/>
      </c>
      <c r="CE312" s="47" t="str">
        <f>IF(AH312="","",IF(OR(AI312&lt;&gt;'Seasonal Tercile Tally'!$B$3,AM312&lt;&gt;'Seasonal Tercile Tally'!$B$4),"Other site/ season",IF(DT312=0,"Excluded: duplicate (later row)",IF(N312&lt;&gt;1,"Excluded: not sighted",IF(AC312&lt;&gt;1,"Excluded: not confirmed",IF(AD312&lt;&gt;1,"Excluded: not approved",IF(AP312="Contested","Excluded: contested",IF(OR(U312="",U312=0),"Excluded: no tercile",IF(CB312="","Counted (simple tally only — no weight)","Counted")))))))))</f>
        <v/>
      </c>
      <c r="CF312" s="49" t="str">
        <f>IF(AH312="","",IFERROR(INDEX('Prior Multipliers'!$C$6:$C$70,MATCH(LEFT(AH312,10),'Prior Multipliers'!$A$6:$A$70,0)),IFERROR(INDEX('Prior Multipliers'!$C$6:$C$70,MATCH(LEFT(AH312,6),'Prior Multipliers'!$A$6:$A$70,0)),IFERROR(INDEX('Prior Multipliers'!$C$6:$C$70,MATCH(LEFT(AH312,2),'Prior Multipliers'!$A$6:$A$70,0)),1))))</f>
        <v/>
      </c>
      <c r="CG312" s="49" t="str">
        <f>IF(CB312="","",IF(AND('Seasonal Tercile Tally'!$B$5=1,BT312="Rating-based"),CB312*CF312,CB312))</f>
        <v/>
      </c>
      <c r="CH312" s="47">
        <f t="shared" si="128"/>
        <v>0</v>
      </c>
      <c r="CI312" s="45"/>
      <c r="CJ312" s="42" t="str">
        <f t="shared" si="129"/>
        <v/>
      </c>
      <c r="CM312" s="42" t="str">
        <f t="shared" si="130"/>
        <v/>
      </c>
      <c r="CP312" s="46" t="str">
        <f t="shared" si="131"/>
        <v/>
      </c>
      <c r="CS312" s="46" t="str">
        <f t="shared" si="132"/>
        <v/>
      </c>
      <c r="CT312" s="42" t="str">
        <f t="shared" si="133"/>
        <v/>
      </c>
      <c r="CU312" s="42" t="str">
        <f t="shared" si="134"/>
        <v/>
      </c>
      <c r="CV312" s="42" t="str">
        <f t="shared" si="135"/>
        <v/>
      </c>
      <c r="DB312" s="45"/>
      <c r="DH312" s="42" t="str">
        <f t="shared" si="136"/>
        <v/>
      </c>
      <c r="DI312" s="43" t="str">
        <f t="shared" si="137"/>
        <v/>
      </c>
      <c r="DK312" s="46" t="str">
        <f t="shared" si="138"/>
        <v/>
      </c>
      <c r="DQ312" s="42" t="str">
        <f>IF(AH312="","",IFERROR(ROUND(100*('Weighting Options'!$D$7*IF(ISNUMBER(CA312),CA312/3,0)+'Weighting Options'!$D$8*MIN(N(BL312),3)/3+'Weighting Options'!$D$9*IF(AP312="Community/Plenary-endorsed",1,IF(AP312="FGD-validated only",0.75,IF(AP312="Sub-community-specific",0.5,IF(AP312="Provisional/emerging",0.25,0))))+'Weighting Options'!$D$10*IF(ISNUMBER(K312),K312/3,0)+'Weighting Options'!$D$11*IF(CC312="",0.5,IF(CC312="OK",1,0.25))+'Weighting Options'!$D$12*IF(DK312="",0.5,IF(DK312="Agrees",1,IF(DK312="Opposite",0,0.5)))+'Weighting Options'!$D$13*MIN(N(BG312),3)/3+'Weighting Options'!$D$14*IF(AE312=1,1,0))/SUM('Weighting Options'!$D$7:$D$14),0),""))</f>
        <v/>
      </c>
      <c r="DR312" s="44" t="str">
        <f>IF(AH312="","",IFERROR(INDEX('Weighting Options'!$D$20:$D$27,VALUE(LEFT(TRIM(BU312),1))),1))</f>
        <v/>
      </c>
      <c r="DS312" s="44" t="str">
        <f t="shared" si="139"/>
        <v/>
      </c>
      <c r="DT312" s="42" t="str">
        <f>IF(AH312="","",IF(COUNTIFS($AH$12:AH312,AH312,$AI$12:AI312,AI312,$AM$12:AM312,AM312)=1,1,0))</f>
        <v/>
      </c>
    </row>
    <row r="313" spans="16:124" ht="12.75" customHeight="1" x14ac:dyDescent="0.35">
      <c r="P313" s="41"/>
      <c r="Q313" s="41"/>
      <c r="R313" s="41"/>
      <c r="S313" s="41"/>
      <c r="AH313" s="40"/>
      <c r="AP313" s="40"/>
      <c r="AS313" s="41"/>
      <c r="AT313" s="41"/>
      <c r="AW313" t="str">
        <f t="shared" si="112"/>
        <v/>
      </c>
      <c r="AX313" t="str">
        <f t="shared" si="113"/>
        <v/>
      </c>
      <c r="AY313" t="str">
        <f t="shared" si="114"/>
        <v/>
      </c>
      <c r="AZ313" s="40"/>
      <c r="BL313" s="47" t="str">
        <f t="shared" si="115"/>
        <v/>
      </c>
      <c r="BM313" s="47" t="str">
        <f t="shared" si="116"/>
        <v/>
      </c>
      <c r="BN313" s="47" t="str">
        <f t="shared" si="117"/>
        <v/>
      </c>
      <c r="BO313" s="47" t="str">
        <f t="shared" si="118"/>
        <v/>
      </c>
      <c r="BP313" s="47" t="str">
        <f t="shared" si="119"/>
        <v/>
      </c>
      <c r="BQ313" s="48" t="str">
        <f t="shared" si="120"/>
        <v/>
      </c>
      <c r="BR313" s="48" t="str">
        <f t="shared" si="121"/>
        <v/>
      </c>
      <c r="BS313" s="48" t="str">
        <f t="shared" si="122"/>
        <v/>
      </c>
      <c r="BT313" s="47" t="str">
        <f t="shared" si="123"/>
        <v/>
      </c>
      <c r="CA313" s="47" t="str">
        <f t="shared" si="124"/>
        <v/>
      </c>
      <c r="CB313" s="47" t="str">
        <f t="shared" si="125"/>
        <v/>
      </c>
      <c r="CC313" s="47" t="str">
        <f t="shared" si="126"/>
        <v/>
      </c>
      <c r="CD313" s="47" t="str">
        <f t="shared" si="127"/>
        <v/>
      </c>
      <c r="CE313" s="47" t="str">
        <f>IF(AH313="","",IF(OR(AI313&lt;&gt;'Seasonal Tercile Tally'!$B$3,AM313&lt;&gt;'Seasonal Tercile Tally'!$B$4),"Other site/ season",IF(DT313=0,"Excluded: duplicate (later row)",IF(N313&lt;&gt;1,"Excluded: not sighted",IF(AC313&lt;&gt;1,"Excluded: not confirmed",IF(AD313&lt;&gt;1,"Excluded: not approved",IF(AP313="Contested","Excluded: contested",IF(OR(U313="",U313=0),"Excluded: no tercile",IF(CB313="","Counted (simple tally only — no weight)","Counted")))))))))</f>
        <v/>
      </c>
      <c r="CF313" s="49" t="str">
        <f>IF(AH313="","",IFERROR(INDEX('Prior Multipliers'!$C$6:$C$70,MATCH(LEFT(AH313,10),'Prior Multipliers'!$A$6:$A$70,0)),IFERROR(INDEX('Prior Multipliers'!$C$6:$C$70,MATCH(LEFT(AH313,6),'Prior Multipliers'!$A$6:$A$70,0)),IFERROR(INDEX('Prior Multipliers'!$C$6:$C$70,MATCH(LEFT(AH313,2),'Prior Multipliers'!$A$6:$A$70,0)),1))))</f>
        <v/>
      </c>
      <c r="CG313" s="49" t="str">
        <f>IF(CB313="","",IF(AND('Seasonal Tercile Tally'!$B$5=1,BT313="Rating-based"),CB313*CF313,CB313))</f>
        <v/>
      </c>
      <c r="CH313" s="47">
        <f t="shared" si="128"/>
        <v>0</v>
      </c>
      <c r="CI313" s="45"/>
      <c r="CJ313" s="42" t="str">
        <f t="shared" si="129"/>
        <v/>
      </c>
      <c r="CM313" s="42" t="str">
        <f t="shared" si="130"/>
        <v/>
      </c>
      <c r="CP313" s="46" t="str">
        <f t="shared" si="131"/>
        <v/>
      </c>
      <c r="CS313" s="46" t="str">
        <f t="shared" si="132"/>
        <v/>
      </c>
      <c r="CT313" s="42" t="str">
        <f t="shared" si="133"/>
        <v/>
      </c>
      <c r="CU313" s="42" t="str">
        <f t="shared" si="134"/>
        <v/>
      </c>
      <c r="CV313" s="42" t="str">
        <f t="shared" si="135"/>
        <v/>
      </c>
      <c r="DB313" s="45"/>
      <c r="DH313" s="42" t="str">
        <f t="shared" si="136"/>
        <v/>
      </c>
      <c r="DI313" s="43" t="str">
        <f t="shared" si="137"/>
        <v/>
      </c>
      <c r="DK313" s="46" t="str">
        <f t="shared" si="138"/>
        <v/>
      </c>
      <c r="DQ313" s="42" t="str">
        <f>IF(AH313="","",IFERROR(ROUND(100*('Weighting Options'!$D$7*IF(ISNUMBER(CA313),CA313/3,0)+'Weighting Options'!$D$8*MIN(N(BL313),3)/3+'Weighting Options'!$D$9*IF(AP313="Community/Plenary-endorsed",1,IF(AP313="FGD-validated only",0.75,IF(AP313="Sub-community-specific",0.5,IF(AP313="Provisional/emerging",0.25,0))))+'Weighting Options'!$D$10*IF(ISNUMBER(K313),K313/3,0)+'Weighting Options'!$D$11*IF(CC313="",0.5,IF(CC313="OK",1,0.25))+'Weighting Options'!$D$12*IF(DK313="",0.5,IF(DK313="Agrees",1,IF(DK313="Opposite",0,0.5)))+'Weighting Options'!$D$13*MIN(N(BG313),3)/3+'Weighting Options'!$D$14*IF(AE313=1,1,0))/SUM('Weighting Options'!$D$7:$D$14),0),""))</f>
        <v/>
      </c>
      <c r="DR313" s="44" t="str">
        <f>IF(AH313="","",IFERROR(INDEX('Weighting Options'!$D$20:$D$27,VALUE(LEFT(TRIM(BU313),1))),1))</f>
        <v/>
      </c>
      <c r="DS313" s="44" t="str">
        <f t="shared" si="139"/>
        <v/>
      </c>
      <c r="DT313" s="42" t="str">
        <f>IF(AH313="","",IF(COUNTIFS($AH$12:AH313,AH313,$AI$12:AI313,AI313,$AM$12:AM313,AM313)=1,1,0))</f>
        <v/>
      </c>
    </row>
    <row r="314" spans="16:124" ht="12.75" customHeight="1" x14ac:dyDescent="0.35">
      <c r="P314" s="41"/>
      <c r="Q314" s="41"/>
      <c r="R314" s="41"/>
      <c r="S314" s="41"/>
      <c r="AH314" s="40"/>
      <c r="AP314" s="40"/>
      <c r="AS314" s="41"/>
      <c r="AT314" s="41"/>
      <c r="AW314" t="str">
        <f t="shared" si="112"/>
        <v/>
      </c>
      <c r="AX314" t="str">
        <f t="shared" si="113"/>
        <v/>
      </c>
      <c r="AY314" t="str">
        <f t="shared" si="114"/>
        <v/>
      </c>
      <c r="AZ314" s="40"/>
      <c r="BL314" s="47" t="str">
        <f t="shared" si="115"/>
        <v/>
      </c>
      <c r="BM314" s="47" t="str">
        <f t="shared" si="116"/>
        <v/>
      </c>
      <c r="BN314" s="47" t="str">
        <f t="shared" si="117"/>
        <v/>
      </c>
      <c r="BO314" s="47" t="str">
        <f t="shared" si="118"/>
        <v/>
      </c>
      <c r="BP314" s="47" t="str">
        <f t="shared" si="119"/>
        <v/>
      </c>
      <c r="BQ314" s="48" t="str">
        <f t="shared" si="120"/>
        <v/>
      </c>
      <c r="BR314" s="48" t="str">
        <f t="shared" si="121"/>
        <v/>
      </c>
      <c r="BS314" s="48" t="str">
        <f t="shared" si="122"/>
        <v/>
      </c>
      <c r="BT314" s="47" t="str">
        <f t="shared" si="123"/>
        <v/>
      </c>
      <c r="CA314" s="47" t="str">
        <f t="shared" si="124"/>
        <v/>
      </c>
      <c r="CB314" s="47" t="str">
        <f t="shared" si="125"/>
        <v/>
      </c>
      <c r="CC314" s="47" t="str">
        <f t="shared" si="126"/>
        <v/>
      </c>
      <c r="CD314" s="47" t="str">
        <f t="shared" si="127"/>
        <v/>
      </c>
      <c r="CE314" s="47" t="str">
        <f>IF(AH314="","",IF(OR(AI314&lt;&gt;'Seasonal Tercile Tally'!$B$3,AM314&lt;&gt;'Seasonal Tercile Tally'!$B$4),"Other site/ season",IF(DT314=0,"Excluded: duplicate (later row)",IF(N314&lt;&gt;1,"Excluded: not sighted",IF(AC314&lt;&gt;1,"Excluded: not confirmed",IF(AD314&lt;&gt;1,"Excluded: not approved",IF(AP314="Contested","Excluded: contested",IF(OR(U314="",U314=0),"Excluded: no tercile",IF(CB314="","Counted (simple tally only — no weight)","Counted")))))))))</f>
        <v/>
      </c>
      <c r="CF314" s="49" t="str">
        <f>IF(AH314="","",IFERROR(INDEX('Prior Multipliers'!$C$6:$C$70,MATCH(LEFT(AH314,10),'Prior Multipliers'!$A$6:$A$70,0)),IFERROR(INDEX('Prior Multipliers'!$C$6:$C$70,MATCH(LEFT(AH314,6),'Prior Multipliers'!$A$6:$A$70,0)),IFERROR(INDEX('Prior Multipliers'!$C$6:$C$70,MATCH(LEFT(AH314,2),'Prior Multipliers'!$A$6:$A$70,0)),1))))</f>
        <v/>
      </c>
      <c r="CG314" s="49" t="str">
        <f>IF(CB314="","",IF(AND('Seasonal Tercile Tally'!$B$5=1,BT314="Rating-based"),CB314*CF314,CB314))</f>
        <v/>
      </c>
      <c r="CH314" s="47">
        <f t="shared" si="128"/>
        <v>0</v>
      </c>
      <c r="CI314" s="45"/>
      <c r="CJ314" s="42" t="str">
        <f t="shared" si="129"/>
        <v/>
      </c>
      <c r="CM314" s="42" t="str">
        <f t="shared" si="130"/>
        <v/>
      </c>
      <c r="CP314" s="46" t="str">
        <f t="shared" si="131"/>
        <v/>
      </c>
      <c r="CS314" s="46" t="str">
        <f t="shared" si="132"/>
        <v/>
      </c>
      <c r="CT314" s="42" t="str">
        <f t="shared" si="133"/>
        <v/>
      </c>
      <c r="CU314" s="42" t="str">
        <f t="shared" si="134"/>
        <v/>
      </c>
      <c r="CV314" s="42" t="str">
        <f t="shared" si="135"/>
        <v/>
      </c>
      <c r="DB314" s="45"/>
      <c r="DH314" s="42" t="str">
        <f t="shared" si="136"/>
        <v/>
      </c>
      <c r="DI314" s="43" t="str">
        <f t="shared" si="137"/>
        <v/>
      </c>
      <c r="DK314" s="46" t="str">
        <f t="shared" si="138"/>
        <v/>
      </c>
      <c r="DQ314" s="42" t="str">
        <f>IF(AH314="","",IFERROR(ROUND(100*('Weighting Options'!$D$7*IF(ISNUMBER(CA314),CA314/3,0)+'Weighting Options'!$D$8*MIN(N(BL314),3)/3+'Weighting Options'!$D$9*IF(AP314="Community/Plenary-endorsed",1,IF(AP314="FGD-validated only",0.75,IF(AP314="Sub-community-specific",0.5,IF(AP314="Provisional/emerging",0.25,0))))+'Weighting Options'!$D$10*IF(ISNUMBER(K314),K314/3,0)+'Weighting Options'!$D$11*IF(CC314="",0.5,IF(CC314="OK",1,0.25))+'Weighting Options'!$D$12*IF(DK314="",0.5,IF(DK314="Agrees",1,IF(DK314="Opposite",0,0.5)))+'Weighting Options'!$D$13*MIN(N(BG314),3)/3+'Weighting Options'!$D$14*IF(AE314=1,1,0))/SUM('Weighting Options'!$D$7:$D$14),0),""))</f>
        <v/>
      </c>
      <c r="DR314" s="44" t="str">
        <f>IF(AH314="","",IFERROR(INDEX('Weighting Options'!$D$20:$D$27,VALUE(LEFT(TRIM(BU314),1))),1))</f>
        <v/>
      </c>
      <c r="DS314" s="44" t="str">
        <f t="shared" si="139"/>
        <v/>
      </c>
      <c r="DT314" s="42" t="str">
        <f>IF(AH314="","",IF(COUNTIFS($AH$12:AH314,AH314,$AI$12:AI314,AI314,$AM$12:AM314,AM314)=1,1,0))</f>
        <v/>
      </c>
    </row>
    <row r="315" spans="16:124" ht="12.75" customHeight="1" x14ac:dyDescent="0.35">
      <c r="P315" s="41"/>
      <c r="Q315" s="41"/>
      <c r="R315" s="41"/>
      <c r="S315" s="41"/>
      <c r="AH315" s="40"/>
      <c r="AP315" s="40"/>
      <c r="AS315" s="41"/>
      <c r="AT315" s="41"/>
      <c r="AW315" t="str">
        <f t="shared" si="112"/>
        <v/>
      </c>
      <c r="AX315" t="str">
        <f t="shared" si="113"/>
        <v/>
      </c>
      <c r="AY315" t="str">
        <f t="shared" si="114"/>
        <v/>
      </c>
      <c r="AZ315" s="40"/>
      <c r="BL315" s="47" t="str">
        <f t="shared" si="115"/>
        <v/>
      </c>
      <c r="BM315" s="47" t="str">
        <f t="shared" si="116"/>
        <v/>
      </c>
      <c r="BN315" s="47" t="str">
        <f t="shared" si="117"/>
        <v/>
      </c>
      <c r="BO315" s="47" t="str">
        <f t="shared" si="118"/>
        <v/>
      </c>
      <c r="BP315" s="47" t="str">
        <f t="shared" si="119"/>
        <v/>
      </c>
      <c r="BQ315" s="48" t="str">
        <f t="shared" si="120"/>
        <v/>
      </c>
      <c r="BR315" s="48" t="str">
        <f t="shared" si="121"/>
        <v/>
      </c>
      <c r="BS315" s="48" t="str">
        <f t="shared" si="122"/>
        <v/>
      </c>
      <c r="BT315" s="47" t="str">
        <f t="shared" si="123"/>
        <v/>
      </c>
      <c r="CA315" s="47" t="str">
        <f t="shared" si="124"/>
        <v/>
      </c>
      <c r="CB315" s="47" t="str">
        <f t="shared" si="125"/>
        <v/>
      </c>
      <c r="CC315" s="47" t="str">
        <f t="shared" si="126"/>
        <v/>
      </c>
      <c r="CD315" s="47" t="str">
        <f t="shared" si="127"/>
        <v/>
      </c>
      <c r="CE315" s="47" t="str">
        <f>IF(AH315="","",IF(OR(AI315&lt;&gt;'Seasonal Tercile Tally'!$B$3,AM315&lt;&gt;'Seasonal Tercile Tally'!$B$4),"Other site/ season",IF(DT315=0,"Excluded: duplicate (later row)",IF(N315&lt;&gt;1,"Excluded: not sighted",IF(AC315&lt;&gt;1,"Excluded: not confirmed",IF(AD315&lt;&gt;1,"Excluded: not approved",IF(AP315="Contested","Excluded: contested",IF(OR(U315="",U315=0),"Excluded: no tercile",IF(CB315="","Counted (simple tally only — no weight)","Counted")))))))))</f>
        <v/>
      </c>
      <c r="CF315" s="49" t="str">
        <f>IF(AH315="","",IFERROR(INDEX('Prior Multipliers'!$C$6:$C$70,MATCH(LEFT(AH315,10),'Prior Multipliers'!$A$6:$A$70,0)),IFERROR(INDEX('Prior Multipliers'!$C$6:$C$70,MATCH(LEFT(AH315,6),'Prior Multipliers'!$A$6:$A$70,0)),IFERROR(INDEX('Prior Multipliers'!$C$6:$C$70,MATCH(LEFT(AH315,2),'Prior Multipliers'!$A$6:$A$70,0)),1))))</f>
        <v/>
      </c>
      <c r="CG315" s="49" t="str">
        <f>IF(CB315="","",IF(AND('Seasonal Tercile Tally'!$B$5=1,BT315="Rating-based"),CB315*CF315,CB315))</f>
        <v/>
      </c>
      <c r="CH315" s="47">
        <f t="shared" si="128"/>
        <v>0</v>
      </c>
      <c r="CI315" s="45"/>
      <c r="CJ315" s="42" t="str">
        <f t="shared" si="129"/>
        <v/>
      </c>
      <c r="CM315" s="42" t="str">
        <f t="shared" si="130"/>
        <v/>
      </c>
      <c r="CP315" s="46" t="str">
        <f t="shared" si="131"/>
        <v/>
      </c>
      <c r="CS315" s="46" t="str">
        <f t="shared" si="132"/>
        <v/>
      </c>
      <c r="CT315" s="42" t="str">
        <f t="shared" si="133"/>
        <v/>
      </c>
      <c r="CU315" s="42" t="str">
        <f t="shared" si="134"/>
        <v/>
      </c>
      <c r="CV315" s="42" t="str">
        <f t="shared" si="135"/>
        <v/>
      </c>
      <c r="DB315" s="45"/>
      <c r="DH315" s="42" t="str">
        <f t="shared" si="136"/>
        <v/>
      </c>
      <c r="DI315" s="43" t="str">
        <f t="shared" si="137"/>
        <v/>
      </c>
      <c r="DK315" s="46" t="str">
        <f t="shared" si="138"/>
        <v/>
      </c>
      <c r="DQ315" s="42" t="str">
        <f>IF(AH315="","",IFERROR(ROUND(100*('Weighting Options'!$D$7*IF(ISNUMBER(CA315),CA315/3,0)+'Weighting Options'!$D$8*MIN(N(BL315),3)/3+'Weighting Options'!$D$9*IF(AP315="Community/Plenary-endorsed",1,IF(AP315="FGD-validated only",0.75,IF(AP315="Sub-community-specific",0.5,IF(AP315="Provisional/emerging",0.25,0))))+'Weighting Options'!$D$10*IF(ISNUMBER(K315),K315/3,0)+'Weighting Options'!$D$11*IF(CC315="",0.5,IF(CC315="OK",1,0.25))+'Weighting Options'!$D$12*IF(DK315="",0.5,IF(DK315="Agrees",1,IF(DK315="Opposite",0,0.5)))+'Weighting Options'!$D$13*MIN(N(BG315),3)/3+'Weighting Options'!$D$14*IF(AE315=1,1,0))/SUM('Weighting Options'!$D$7:$D$14),0),""))</f>
        <v/>
      </c>
      <c r="DR315" s="44" t="str">
        <f>IF(AH315="","",IFERROR(INDEX('Weighting Options'!$D$20:$D$27,VALUE(LEFT(TRIM(BU315),1))),1))</f>
        <v/>
      </c>
      <c r="DS315" s="44" t="str">
        <f t="shared" si="139"/>
        <v/>
      </c>
      <c r="DT315" s="42" t="str">
        <f>IF(AH315="","",IF(COUNTIFS($AH$12:AH315,AH315,$AI$12:AI315,AI315,$AM$12:AM315,AM315)=1,1,0))</f>
        <v/>
      </c>
    </row>
    <row r="316" spans="16:124" ht="12.75" customHeight="1" x14ac:dyDescent="0.35">
      <c r="P316" s="41"/>
      <c r="Q316" s="41"/>
      <c r="R316" s="41"/>
      <c r="S316" s="41"/>
      <c r="AH316" s="40"/>
      <c r="AP316" s="40"/>
      <c r="AS316" s="41"/>
      <c r="AT316" s="41"/>
      <c r="AW316" t="str">
        <f t="shared" si="112"/>
        <v/>
      </c>
      <c r="AX316" t="str">
        <f t="shared" si="113"/>
        <v/>
      </c>
      <c r="AY316" t="str">
        <f t="shared" si="114"/>
        <v/>
      </c>
      <c r="AZ316" s="40"/>
      <c r="BL316" s="47" t="str">
        <f t="shared" si="115"/>
        <v/>
      </c>
      <c r="BM316" s="47" t="str">
        <f t="shared" si="116"/>
        <v/>
      </c>
      <c r="BN316" s="47" t="str">
        <f t="shared" si="117"/>
        <v/>
      </c>
      <c r="BO316" s="47" t="str">
        <f t="shared" si="118"/>
        <v/>
      </c>
      <c r="BP316" s="47" t="str">
        <f t="shared" si="119"/>
        <v/>
      </c>
      <c r="BQ316" s="48" t="str">
        <f t="shared" si="120"/>
        <v/>
      </c>
      <c r="BR316" s="48" t="str">
        <f t="shared" si="121"/>
        <v/>
      </c>
      <c r="BS316" s="48" t="str">
        <f t="shared" si="122"/>
        <v/>
      </c>
      <c r="BT316" s="47" t="str">
        <f t="shared" si="123"/>
        <v/>
      </c>
      <c r="CA316" s="47" t="str">
        <f t="shared" si="124"/>
        <v/>
      </c>
      <c r="CB316" s="47" t="str">
        <f t="shared" si="125"/>
        <v/>
      </c>
      <c r="CC316" s="47" t="str">
        <f t="shared" si="126"/>
        <v/>
      </c>
      <c r="CD316" s="47" t="str">
        <f t="shared" si="127"/>
        <v/>
      </c>
      <c r="CE316" s="47" t="str">
        <f>IF(AH316="","",IF(OR(AI316&lt;&gt;'Seasonal Tercile Tally'!$B$3,AM316&lt;&gt;'Seasonal Tercile Tally'!$B$4),"Other site/ season",IF(DT316=0,"Excluded: duplicate (later row)",IF(N316&lt;&gt;1,"Excluded: not sighted",IF(AC316&lt;&gt;1,"Excluded: not confirmed",IF(AD316&lt;&gt;1,"Excluded: not approved",IF(AP316="Contested","Excluded: contested",IF(OR(U316="",U316=0),"Excluded: no tercile",IF(CB316="","Counted (simple tally only — no weight)","Counted")))))))))</f>
        <v/>
      </c>
      <c r="CF316" s="49" t="str">
        <f>IF(AH316="","",IFERROR(INDEX('Prior Multipliers'!$C$6:$C$70,MATCH(LEFT(AH316,10),'Prior Multipliers'!$A$6:$A$70,0)),IFERROR(INDEX('Prior Multipliers'!$C$6:$C$70,MATCH(LEFT(AH316,6),'Prior Multipliers'!$A$6:$A$70,0)),IFERROR(INDEX('Prior Multipliers'!$C$6:$C$70,MATCH(LEFT(AH316,2),'Prior Multipliers'!$A$6:$A$70,0)),1))))</f>
        <v/>
      </c>
      <c r="CG316" s="49" t="str">
        <f>IF(CB316="","",IF(AND('Seasonal Tercile Tally'!$B$5=1,BT316="Rating-based"),CB316*CF316,CB316))</f>
        <v/>
      </c>
      <c r="CH316" s="47">
        <f t="shared" si="128"/>
        <v>0</v>
      </c>
      <c r="CI316" s="45"/>
      <c r="CJ316" s="42" t="str">
        <f t="shared" si="129"/>
        <v/>
      </c>
      <c r="CM316" s="42" t="str">
        <f t="shared" si="130"/>
        <v/>
      </c>
      <c r="CP316" s="46" t="str">
        <f t="shared" si="131"/>
        <v/>
      </c>
      <c r="CS316" s="46" t="str">
        <f t="shared" si="132"/>
        <v/>
      </c>
      <c r="CT316" s="42" t="str">
        <f t="shared" si="133"/>
        <v/>
      </c>
      <c r="CU316" s="42" t="str">
        <f t="shared" si="134"/>
        <v/>
      </c>
      <c r="CV316" s="42" t="str">
        <f t="shared" si="135"/>
        <v/>
      </c>
      <c r="DB316" s="45"/>
      <c r="DH316" s="42" t="str">
        <f t="shared" si="136"/>
        <v/>
      </c>
      <c r="DI316" s="43" t="str">
        <f t="shared" si="137"/>
        <v/>
      </c>
      <c r="DK316" s="46" t="str">
        <f t="shared" si="138"/>
        <v/>
      </c>
      <c r="DQ316" s="42" t="str">
        <f>IF(AH316="","",IFERROR(ROUND(100*('Weighting Options'!$D$7*IF(ISNUMBER(CA316),CA316/3,0)+'Weighting Options'!$D$8*MIN(N(BL316),3)/3+'Weighting Options'!$D$9*IF(AP316="Community/Plenary-endorsed",1,IF(AP316="FGD-validated only",0.75,IF(AP316="Sub-community-specific",0.5,IF(AP316="Provisional/emerging",0.25,0))))+'Weighting Options'!$D$10*IF(ISNUMBER(K316),K316/3,0)+'Weighting Options'!$D$11*IF(CC316="",0.5,IF(CC316="OK",1,0.25))+'Weighting Options'!$D$12*IF(DK316="",0.5,IF(DK316="Agrees",1,IF(DK316="Opposite",0,0.5)))+'Weighting Options'!$D$13*MIN(N(BG316),3)/3+'Weighting Options'!$D$14*IF(AE316=1,1,0))/SUM('Weighting Options'!$D$7:$D$14),0),""))</f>
        <v/>
      </c>
      <c r="DR316" s="44" t="str">
        <f>IF(AH316="","",IFERROR(INDEX('Weighting Options'!$D$20:$D$27,VALUE(LEFT(TRIM(BU316),1))),1))</f>
        <v/>
      </c>
      <c r="DS316" s="44" t="str">
        <f t="shared" si="139"/>
        <v/>
      </c>
      <c r="DT316" s="42" t="str">
        <f>IF(AH316="","",IF(COUNTIFS($AH$12:AH316,AH316,$AI$12:AI316,AI316,$AM$12:AM316,AM316)=1,1,0))</f>
        <v/>
      </c>
    </row>
    <row r="317" spans="16:124" ht="12.75" customHeight="1" x14ac:dyDescent="0.35">
      <c r="P317" s="41"/>
      <c r="Q317" s="41"/>
      <c r="R317" s="41"/>
      <c r="S317" s="41"/>
      <c r="AH317" s="40"/>
      <c r="AP317" s="40"/>
      <c r="AS317" s="41"/>
      <c r="AT317" s="41"/>
      <c r="AW317" t="str">
        <f t="shared" si="112"/>
        <v/>
      </c>
      <c r="AX317" t="str">
        <f t="shared" si="113"/>
        <v/>
      </c>
      <c r="AY317" t="str">
        <f t="shared" si="114"/>
        <v/>
      </c>
      <c r="AZ317" s="40"/>
      <c r="BL317" s="47" t="str">
        <f t="shared" si="115"/>
        <v/>
      </c>
      <c r="BM317" s="47" t="str">
        <f t="shared" si="116"/>
        <v/>
      </c>
      <c r="BN317" s="47" t="str">
        <f t="shared" si="117"/>
        <v/>
      </c>
      <c r="BO317" s="47" t="str">
        <f t="shared" si="118"/>
        <v/>
      </c>
      <c r="BP317" s="47" t="str">
        <f t="shared" si="119"/>
        <v/>
      </c>
      <c r="BQ317" s="48" t="str">
        <f t="shared" si="120"/>
        <v/>
      </c>
      <c r="BR317" s="48" t="str">
        <f t="shared" si="121"/>
        <v/>
      </c>
      <c r="BS317" s="48" t="str">
        <f t="shared" si="122"/>
        <v/>
      </c>
      <c r="BT317" s="47" t="str">
        <f t="shared" si="123"/>
        <v/>
      </c>
      <c r="CA317" s="47" t="str">
        <f t="shared" si="124"/>
        <v/>
      </c>
      <c r="CB317" s="47" t="str">
        <f t="shared" si="125"/>
        <v/>
      </c>
      <c r="CC317" s="47" t="str">
        <f t="shared" si="126"/>
        <v/>
      </c>
      <c r="CD317" s="47" t="str">
        <f t="shared" si="127"/>
        <v/>
      </c>
      <c r="CE317" s="47" t="str">
        <f>IF(AH317="","",IF(OR(AI317&lt;&gt;'Seasonal Tercile Tally'!$B$3,AM317&lt;&gt;'Seasonal Tercile Tally'!$B$4),"Other site/ season",IF(DT317=0,"Excluded: duplicate (later row)",IF(N317&lt;&gt;1,"Excluded: not sighted",IF(AC317&lt;&gt;1,"Excluded: not confirmed",IF(AD317&lt;&gt;1,"Excluded: not approved",IF(AP317="Contested","Excluded: contested",IF(OR(U317="",U317=0),"Excluded: no tercile",IF(CB317="","Counted (simple tally only — no weight)","Counted")))))))))</f>
        <v/>
      </c>
      <c r="CF317" s="49" t="str">
        <f>IF(AH317="","",IFERROR(INDEX('Prior Multipliers'!$C$6:$C$70,MATCH(LEFT(AH317,10),'Prior Multipliers'!$A$6:$A$70,0)),IFERROR(INDEX('Prior Multipliers'!$C$6:$C$70,MATCH(LEFT(AH317,6),'Prior Multipliers'!$A$6:$A$70,0)),IFERROR(INDEX('Prior Multipliers'!$C$6:$C$70,MATCH(LEFT(AH317,2),'Prior Multipliers'!$A$6:$A$70,0)),1))))</f>
        <v/>
      </c>
      <c r="CG317" s="49" t="str">
        <f>IF(CB317="","",IF(AND('Seasonal Tercile Tally'!$B$5=1,BT317="Rating-based"),CB317*CF317,CB317))</f>
        <v/>
      </c>
      <c r="CH317" s="47">
        <f t="shared" si="128"/>
        <v>0</v>
      </c>
      <c r="CI317" s="45"/>
      <c r="CJ317" s="42" t="str">
        <f t="shared" si="129"/>
        <v/>
      </c>
      <c r="CM317" s="42" t="str">
        <f t="shared" si="130"/>
        <v/>
      </c>
      <c r="CP317" s="46" t="str">
        <f t="shared" si="131"/>
        <v/>
      </c>
      <c r="CS317" s="46" t="str">
        <f t="shared" si="132"/>
        <v/>
      </c>
      <c r="CT317" s="42" t="str">
        <f t="shared" si="133"/>
        <v/>
      </c>
      <c r="CU317" s="42" t="str">
        <f t="shared" si="134"/>
        <v/>
      </c>
      <c r="CV317" s="42" t="str">
        <f t="shared" si="135"/>
        <v/>
      </c>
      <c r="DB317" s="45"/>
      <c r="DH317" s="42" t="str">
        <f t="shared" si="136"/>
        <v/>
      </c>
      <c r="DI317" s="43" t="str">
        <f t="shared" si="137"/>
        <v/>
      </c>
      <c r="DK317" s="46" t="str">
        <f t="shared" si="138"/>
        <v/>
      </c>
      <c r="DQ317" s="42" t="str">
        <f>IF(AH317="","",IFERROR(ROUND(100*('Weighting Options'!$D$7*IF(ISNUMBER(CA317),CA317/3,0)+'Weighting Options'!$D$8*MIN(N(BL317),3)/3+'Weighting Options'!$D$9*IF(AP317="Community/Plenary-endorsed",1,IF(AP317="FGD-validated only",0.75,IF(AP317="Sub-community-specific",0.5,IF(AP317="Provisional/emerging",0.25,0))))+'Weighting Options'!$D$10*IF(ISNUMBER(K317),K317/3,0)+'Weighting Options'!$D$11*IF(CC317="",0.5,IF(CC317="OK",1,0.25))+'Weighting Options'!$D$12*IF(DK317="",0.5,IF(DK317="Agrees",1,IF(DK317="Opposite",0,0.5)))+'Weighting Options'!$D$13*MIN(N(BG317),3)/3+'Weighting Options'!$D$14*IF(AE317=1,1,0))/SUM('Weighting Options'!$D$7:$D$14),0),""))</f>
        <v/>
      </c>
      <c r="DR317" s="44" t="str">
        <f>IF(AH317="","",IFERROR(INDEX('Weighting Options'!$D$20:$D$27,VALUE(LEFT(TRIM(BU317),1))),1))</f>
        <v/>
      </c>
      <c r="DS317" s="44" t="str">
        <f t="shared" si="139"/>
        <v/>
      </c>
      <c r="DT317" s="42" t="str">
        <f>IF(AH317="","",IF(COUNTIFS($AH$12:AH317,AH317,$AI$12:AI317,AI317,$AM$12:AM317,AM317)=1,1,0))</f>
        <v/>
      </c>
    </row>
    <row r="318" spans="16:124" ht="12.75" customHeight="1" x14ac:dyDescent="0.35">
      <c r="P318" s="41"/>
      <c r="Q318" s="41"/>
      <c r="R318" s="41"/>
      <c r="S318" s="41"/>
      <c r="AH318" s="40"/>
      <c r="AP318" s="40"/>
      <c r="AS318" s="41"/>
      <c r="AT318" s="41"/>
      <c r="AW318" t="str">
        <f t="shared" si="112"/>
        <v/>
      </c>
      <c r="AX318" t="str">
        <f t="shared" si="113"/>
        <v/>
      </c>
      <c r="AY318" t="str">
        <f t="shared" si="114"/>
        <v/>
      </c>
      <c r="AZ318" s="40"/>
      <c r="BL318" s="47" t="str">
        <f t="shared" si="115"/>
        <v/>
      </c>
      <c r="BM318" s="47" t="str">
        <f t="shared" si="116"/>
        <v/>
      </c>
      <c r="BN318" s="47" t="str">
        <f t="shared" si="117"/>
        <v/>
      </c>
      <c r="BO318" s="47" t="str">
        <f t="shared" si="118"/>
        <v/>
      </c>
      <c r="BP318" s="47" t="str">
        <f t="shared" si="119"/>
        <v/>
      </c>
      <c r="BQ318" s="48" t="str">
        <f t="shared" si="120"/>
        <v/>
      </c>
      <c r="BR318" s="48" t="str">
        <f t="shared" si="121"/>
        <v/>
      </c>
      <c r="BS318" s="48" t="str">
        <f t="shared" si="122"/>
        <v/>
      </c>
      <c r="BT318" s="47" t="str">
        <f t="shared" si="123"/>
        <v/>
      </c>
      <c r="CA318" s="47" t="str">
        <f t="shared" si="124"/>
        <v/>
      </c>
      <c r="CB318" s="47" t="str">
        <f t="shared" si="125"/>
        <v/>
      </c>
      <c r="CC318" s="47" t="str">
        <f t="shared" si="126"/>
        <v/>
      </c>
      <c r="CD318" s="47" t="str">
        <f t="shared" si="127"/>
        <v/>
      </c>
      <c r="CE318" s="47" t="str">
        <f>IF(AH318="","",IF(OR(AI318&lt;&gt;'Seasonal Tercile Tally'!$B$3,AM318&lt;&gt;'Seasonal Tercile Tally'!$B$4),"Other site/ season",IF(DT318=0,"Excluded: duplicate (later row)",IF(N318&lt;&gt;1,"Excluded: not sighted",IF(AC318&lt;&gt;1,"Excluded: not confirmed",IF(AD318&lt;&gt;1,"Excluded: not approved",IF(AP318="Contested","Excluded: contested",IF(OR(U318="",U318=0),"Excluded: no tercile",IF(CB318="","Counted (simple tally only — no weight)","Counted")))))))))</f>
        <v/>
      </c>
      <c r="CF318" s="49" t="str">
        <f>IF(AH318="","",IFERROR(INDEX('Prior Multipliers'!$C$6:$C$70,MATCH(LEFT(AH318,10),'Prior Multipliers'!$A$6:$A$70,0)),IFERROR(INDEX('Prior Multipliers'!$C$6:$C$70,MATCH(LEFT(AH318,6),'Prior Multipliers'!$A$6:$A$70,0)),IFERROR(INDEX('Prior Multipliers'!$C$6:$C$70,MATCH(LEFT(AH318,2),'Prior Multipliers'!$A$6:$A$70,0)),1))))</f>
        <v/>
      </c>
      <c r="CG318" s="49" t="str">
        <f>IF(CB318="","",IF(AND('Seasonal Tercile Tally'!$B$5=1,BT318="Rating-based"),CB318*CF318,CB318))</f>
        <v/>
      </c>
      <c r="CH318" s="47">
        <f t="shared" si="128"/>
        <v>0</v>
      </c>
      <c r="CI318" s="45"/>
      <c r="CJ318" s="42" t="str">
        <f t="shared" si="129"/>
        <v/>
      </c>
      <c r="CM318" s="42" t="str">
        <f t="shared" si="130"/>
        <v/>
      </c>
      <c r="CP318" s="46" t="str">
        <f t="shared" si="131"/>
        <v/>
      </c>
      <c r="CS318" s="46" t="str">
        <f t="shared" si="132"/>
        <v/>
      </c>
      <c r="CT318" s="42" t="str">
        <f t="shared" si="133"/>
        <v/>
      </c>
      <c r="CU318" s="42" t="str">
        <f t="shared" si="134"/>
        <v/>
      </c>
      <c r="CV318" s="42" t="str">
        <f t="shared" si="135"/>
        <v/>
      </c>
      <c r="DB318" s="45"/>
      <c r="DH318" s="42" t="str">
        <f t="shared" si="136"/>
        <v/>
      </c>
      <c r="DI318" s="43" t="str">
        <f t="shared" si="137"/>
        <v/>
      </c>
      <c r="DK318" s="46" t="str">
        <f t="shared" si="138"/>
        <v/>
      </c>
      <c r="DQ318" s="42" t="str">
        <f>IF(AH318="","",IFERROR(ROUND(100*('Weighting Options'!$D$7*IF(ISNUMBER(CA318),CA318/3,0)+'Weighting Options'!$D$8*MIN(N(BL318),3)/3+'Weighting Options'!$D$9*IF(AP318="Community/Plenary-endorsed",1,IF(AP318="FGD-validated only",0.75,IF(AP318="Sub-community-specific",0.5,IF(AP318="Provisional/emerging",0.25,0))))+'Weighting Options'!$D$10*IF(ISNUMBER(K318),K318/3,0)+'Weighting Options'!$D$11*IF(CC318="",0.5,IF(CC318="OK",1,0.25))+'Weighting Options'!$D$12*IF(DK318="",0.5,IF(DK318="Agrees",1,IF(DK318="Opposite",0,0.5)))+'Weighting Options'!$D$13*MIN(N(BG318),3)/3+'Weighting Options'!$D$14*IF(AE318=1,1,0))/SUM('Weighting Options'!$D$7:$D$14),0),""))</f>
        <v/>
      </c>
      <c r="DR318" s="44" t="str">
        <f>IF(AH318="","",IFERROR(INDEX('Weighting Options'!$D$20:$D$27,VALUE(LEFT(TRIM(BU318),1))),1))</f>
        <v/>
      </c>
      <c r="DS318" s="44" t="str">
        <f t="shared" si="139"/>
        <v/>
      </c>
      <c r="DT318" s="42" t="str">
        <f>IF(AH318="","",IF(COUNTIFS($AH$12:AH318,AH318,$AI$12:AI318,AI318,$AM$12:AM318,AM318)=1,1,0))</f>
        <v/>
      </c>
    </row>
    <row r="319" spans="16:124" ht="12.75" customHeight="1" x14ac:dyDescent="0.35">
      <c r="P319" s="41"/>
      <c r="Q319" s="41"/>
      <c r="R319" s="41"/>
      <c r="S319" s="41"/>
      <c r="AH319" s="40"/>
      <c r="AP319" s="40"/>
      <c r="AS319" s="41"/>
      <c r="AT319" s="41"/>
      <c r="AW319" t="str">
        <f t="shared" si="112"/>
        <v/>
      </c>
      <c r="AX319" t="str">
        <f t="shared" si="113"/>
        <v/>
      </c>
      <c r="AY319" t="str">
        <f t="shared" si="114"/>
        <v/>
      </c>
      <c r="AZ319" s="40"/>
      <c r="BL319" s="47" t="str">
        <f t="shared" si="115"/>
        <v/>
      </c>
      <c r="BM319" s="47" t="str">
        <f t="shared" si="116"/>
        <v/>
      </c>
      <c r="BN319" s="47" t="str">
        <f t="shared" si="117"/>
        <v/>
      </c>
      <c r="BO319" s="47" t="str">
        <f t="shared" si="118"/>
        <v/>
      </c>
      <c r="BP319" s="47" t="str">
        <f t="shared" si="119"/>
        <v/>
      </c>
      <c r="BQ319" s="48" t="str">
        <f t="shared" si="120"/>
        <v/>
      </c>
      <c r="BR319" s="48" t="str">
        <f t="shared" si="121"/>
        <v/>
      </c>
      <c r="BS319" s="48" t="str">
        <f t="shared" si="122"/>
        <v/>
      </c>
      <c r="BT319" s="47" t="str">
        <f t="shared" si="123"/>
        <v/>
      </c>
      <c r="CA319" s="47" t="str">
        <f t="shared" si="124"/>
        <v/>
      </c>
      <c r="CB319" s="47" t="str">
        <f t="shared" si="125"/>
        <v/>
      </c>
      <c r="CC319" s="47" t="str">
        <f t="shared" si="126"/>
        <v/>
      </c>
      <c r="CD319" s="47" t="str">
        <f t="shared" si="127"/>
        <v/>
      </c>
      <c r="CE319" s="47" t="str">
        <f>IF(AH319="","",IF(OR(AI319&lt;&gt;'Seasonal Tercile Tally'!$B$3,AM319&lt;&gt;'Seasonal Tercile Tally'!$B$4),"Other site/ season",IF(DT319=0,"Excluded: duplicate (later row)",IF(N319&lt;&gt;1,"Excluded: not sighted",IF(AC319&lt;&gt;1,"Excluded: not confirmed",IF(AD319&lt;&gt;1,"Excluded: not approved",IF(AP319="Contested","Excluded: contested",IF(OR(U319="",U319=0),"Excluded: no tercile",IF(CB319="","Counted (simple tally only — no weight)","Counted")))))))))</f>
        <v/>
      </c>
      <c r="CF319" s="49" t="str">
        <f>IF(AH319="","",IFERROR(INDEX('Prior Multipliers'!$C$6:$C$70,MATCH(LEFT(AH319,10),'Prior Multipliers'!$A$6:$A$70,0)),IFERROR(INDEX('Prior Multipliers'!$C$6:$C$70,MATCH(LEFT(AH319,6),'Prior Multipliers'!$A$6:$A$70,0)),IFERROR(INDEX('Prior Multipliers'!$C$6:$C$70,MATCH(LEFT(AH319,2),'Prior Multipliers'!$A$6:$A$70,0)),1))))</f>
        <v/>
      </c>
      <c r="CG319" s="49" t="str">
        <f>IF(CB319="","",IF(AND('Seasonal Tercile Tally'!$B$5=1,BT319="Rating-based"),CB319*CF319,CB319))</f>
        <v/>
      </c>
      <c r="CH319" s="47">
        <f t="shared" si="128"/>
        <v>0</v>
      </c>
      <c r="CI319" s="45"/>
      <c r="CJ319" s="42" t="str">
        <f t="shared" si="129"/>
        <v/>
      </c>
      <c r="CM319" s="42" t="str">
        <f t="shared" si="130"/>
        <v/>
      </c>
      <c r="CP319" s="46" t="str">
        <f t="shared" si="131"/>
        <v/>
      </c>
      <c r="CS319" s="46" t="str">
        <f t="shared" si="132"/>
        <v/>
      </c>
      <c r="CT319" s="42" t="str">
        <f t="shared" si="133"/>
        <v/>
      </c>
      <c r="CU319" s="42" t="str">
        <f t="shared" si="134"/>
        <v/>
      </c>
      <c r="CV319" s="42" t="str">
        <f t="shared" si="135"/>
        <v/>
      </c>
      <c r="DB319" s="45"/>
      <c r="DH319" s="42" t="str">
        <f t="shared" si="136"/>
        <v/>
      </c>
      <c r="DI319" s="43" t="str">
        <f t="shared" si="137"/>
        <v/>
      </c>
      <c r="DK319" s="46" t="str">
        <f t="shared" si="138"/>
        <v/>
      </c>
      <c r="DQ319" s="42" t="str">
        <f>IF(AH319="","",IFERROR(ROUND(100*('Weighting Options'!$D$7*IF(ISNUMBER(CA319),CA319/3,0)+'Weighting Options'!$D$8*MIN(N(BL319),3)/3+'Weighting Options'!$D$9*IF(AP319="Community/Plenary-endorsed",1,IF(AP319="FGD-validated only",0.75,IF(AP319="Sub-community-specific",0.5,IF(AP319="Provisional/emerging",0.25,0))))+'Weighting Options'!$D$10*IF(ISNUMBER(K319),K319/3,0)+'Weighting Options'!$D$11*IF(CC319="",0.5,IF(CC319="OK",1,0.25))+'Weighting Options'!$D$12*IF(DK319="",0.5,IF(DK319="Agrees",1,IF(DK319="Opposite",0,0.5)))+'Weighting Options'!$D$13*MIN(N(BG319),3)/3+'Weighting Options'!$D$14*IF(AE319=1,1,0))/SUM('Weighting Options'!$D$7:$D$14),0),""))</f>
        <v/>
      </c>
      <c r="DR319" s="44" t="str">
        <f>IF(AH319="","",IFERROR(INDEX('Weighting Options'!$D$20:$D$27,VALUE(LEFT(TRIM(BU319),1))),1))</f>
        <v/>
      </c>
      <c r="DS319" s="44" t="str">
        <f t="shared" si="139"/>
        <v/>
      </c>
      <c r="DT319" s="42" t="str">
        <f>IF(AH319="","",IF(COUNTIFS($AH$12:AH319,AH319,$AI$12:AI319,AI319,$AM$12:AM319,AM319)=1,1,0))</f>
        <v/>
      </c>
    </row>
    <row r="320" spans="16:124" ht="12.75" customHeight="1" x14ac:dyDescent="0.35">
      <c r="P320" s="41"/>
      <c r="Q320" s="41"/>
      <c r="R320" s="41"/>
      <c r="S320" s="41"/>
      <c r="AH320" s="40"/>
      <c r="AP320" s="40"/>
      <c r="AS320" s="41"/>
      <c r="AT320" s="41"/>
      <c r="AW320" t="str">
        <f t="shared" si="112"/>
        <v/>
      </c>
      <c r="AX320" t="str">
        <f t="shared" si="113"/>
        <v/>
      </c>
      <c r="AY320" t="str">
        <f t="shared" si="114"/>
        <v/>
      </c>
      <c r="AZ320" s="40"/>
      <c r="BL320" s="47" t="str">
        <f t="shared" si="115"/>
        <v/>
      </c>
      <c r="BM320" s="47" t="str">
        <f t="shared" si="116"/>
        <v/>
      </c>
      <c r="BN320" s="47" t="str">
        <f t="shared" si="117"/>
        <v/>
      </c>
      <c r="BO320" s="47" t="str">
        <f t="shared" si="118"/>
        <v/>
      </c>
      <c r="BP320" s="47" t="str">
        <f t="shared" si="119"/>
        <v/>
      </c>
      <c r="BQ320" s="48" t="str">
        <f t="shared" si="120"/>
        <v/>
      </c>
      <c r="BR320" s="48" t="str">
        <f t="shared" si="121"/>
        <v/>
      </c>
      <c r="BS320" s="48" t="str">
        <f t="shared" si="122"/>
        <v/>
      </c>
      <c r="BT320" s="47" t="str">
        <f t="shared" si="123"/>
        <v/>
      </c>
      <c r="CA320" s="47" t="str">
        <f t="shared" si="124"/>
        <v/>
      </c>
      <c r="CB320" s="47" t="str">
        <f t="shared" si="125"/>
        <v/>
      </c>
      <c r="CC320" s="47" t="str">
        <f t="shared" si="126"/>
        <v/>
      </c>
      <c r="CD320" s="47" t="str">
        <f t="shared" si="127"/>
        <v/>
      </c>
      <c r="CE320" s="47" t="str">
        <f>IF(AH320="","",IF(OR(AI320&lt;&gt;'Seasonal Tercile Tally'!$B$3,AM320&lt;&gt;'Seasonal Tercile Tally'!$B$4),"Other site/ season",IF(DT320=0,"Excluded: duplicate (later row)",IF(N320&lt;&gt;1,"Excluded: not sighted",IF(AC320&lt;&gt;1,"Excluded: not confirmed",IF(AD320&lt;&gt;1,"Excluded: not approved",IF(AP320="Contested","Excluded: contested",IF(OR(U320="",U320=0),"Excluded: no tercile",IF(CB320="","Counted (simple tally only — no weight)","Counted")))))))))</f>
        <v/>
      </c>
      <c r="CF320" s="49" t="str">
        <f>IF(AH320="","",IFERROR(INDEX('Prior Multipliers'!$C$6:$C$70,MATCH(LEFT(AH320,10),'Prior Multipliers'!$A$6:$A$70,0)),IFERROR(INDEX('Prior Multipliers'!$C$6:$C$70,MATCH(LEFT(AH320,6),'Prior Multipliers'!$A$6:$A$70,0)),IFERROR(INDEX('Prior Multipliers'!$C$6:$C$70,MATCH(LEFT(AH320,2),'Prior Multipliers'!$A$6:$A$70,0)),1))))</f>
        <v/>
      </c>
      <c r="CG320" s="49" t="str">
        <f>IF(CB320="","",IF(AND('Seasonal Tercile Tally'!$B$5=1,BT320="Rating-based"),CB320*CF320,CB320))</f>
        <v/>
      </c>
      <c r="CH320" s="47">
        <f t="shared" si="128"/>
        <v>0</v>
      </c>
      <c r="CI320" s="45"/>
      <c r="CJ320" s="42" t="str">
        <f t="shared" si="129"/>
        <v/>
      </c>
      <c r="CM320" s="42" t="str">
        <f t="shared" si="130"/>
        <v/>
      </c>
      <c r="CP320" s="46" t="str">
        <f t="shared" si="131"/>
        <v/>
      </c>
      <c r="CS320" s="46" t="str">
        <f t="shared" si="132"/>
        <v/>
      </c>
      <c r="CT320" s="42" t="str">
        <f t="shared" si="133"/>
        <v/>
      </c>
      <c r="CU320" s="42" t="str">
        <f t="shared" si="134"/>
        <v/>
      </c>
      <c r="CV320" s="42" t="str">
        <f t="shared" si="135"/>
        <v/>
      </c>
      <c r="DB320" s="45"/>
      <c r="DH320" s="42" t="str">
        <f t="shared" si="136"/>
        <v/>
      </c>
      <c r="DI320" s="43" t="str">
        <f t="shared" si="137"/>
        <v/>
      </c>
      <c r="DK320" s="46" t="str">
        <f t="shared" si="138"/>
        <v/>
      </c>
      <c r="DQ320" s="42" t="str">
        <f>IF(AH320="","",IFERROR(ROUND(100*('Weighting Options'!$D$7*IF(ISNUMBER(CA320),CA320/3,0)+'Weighting Options'!$D$8*MIN(N(BL320),3)/3+'Weighting Options'!$D$9*IF(AP320="Community/Plenary-endorsed",1,IF(AP320="FGD-validated only",0.75,IF(AP320="Sub-community-specific",0.5,IF(AP320="Provisional/emerging",0.25,0))))+'Weighting Options'!$D$10*IF(ISNUMBER(K320),K320/3,0)+'Weighting Options'!$D$11*IF(CC320="",0.5,IF(CC320="OK",1,0.25))+'Weighting Options'!$D$12*IF(DK320="",0.5,IF(DK320="Agrees",1,IF(DK320="Opposite",0,0.5)))+'Weighting Options'!$D$13*MIN(N(BG320),3)/3+'Weighting Options'!$D$14*IF(AE320=1,1,0))/SUM('Weighting Options'!$D$7:$D$14),0),""))</f>
        <v/>
      </c>
      <c r="DR320" s="44" t="str">
        <f>IF(AH320="","",IFERROR(INDEX('Weighting Options'!$D$20:$D$27,VALUE(LEFT(TRIM(BU320),1))),1))</f>
        <v/>
      </c>
      <c r="DS320" s="44" t="str">
        <f t="shared" si="139"/>
        <v/>
      </c>
      <c r="DT320" s="42" t="str">
        <f>IF(AH320="","",IF(COUNTIFS($AH$12:AH320,AH320,$AI$12:AI320,AI320,$AM$12:AM320,AM320)=1,1,0))</f>
        <v/>
      </c>
    </row>
    <row r="321" spans="16:124" ht="12.75" customHeight="1" x14ac:dyDescent="0.35">
      <c r="P321" s="41"/>
      <c r="Q321" s="41"/>
      <c r="R321" s="41"/>
      <c r="S321" s="41"/>
      <c r="AH321" s="40"/>
      <c r="AP321" s="40"/>
      <c r="AS321" s="41"/>
      <c r="AT321" s="41"/>
      <c r="AW321" t="str">
        <f t="shared" si="112"/>
        <v/>
      </c>
      <c r="AX321" t="str">
        <f t="shared" si="113"/>
        <v/>
      </c>
      <c r="AY321" t="str">
        <f t="shared" si="114"/>
        <v/>
      </c>
      <c r="AZ321" s="40"/>
      <c r="BL321" s="47" t="str">
        <f t="shared" si="115"/>
        <v/>
      </c>
      <c r="BM321" s="47" t="str">
        <f t="shared" si="116"/>
        <v/>
      </c>
      <c r="BN321" s="47" t="str">
        <f t="shared" si="117"/>
        <v/>
      </c>
      <c r="BO321" s="47" t="str">
        <f t="shared" si="118"/>
        <v/>
      </c>
      <c r="BP321" s="47" t="str">
        <f t="shared" si="119"/>
        <v/>
      </c>
      <c r="BQ321" s="48" t="str">
        <f t="shared" si="120"/>
        <v/>
      </c>
      <c r="BR321" s="48" t="str">
        <f t="shared" si="121"/>
        <v/>
      </c>
      <c r="BS321" s="48" t="str">
        <f t="shared" si="122"/>
        <v/>
      </c>
      <c r="BT321" s="47" t="str">
        <f t="shared" si="123"/>
        <v/>
      </c>
      <c r="CA321" s="47" t="str">
        <f t="shared" si="124"/>
        <v/>
      </c>
      <c r="CB321" s="47" t="str">
        <f t="shared" si="125"/>
        <v/>
      </c>
      <c r="CC321" s="47" t="str">
        <f t="shared" si="126"/>
        <v/>
      </c>
      <c r="CD321" s="47" t="str">
        <f t="shared" si="127"/>
        <v/>
      </c>
      <c r="CE321" s="47" t="str">
        <f>IF(AH321="","",IF(OR(AI321&lt;&gt;'Seasonal Tercile Tally'!$B$3,AM321&lt;&gt;'Seasonal Tercile Tally'!$B$4),"Other site/ season",IF(DT321=0,"Excluded: duplicate (later row)",IF(N321&lt;&gt;1,"Excluded: not sighted",IF(AC321&lt;&gt;1,"Excluded: not confirmed",IF(AD321&lt;&gt;1,"Excluded: not approved",IF(AP321="Contested","Excluded: contested",IF(OR(U321="",U321=0),"Excluded: no tercile",IF(CB321="","Counted (simple tally only — no weight)","Counted")))))))))</f>
        <v/>
      </c>
      <c r="CF321" s="49" t="str">
        <f>IF(AH321="","",IFERROR(INDEX('Prior Multipliers'!$C$6:$C$70,MATCH(LEFT(AH321,10),'Prior Multipliers'!$A$6:$A$70,0)),IFERROR(INDEX('Prior Multipliers'!$C$6:$C$70,MATCH(LEFT(AH321,6),'Prior Multipliers'!$A$6:$A$70,0)),IFERROR(INDEX('Prior Multipliers'!$C$6:$C$70,MATCH(LEFT(AH321,2),'Prior Multipliers'!$A$6:$A$70,0)),1))))</f>
        <v/>
      </c>
      <c r="CG321" s="49" t="str">
        <f>IF(CB321="","",IF(AND('Seasonal Tercile Tally'!$B$5=1,BT321="Rating-based"),CB321*CF321,CB321))</f>
        <v/>
      </c>
      <c r="CH321" s="47">
        <f t="shared" si="128"/>
        <v>0</v>
      </c>
      <c r="CI321" s="45"/>
      <c r="CJ321" s="42" t="str">
        <f t="shared" si="129"/>
        <v/>
      </c>
      <c r="CM321" s="42" t="str">
        <f t="shared" si="130"/>
        <v/>
      </c>
      <c r="CP321" s="46" t="str">
        <f t="shared" si="131"/>
        <v/>
      </c>
      <c r="CS321" s="46" t="str">
        <f t="shared" si="132"/>
        <v/>
      </c>
      <c r="CT321" s="42" t="str">
        <f t="shared" si="133"/>
        <v/>
      </c>
      <c r="CU321" s="42" t="str">
        <f t="shared" si="134"/>
        <v/>
      </c>
      <c r="CV321" s="42" t="str">
        <f t="shared" si="135"/>
        <v/>
      </c>
      <c r="DB321" s="45"/>
      <c r="DH321" s="42" t="str">
        <f t="shared" si="136"/>
        <v/>
      </c>
      <c r="DI321" s="43" t="str">
        <f t="shared" si="137"/>
        <v/>
      </c>
      <c r="DK321" s="46" t="str">
        <f t="shared" si="138"/>
        <v/>
      </c>
      <c r="DQ321" s="42" t="str">
        <f>IF(AH321="","",IFERROR(ROUND(100*('Weighting Options'!$D$7*IF(ISNUMBER(CA321),CA321/3,0)+'Weighting Options'!$D$8*MIN(N(BL321),3)/3+'Weighting Options'!$D$9*IF(AP321="Community/Plenary-endorsed",1,IF(AP321="FGD-validated only",0.75,IF(AP321="Sub-community-specific",0.5,IF(AP321="Provisional/emerging",0.25,0))))+'Weighting Options'!$D$10*IF(ISNUMBER(K321),K321/3,0)+'Weighting Options'!$D$11*IF(CC321="",0.5,IF(CC321="OK",1,0.25))+'Weighting Options'!$D$12*IF(DK321="",0.5,IF(DK321="Agrees",1,IF(DK321="Opposite",0,0.5)))+'Weighting Options'!$D$13*MIN(N(BG321),3)/3+'Weighting Options'!$D$14*IF(AE321=1,1,0))/SUM('Weighting Options'!$D$7:$D$14),0),""))</f>
        <v/>
      </c>
      <c r="DR321" s="44" t="str">
        <f>IF(AH321="","",IFERROR(INDEX('Weighting Options'!$D$20:$D$27,VALUE(LEFT(TRIM(BU321),1))),1))</f>
        <v/>
      </c>
      <c r="DS321" s="44" t="str">
        <f t="shared" si="139"/>
        <v/>
      </c>
      <c r="DT321" s="42" t="str">
        <f>IF(AH321="","",IF(COUNTIFS($AH$12:AH321,AH321,$AI$12:AI321,AI321,$AM$12:AM321,AM321)=1,1,0))</f>
        <v/>
      </c>
    </row>
    <row r="322" spans="16:124" ht="12.75" customHeight="1" x14ac:dyDescent="0.35">
      <c r="P322" s="41"/>
      <c r="Q322" s="41"/>
      <c r="R322" s="41"/>
      <c r="S322" s="41"/>
      <c r="AH322" s="40"/>
      <c r="AP322" s="40"/>
      <c r="AS322" s="41"/>
      <c r="AT322" s="41"/>
      <c r="AW322" t="str">
        <f t="shared" si="112"/>
        <v/>
      </c>
      <c r="AX322" t="str">
        <f t="shared" si="113"/>
        <v/>
      </c>
      <c r="AY322" t="str">
        <f t="shared" si="114"/>
        <v/>
      </c>
      <c r="AZ322" s="40"/>
      <c r="BL322" s="47" t="str">
        <f t="shared" si="115"/>
        <v/>
      </c>
      <c r="BM322" s="47" t="str">
        <f t="shared" si="116"/>
        <v/>
      </c>
      <c r="BN322" s="47" t="str">
        <f t="shared" si="117"/>
        <v/>
      </c>
      <c r="BO322" s="47" t="str">
        <f t="shared" si="118"/>
        <v/>
      </c>
      <c r="BP322" s="47" t="str">
        <f t="shared" si="119"/>
        <v/>
      </c>
      <c r="BQ322" s="48" t="str">
        <f t="shared" si="120"/>
        <v/>
      </c>
      <c r="BR322" s="48" t="str">
        <f t="shared" si="121"/>
        <v/>
      </c>
      <c r="BS322" s="48" t="str">
        <f t="shared" si="122"/>
        <v/>
      </c>
      <c r="BT322" s="47" t="str">
        <f t="shared" si="123"/>
        <v/>
      </c>
      <c r="CA322" s="47" t="str">
        <f t="shared" si="124"/>
        <v/>
      </c>
      <c r="CB322" s="47" t="str">
        <f t="shared" si="125"/>
        <v/>
      </c>
      <c r="CC322" s="47" t="str">
        <f t="shared" si="126"/>
        <v/>
      </c>
      <c r="CD322" s="47" t="str">
        <f t="shared" si="127"/>
        <v/>
      </c>
      <c r="CE322" s="47" t="str">
        <f>IF(AH322="","",IF(OR(AI322&lt;&gt;'Seasonal Tercile Tally'!$B$3,AM322&lt;&gt;'Seasonal Tercile Tally'!$B$4),"Other site/ season",IF(DT322=0,"Excluded: duplicate (later row)",IF(N322&lt;&gt;1,"Excluded: not sighted",IF(AC322&lt;&gt;1,"Excluded: not confirmed",IF(AD322&lt;&gt;1,"Excluded: not approved",IF(AP322="Contested","Excluded: contested",IF(OR(U322="",U322=0),"Excluded: no tercile",IF(CB322="","Counted (simple tally only — no weight)","Counted")))))))))</f>
        <v/>
      </c>
      <c r="CF322" s="49" t="str">
        <f>IF(AH322="","",IFERROR(INDEX('Prior Multipliers'!$C$6:$C$70,MATCH(LEFT(AH322,10),'Prior Multipliers'!$A$6:$A$70,0)),IFERROR(INDEX('Prior Multipliers'!$C$6:$C$70,MATCH(LEFT(AH322,6),'Prior Multipliers'!$A$6:$A$70,0)),IFERROR(INDEX('Prior Multipliers'!$C$6:$C$70,MATCH(LEFT(AH322,2),'Prior Multipliers'!$A$6:$A$70,0)),1))))</f>
        <v/>
      </c>
      <c r="CG322" s="49" t="str">
        <f>IF(CB322="","",IF(AND('Seasonal Tercile Tally'!$B$5=1,BT322="Rating-based"),CB322*CF322,CB322))</f>
        <v/>
      </c>
      <c r="CH322" s="47">
        <f t="shared" si="128"/>
        <v>0</v>
      </c>
      <c r="CI322" s="45"/>
      <c r="CJ322" s="42" t="str">
        <f t="shared" si="129"/>
        <v/>
      </c>
      <c r="CM322" s="42" t="str">
        <f t="shared" si="130"/>
        <v/>
      </c>
      <c r="CP322" s="46" t="str">
        <f t="shared" si="131"/>
        <v/>
      </c>
      <c r="CS322" s="46" t="str">
        <f t="shared" si="132"/>
        <v/>
      </c>
      <c r="CT322" s="42" t="str">
        <f t="shared" si="133"/>
        <v/>
      </c>
      <c r="CU322" s="42" t="str">
        <f t="shared" si="134"/>
        <v/>
      </c>
      <c r="CV322" s="42" t="str">
        <f t="shared" si="135"/>
        <v/>
      </c>
      <c r="DB322" s="45"/>
      <c r="DH322" s="42" t="str">
        <f t="shared" si="136"/>
        <v/>
      </c>
      <c r="DI322" s="43" t="str">
        <f t="shared" si="137"/>
        <v/>
      </c>
      <c r="DK322" s="46" t="str">
        <f t="shared" si="138"/>
        <v/>
      </c>
      <c r="DQ322" s="42" t="str">
        <f>IF(AH322="","",IFERROR(ROUND(100*('Weighting Options'!$D$7*IF(ISNUMBER(CA322),CA322/3,0)+'Weighting Options'!$D$8*MIN(N(BL322),3)/3+'Weighting Options'!$D$9*IF(AP322="Community/Plenary-endorsed",1,IF(AP322="FGD-validated only",0.75,IF(AP322="Sub-community-specific",0.5,IF(AP322="Provisional/emerging",0.25,0))))+'Weighting Options'!$D$10*IF(ISNUMBER(K322),K322/3,0)+'Weighting Options'!$D$11*IF(CC322="",0.5,IF(CC322="OK",1,0.25))+'Weighting Options'!$D$12*IF(DK322="",0.5,IF(DK322="Agrees",1,IF(DK322="Opposite",0,0.5)))+'Weighting Options'!$D$13*MIN(N(BG322),3)/3+'Weighting Options'!$D$14*IF(AE322=1,1,0))/SUM('Weighting Options'!$D$7:$D$14),0),""))</f>
        <v/>
      </c>
      <c r="DR322" s="44" t="str">
        <f>IF(AH322="","",IFERROR(INDEX('Weighting Options'!$D$20:$D$27,VALUE(LEFT(TRIM(BU322),1))),1))</f>
        <v/>
      </c>
      <c r="DS322" s="44" t="str">
        <f t="shared" si="139"/>
        <v/>
      </c>
      <c r="DT322" s="42" t="str">
        <f>IF(AH322="","",IF(COUNTIFS($AH$12:AH322,AH322,$AI$12:AI322,AI322,$AM$12:AM322,AM322)=1,1,0))</f>
        <v/>
      </c>
    </row>
    <row r="323" spans="16:124" ht="12.75" customHeight="1" x14ac:dyDescent="0.35">
      <c r="P323" s="41"/>
      <c r="Q323" s="41"/>
      <c r="R323" s="41"/>
      <c r="S323" s="41"/>
      <c r="AH323" s="40"/>
      <c r="AP323" s="40"/>
      <c r="AS323" s="41"/>
      <c r="AT323" s="41"/>
      <c r="AW323" t="str">
        <f t="shared" si="112"/>
        <v/>
      </c>
      <c r="AX323" t="str">
        <f t="shared" si="113"/>
        <v/>
      </c>
      <c r="AY323" t="str">
        <f t="shared" si="114"/>
        <v/>
      </c>
      <c r="AZ323" s="40"/>
      <c r="BL323" s="47" t="str">
        <f t="shared" si="115"/>
        <v/>
      </c>
      <c r="BM323" s="47" t="str">
        <f t="shared" si="116"/>
        <v/>
      </c>
      <c r="BN323" s="47" t="str">
        <f t="shared" si="117"/>
        <v/>
      </c>
      <c r="BO323" s="47" t="str">
        <f t="shared" si="118"/>
        <v/>
      </c>
      <c r="BP323" s="47" t="str">
        <f t="shared" si="119"/>
        <v/>
      </c>
      <c r="BQ323" s="48" t="str">
        <f t="shared" si="120"/>
        <v/>
      </c>
      <c r="BR323" s="48" t="str">
        <f t="shared" si="121"/>
        <v/>
      </c>
      <c r="BS323" s="48" t="str">
        <f t="shared" si="122"/>
        <v/>
      </c>
      <c r="BT323" s="47" t="str">
        <f t="shared" si="123"/>
        <v/>
      </c>
      <c r="CA323" s="47" t="str">
        <f t="shared" si="124"/>
        <v/>
      </c>
      <c r="CB323" s="47" t="str">
        <f t="shared" si="125"/>
        <v/>
      </c>
      <c r="CC323" s="47" t="str">
        <f t="shared" si="126"/>
        <v/>
      </c>
      <c r="CD323" s="47" t="str">
        <f t="shared" si="127"/>
        <v/>
      </c>
      <c r="CE323" s="47" t="str">
        <f>IF(AH323="","",IF(OR(AI323&lt;&gt;'Seasonal Tercile Tally'!$B$3,AM323&lt;&gt;'Seasonal Tercile Tally'!$B$4),"Other site/ season",IF(DT323=0,"Excluded: duplicate (later row)",IF(N323&lt;&gt;1,"Excluded: not sighted",IF(AC323&lt;&gt;1,"Excluded: not confirmed",IF(AD323&lt;&gt;1,"Excluded: not approved",IF(AP323="Contested","Excluded: contested",IF(OR(U323="",U323=0),"Excluded: no tercile",IF(CB323="","Counted (simple tally only — no weight)","Counted")))))))))</f>
        <v/>
      </c>
      <c r="CF323" s="49" t="str">
        <f>IF(AH323="","",IFERROR(INDEX('Prior Multipliers'!$C$6:$C$70,MATCH(LEFT(AH323,10),'Prior Multipliers'!$A$6:$A$70,0)),IFERROR(INDEX('Prior Multipliers'!$C$6:$C$70,MATCH(LEFT(AH323,6),'Prior Multipliers'!$A$6:$A$70,0)),IFERROR(INDEX('Prior Multipliers'!$C$6:$C$70,MATCH(LEFT(AH323,2),'Prior Multipliers'!$A$6:$A$70,0)),1))))</f>
        <v/>
      </c>
      <c r="CG323" s="49" t="str">
        <f>IF(CB323="","",IF(AND('Seasonal Tercile Tally'!$B$5=1,BT323="Rating-based"),CB323*CF323,CB323))</f>
        <v/>
      </c>
      <c r="CH323" s="47">
        <f t="shared" si="128"/>
        <v>0</v>
      </c>
      <c r="CI323" s="45"/>
      <c r="CJ323" s="42" t="str">
        <f t="shared" si="129"/>
        <v/>
      </c>
      <c r="CM323" s="42" t="str">
        <f t="shared" si="130"/>
        <v/>
      </c>
      <c r="CP323" s="46" t="str">
        <f t="shared" si="131"/>
        <v/>
      </c>
      <c r="CS323" s="46" t="str">
        <f t="shared" si="132"/>
        <v/>
      </c>
      <c r="CT323" s="42" t="str">
        <f t="shared" si="133"/>
        <v/>
      </c>
      <c r="CU323" s="42" t="str">
        <f t="shared" si="134"/>
        <v/>
      </c>
      <c r="CV323" s="42" t="str">
        <f t="shared" si="135"/>
        <v/>
      </c>
      <c r="DB323" s="45"/>
      <c r="DH323" s="42" t="str">
        <f t="shared" si="136"/>
        <v/>
      </c>
      <c r="DI323" s="43" t="str">
        <f t="shared" si="137"/>
        <v/>
      </c>
      <c r="DK323" s="46" t="str">
        <f t="shared" si="138"/>
        <v/>
      </c>
      <c r="DQ323" s="42" t="str">
        <f>IF(AH323="","",IFERROR(ROUND(100*('Weighting Options'!$D$7*IF(ISNUMBER(CA323),CA323/3,0)+'Weighting Options'!$D$8*MIN(N(BL323),3)/3+'Weighting Options'!$D$9*IF(AP323="Community/Plenary-endorsed",1,IF(AP323="FGD-validated only",0.75,IF(AP323="Sub-community-specific",0.5,IF(AP323="Provisional/emerging",0.25,0))))+'Weighting Options'!$D$10*IF(ISNUMBER(K323),K323/3,0)+'Weighting Options'!$D$11*IF(CC323="",0.5,IF(CC323="OK",1,0.25))+'Weighting Options'!$D$12*IF(DK323="",0.5,IF(DK323="Agrees",1,IF(DK323="Opposite",0,0.5)))+'Weighting Options'!$D$13*MIN(N(BG323),3)/3+'Weighting Options'!$D$14*IF(AE323=1,1,0))/SUM('Weighting Options'!$D$7:$D$14),0),""))</f>
        <v/>
      </c>
      <c r="DR323" s="44" t="str">
        <f>IF(AH323="","",IFERROR(INDEX('Weighting Options'!$D$20:$D$27,VALUE(LEFT(TRIM(BU323),1))),1))</f>
        <v/>
      </c>
      <c r="DS323" s="44" t="str">
        <f t="shared" si="139"/>
        <v/>
      </c>
      <c r="DT323" s="42" t="str">
        <f>IF(AH323="","",IF(COUNTIFS($AH$12:AH323,AH323,$AI$12:AI323,AI323,$AM$12:AM323,AM323)=1,1,0))</f>
        <v/>
      </c>
    </row>
    <row r="324" spans="16:124" ht="12.75" customHeight="1" x14ac:dyDescent="0.35">
      <c r="P324" s="41"/>
      <c r="Q324" s="41"/>
      <c r="R324" s="41"/>
      <c r="S324" s="41"/>
      <c r="AH324" s="40"/>
      <c r="AP324" s="40"/>
      <c r="AS324" s="41"/>
      <c r="AT324" s="41"/>
      <c r="AW324" t="str">
        <f t="shared" si="112"/>
        <v/>
      </c>
      <c r="AX324" t="str">
        <f t="shared" si="113"/>
        <v/>
      </c>
      <c r="AY324" t="str">
        <f t="shared" si="114"/>
        <v/>
      </c>
      <c r="AZ324" s="40"/>
      <c r="BL324" s="47" t="str">
        <f t="shared" si="115"/>
        <v/>
      </c>
      <c r="BM324" s="47" t="str">
        <f t="shared" si="116"/>
        <v/>
      </c>
      <c r="BN324" s="47" t="str">
        <f t="shared" si="117"/>
        <v/>
      </c>
      <c r="BO324" s="47" t="str">
        <f t="shared" si="118"/>
        <v/>
      </c>
      <c r="BP324" s="47" t="str">
        <f t="shared" si="119"/>
        <v/>
      </c>
      <c r="BQ324" s="48" t="str">
        <f t="shared" si="120"/>
        <v/>
      </c>
      <c r="BR324" s="48" t="str">
        <f t="shared" si="121"/>
        <v/>
      </c>
      <c r="BS324" s="48" t="str">
        <f t="shared" si="122"/>
        <v/>
      </c>
      <c r="BT324" s="47" t="str">
        <f t="shared" si="123"/>
        <v/>
      </c>
      <c r="CA324" s="47" t="str">
        <f t="shared" si="124"/>
        <v/>
      </c>
      <c r="CB324" s="47" t="str">
        <f t="shared" si="125"/>
        <v/>
      </c>
      <c r="CC324" s="47" t="str">
        <f t="shared" si="126"/>
        <v/>
      </c>
      <c r="CD324" s="47" t="str">
        <f t="shared" si="127"/>
        <v/>
      </c>
      <c r="CE324" s="47" t="str">
        <f>IF(AH324="","",IF(OR(AI324&lt;&gt;'Seasonal Tercile Tally'!$B$3,AM324&lt;&gt;'Seasonal Tercile Tally'!$B$4),"Other site/ season",IF(DT324=0,"Excluded: duplicate (later row)",IF(N324&lt;&gt;1,"Excluded: not sighted",IF(AC324&lt;&gt;1,"Excluded: not confirmed",IF(AD324&lt;&gt;1,"Excluded: not approved",IF(AP324="Contested","Excluded: contested",IF(OR(U324="",U324=0),"Excluded: no tercile",IF(CB324="","Counted (simple tally only — no weight)","Counted")))))))))</f>
        <v/>
      </c>
      <c r="CF324" s="49" t="str">
        <f>IF(AH324="","",IFERROR(INDEX('Prior Multipliers'!$C$6:$C$70,MATCH(LEFT(AH324,10),'Prior Multipliers'!$A$6:$A$70,0)),IFERROR(INDEX('Prior Multipliers'!$C$6:$C$70,MATCH(LEFT(AH324,6),'Prior Multipliers'!$A$6:$A$70,0)),IFERROR(INDEX('Prior Multipliers'!$C$6:$C$70,MATCH(LEFT(AH324,2),'Prior Multipliers'!$A$6:$A$70,0)),1))))</f>
        <v/>
      </c>
      <c r="CG324" s="49" t="str">
        <f>IF(CB324="","",IF(AND('Seasonal Tercile Tally'!$B$5=1,BT324="Rating-based"),CB324*CF324,CB324))</f>
        <v/>
      </c>
      <c r="CH324" s="47">
        <f t="shared" si="128"/>
        <v>0</v>
      </c>
      <c r="CI324" s="45"/>
      <c r="CJ324" s="42" t="str">
        <f t="shared" si="129"/>
        <v/>
      </c>
      <c r="CM324" s="42" t="str">
        <f t="shared" si="130"/>
        <v/>
      </c>
      <c r="CP324" s="46" t="str">
        <f t="shared" si="131"/>
        <v/>
      </c>
      <c r="CS324" s="46" t="str">
        <f t="shared" si="132"/>
        <v/>
      </c>
      <c r="CT324" s="42" t="str">
        <f t="shared" si="133"/>
        <v/>
      </c>
      <c r="CU324" s="42" t="str">
        <f t="shared" si="134"/>
        <v/>
      </c>
      <c r="CV324" s="42" t="str">
        <f t="shared" si="135"/>
        <v/>
      </c>
      <c r="DB324" s="45"/>
      <c r="DH324" s="42" t="str">
        <f t="shared" si="136"/>
        <v/>
      </c>
      <c r="DI324" s="43" t="str">
        <f t="shared" si="137"/>
        <v/>
      </c>
      <c r="DK324" s="46" t="str">
        <f t="shared" si="138"/>
        <v/>
      </c>
      <c r="DQ324" s="42" t="str">
        <f>IF(AH324="","",IFERROR(ROUND(100*('Weighting Options'!$D$7*IF(ISNUMBER(CA324),CA324/3,0)+'Weighting Options'!$D$8*MIN(N(BL324),3)/3+'Weighting Options'!$D$9*IF(AP324="Community/Plenary-endorsed",1,IF(AP324="FGD-validated only",0.75,IF(AP324="Sub-community-specific",0.5,IF(AP324="Provisional/emerging",0.25,0))))+'Weighting Options'!$D$10*IF(ISNUMBER(K324),K324/3,0)+'Weighting Options'!$D$11*IF(CC324="",0.5,IF(CC324="OK",1,0.25))+'Weighting Options'!$D$12*IF(DK324="",0.5,IF(DK324="Agrees",1,IF(DK324="Opposite",0,0.5)))+'Weighting Options'!$D$13*MIN(N(BG324),3)/3+'Weighting Options'!$D$14*IF(AE324=1,1,0))/SUM('Weighting Options'!$D$7:$D$14),0),""))</f>
        <v/>
      </c>
      <c r="DR324" s="44" t="str">
        <f>IF(AH324="","",IFERROR(INDEX('Weighting Options'!$D$20:$D$27,VALUE(LEFT(TRIM(BU324),1))),1))</f>
        <v/>
      </c>
      <c r="DS324" s="44" t="str">
        <f t="shared" si="139"/>
        <v/>
      </c>
      <c r="DT324" s="42" t="str">
        <f>IF(AH324="","",IF(COUNTIFS($AH$12:AH324,AH324,$AI$12:AI324,AI324,$AM$12:AM324,AM324)=1,1,0))</f>
        <v/>
      </c>
    </row>
    <row r="325" spans="16:124" ht="12.75" customHeight="1" x14ac:dyDescent="0.35">
      <c r="P325" s="41"/>
      <c r="Q325" s="41"/>
      <c r="R325" s="41"/>
      <c r="S325" s="41"/>
      <c r="AH325" s="40"/>
      <c r="AP325" s="40"/>
      <c r="AS325" s="41"/>
      <c r="AT325" s="41"/>
      <c r="AW325" t="str">
        <f t="shared" si="112"/>
        <v/>
      </c>
      <c r="AX325" t="str">
        <f t="shared" si="113"/>
        <v/>
      </c>
      <c r="AY325" t="str">
        <f t="shared" si="114"/>
        <v/>
      </c>
      <c r="AZ325" s="40"/>
      <c r="BL325" s="47" t="str">
        <f t="shared" si="115"/>
        <v/>
      </c>
      <c r="BM325" s="47" t="str">
        <f t="shared" si="116"/>
        <v/>
      </c>
      <c r="BN325" s="47" t="str">
        <f t="shared" si="117"/>
        <v/>
      </c>
      <c r="BO325" s="47" t="str">
        <f t="shared" si="118"/>
        <v/>
      </c>
      <c r="BP325" s="47" t="str">
        <f t="shared" si="119"/>
        <v/>
      </c>
      <c r="BQ325" s="48" t="str">
        <f t="shared" si="120"/>
        <v/>
      </c>
      <c r="BR325" s="48" t="str">
        <f t="shared" si="121"/>
        <v/>
      </c>
      <c r="BS325" s="48" t="str">
        <f t="shared" si="122"/>
        <v/>
      </c>
      <c r="BT325" s="47" t="str">
        <f t="shared" si="123"/>
        <v/>
      </c>
      <c r="CA325" s="47" t="str">
        <f t="shared" si="124"/>
        <v/>
      </c>
      <c r="CB325" s="47" t="str">
        <f t="shared" si="125"/>
        <v/>
      </c>
      <c r="CC325" s="47" t="str">
        <f t="shared" si="126"/>
        <v/>
      </c>
      <c r="CD325" s="47" t="str">
        <f t="shared" si="127"/>
        <v/>
      </c>
      <c r="CE325" s="47" t="str">
        <f>IF(AH325="","",IF(OR(AI325&lt;&gt;'Seasonal Tercile Tally'!$B$3,AM325&lt;&gt;'Seasonal Tercile Tally'!$B$4),"Other site/ season",IF(DT325=0,"Excluded: duplicate (later row)",IF(N325&lt;&gt;1,"Excluded: not sighted",IF(AC325&lt;&gt;1,"Excluded: not confirmed",IF(AD325&lt;&gt;1,"Excluded: not approved",IF(AP325="Contested","Excluded: contested",IF(OR(U325="",U325=0),"Excluded: no tercile",IF(CB325="","Counted (simple tally only — no weight)","Counted")))))))))</f>
        <v/>
      </c>
      <c r="CF325" s="49" t="str">
        <f>IF(AH325="","",IFERROR(INDEX('Prior Multipliers'!$C$6:$C$70,MATCH(LEFT(AH325,10),'Prior Multipliers'!$A$6:$A$70,0)),IFERROR(INDEX('Prior Multipliers'!$C$6:$C$70,MATCH(LEFT(AH325,6),'Prior Multipliers'!$A$6:$A$70,0)),IFERROR(INDEX('Prior Multipliers'!$C$6:$C$70,MATCH(LEFT(AH325,2),'Prior Multipliers'!$A$6:$A$70,0)),1))))</f>
        <v/>
      </c>
      <c r="CG325" s="49" t="str">
        <f>IF(CB325="","",IF(AND('Seasonal Tercile Tally'!$B$5=1,BT325="Rating-based"),CB325*CF325,CB325))</f>
        <v/>
      </c>
      <c r="CH325" s="47">
        <f t="shared" si="128"/>
        <v>0</v>
      </c>
      <c r="CI325" s="45"/>
      <c r="CJ325" s="42" t="str">
        <f t="shared" si="129"/>
        <v/>
      </c>
      <c r="CM325" s="42" t="str">
        <f t="shared" si="130"/>
        <v/>
      </c>
      <c r="CP325" s="46" t="str">
        <f t="shared" si="131"/>
        <v/>
      </c>
      <c r="CS325" s="46" t="str">
        <f t="shared" si="132"/>
        <v/>
      </c>
      <c r="CT325" s="42" t="str">
        <f t="shared" si="133"/>
        <v/>
      </c>
      <c r="CU325" s="42" t="str">
        <f t="shared" si="134"/>
        <v/>
      </c>
      <c r="CV325" s="42" t="str">
        <f t="shared" si="135"/>
        <v/>
      </c>
      <c r="DB325" s="45"/>
      <c r="DH325" s="42" t="str">
        <f t="shared" si="136"/>
        <v/>
      </c>
      <c r="DI325" s="43" t="str">
        <f t="shared" si="137"/>
        <v/>
      </c>
      <c r="DK325" s="46" t="str">
        <f t="shared" si="138"/>
        <v/>
      </c>
      <c r="DQ325" s="42" t="str">
        <f>IF(AH325="","",IFERROR(ROUND(100*('Weighting Options'!$D$7*IF(ISNUMBER(CA325),CA325/3,0)+'Weighting Options'!$D$8*MIN(N(BL325),3)/3+'Weighting Options'!$D$9*IF(AP325="Community/Plenary-endorsed",1,IF(AP325="FGD-validated only",0.75,IF(AP325="Sub-community-specific",0.5,IF(AP325="Provisional/emerging",0.25,0))))+'Weighting Options'!$D$10*IF(ISNUMBER(K325),K325/3,0)+'Weighting Options'!$D$11*IF(CC325="",0.5,IF(CC325="OK",1,0.25))+'Weighting Options'!$D$12*IF(DK325="",0.5,IF(DK325="Agrees",1,IF(DK325="Opposite",0,0.5)))+'Weighting Options'!$D$13*MIN(N(BG325),3)/3+'Weighting Options'!$D$14*IF(AE325=1,1,0))/SUM('Weighting Options'!$D$7:$D$14),0),""))</f>
        <v/>
      </c>
      <c r="DR325" s="44" t="str">
        <f>IF(AH325="","",IFERROR(INDEX('Weighting Options'!$D$20:$D$27,VALUE(LEFT(TRIM(BU325),1))),1))</f>
        <v/>
      </c>
      <c r="DS325" s="44" t="str">
        <f t="shared" si="139"/>
        <v/>
      </c>
      <c r="DT325" s="42" t="str">
        <f>IF(AH325="","",IF(COUNTIFS($AH$12:AH325,AH325,$AI$12:AI325,AI325,$AM$12:AM325,AM325)=1,1,0))</f>
        <v/>
      </c>
    </row>
    <row r="326" spans="16:124" ht="12.75" customHeight="1" x14ac:dyDescent="0.35">
      <c r="P326" s="41"/>
      <c r="Q326" s="41"/>
      <c r="R326" s="41"/>
      <c r="S326" s="41"/>
      <c r="AH326" s="40"/>
      <c r="AP326" s="40"/>
      <c r="AS326" s="41"/>
      <c r="AT326" s="41"/>
      <c r="AW326" t="str">
        <f t="shared" si="112"/>
        <v/>
      </c>
      <c r="AX326" t="str">
        <f t="shared" si="113"/>
        <v/>
      </c>
      <c r="AY326" t="str">
        <f t="shared" si="114"/>
        <v/>
      </c>
      <c r="AZ326" s="40"/>
      <c r="BL326" s="47" t="str">
        <f t="shared" si="115"/>
        <v/>
      </c>
      <c r="BM326" s="47" t="str">
        <f t="shared" si="116"/>
        <v/>
      </c>
      <c r="BN326" s="47" t="str">
        <f t="shared" si="117"/>
        <v/>
      </c>
      <c r="BO326" s="47" t="str">
        <f t="shared" si="118"/>
        <v/>
      </c>
      <c r="BP326" s="47" t="str">
        <f t="shared" si="119"/>
        <v/>
      </c>
      <c r="BQ326" s="48" t="str">
        <f t="shared" si="120"/>
        <v/>
      </c>
      <c r="BR326" s="48" t="str">
        <f t="shared" si="121"/>
        <v/>
      </c>
      <c r="BS326" s="48" t="str">
        <f t="shared" si="122"/>
        <v/>
      </c>
      <c r="BT326" s="47" t="str">
        <f t="shared" si="123"/>
        <v/>
      </c>
      <c r="CA326" s="47" t="str">
        <f t="shared" si="124"/>
        <v/>
      </c>
      <c r="CB326" s="47" t="str">
        <f t="shared" si="125"/>
        <v/>
      </c>
      <c r="CC326" s="47" t="str">
        <f t="shared" si="126"/>
        <v/>
      </c>
      <c r="CD326" s="47" t="str">
        <f t="shared" si="127"/>
        <v/>
      </c>
      <c r="CE326" s="47" t="str">
        <f>IF(AH326="","",IF(OR(AI326&lt;&gt;'Seasonal Tercile Tally'!$B$3,AM326&lt;&gt;'Seasonal Tercile Tally'!$B$4),"Other site/ season",IF(DT326=0,"Excluded: duplicate (later row)",IF(N326&lt;&gt;1,"Excluded: not sighted",IF(AC326&lt;&gt;1,"Excluded: not confirmed",IF(AD326&lt;&gt;1,"Excluded: not approved",IF(AP326="Contested","Excluded: contested",IF(OR(U326="",U326=0),"Excluded: no tercile",IF(CB326="","Counted (simple tally only — no weight)","Counted")))))))))</f>
        <v/>
      </c>
      <c r="CF326" s="49" t="str">
        <f>IF(AH326="","",IFERROR(INDEX('Prior Multipliers'!$C$6:$C$70,MATCH(LEFT(AH326,10),'Prior Multipliers'!$A$6:$A$70,0)),IFERROR(INDEX('Prior Multipliers'!$C$6:$C$70,MATCH(LEFT(AH326,6),'Prior Multipliers'!$A$6:$A$70,0)),IFERROR(INDEX('Prior Multipliers'!$C$6:$C$70,MATCH(LEFT(AH326,2),'Prior Multipliers'!$A$6:$A$70,0)),1))))</f>
        <v/>
      </c>
      <c r="CG326" s="49" t="str">
        <f>IF(CB326="","",IF(AND('Seasonal Tercile Tally'!$B$5=1,BT326="Rating-based"),CB326*CF326,CB326))</f>
        <v/>
      </c>
      <c r="CH326" s="47">
        <f t="shared" si="128"/>
        <v>0</v>
      </c>
      <c r="CI326" s="45"/>
      <c r="CJ326" s="42" t="str">
        <f t="shared" si="129"/>
        <v/>
      </c>
      <c r="CM326" s="42" t="str">
        <f t="shared" si="130"/>
        <v/>
      </c>
      <c r="CP326" s="46" t="str">
        <f t="shared" si="131"/>
        <v/>
      </c>
      <c r="CS326" s="46" t="str">
        <f t="shared" si="132"/>
        <v/>
      </c>
      <c r="CT326" s="42" t="str">
        <f t="shared" si="133"/>
        <v/>
      </c>
      <c r="CU326" s="42" t="str">
        <f t="shared" si="134"/>
        <v/>
      </c>
      <c r="CV326" s="42" t="str">
        <f t="shared" si="135"/>
        <v/>
      </c>
      <c r="DB326" s="45"/>
      <c r="DH326" s="42" t="str">
        <f t="shared" si="136"/>
        <v/>
      </c>
      <c r="DI326" s="43" t="str">
        <f t="shared" si="137"/>
        <v/>
      </c>
      <c r="DK326" s="46" t="str">
        <f t="shared" si="138"/>
        <v/>
      </c>
      <c r="DQ326" s="42" t="str">
        <f>IF(AH326="","",IFERROR(ROUND(100*('Weighting Options'!$D$7*IF(ISNUMBER(CA326),CA326/3,0)+'Weighting Options'!$D$8*MIN(N(BL326),3)/3+'Weighting Options'!$D$9*IF(AP326="Community/Plenary-endorsed",1,IF(AP326="FGD-validated only",0.75,IF(AP326="Sub-community-specific",0.5,IF(AP326="Provisional/emerging",0.25,0))))+'Weighting Options'!$D$10*IF(ISNUMBER(K326),K326/3,0)+'Weighting Options'!$D$11*IF(CC326="",0.5,IF(CC326="OK",1,0.25))+'Weighting Options'!$D$12*IF(DK326="",0.5,IF(DK326="Agrees",1,IF(DK326="Opposite",0,0.5)))+'Weighting Options'!$D$13*MIN(N(BG326),3)/3+'Weighting Options'!$D$14*IF(AE326=1,1,0))/SUM('Weighting Options'!$D$7:$D$14),0),""))</f>
        <v/>
      </c>
      <c r="DR326" s="44" t="str">
        <f>IF(AH326="","",IFERROR(INDEX('Weighting Options'!$D$20:$D$27,VALUE(LEFT(TRIM(BU326),1))),1))</f>
        <v/>
      </c>
      <c r="DS326" s="44" t="str">
        <f t="shared" si="139"/>
        <v/>
      </c>
      <c r="DT326" s="42" t="str">
        <f>IF(AH326="","",IF(COUNTIFS($AH$12:AH326,AH326,$AI$12:AI326,AI326,$AM$12:AM326,AM326)=1,1,0))</f>
        <v/>
      </c>
    </row>
    <row r="327" spans="16:124" ht="12.75" customHeight="1" x14ac:dyDescent="0.35">
      <c r="P327" s="41"/>
      <c r="Q327" s="41"/>
      <c r="R327" s="41"/>
      <c r="S327" s="41"/>
      <c r="AH327" s="40"/>
      <c r="AP327" s="40"/>
      <c r="AS327" s="41"/>
      <c r="AT327" s="41"/>
      <c r="AW327" t="str">
        <f t="shared" si="112"/>
        <v/>
      </c>
      <c r="AX327" t="str">
        <f t="shared" si="113"/>
        <v/>
      </c>
      <c r="AY327" t="str">
        <f t="shared" si="114"/>
        <v/>
      </c>
      <c r="AZ327" s="40"/>
      <c r="BL327" s="47" t="str">
        <f t="shared" si="115"/>
        <v/>
      </c>
      <c r="BM327" s="47" t="str">
        <f t="shared" si="116"/>
        <v/>
      </c>
      <c r="BN327" s="47" t="str">
        <f t="shared" si="117"/>
        <v/>
      </c>
      <c r="BO327" s="47" t="str">
        <f t="shared" si="118"/>
        <v/>
      </c>
      <c r="BP327" s="47" t="str">
        <f t="shared" si="119"/>
        <v/>
      </c>
      <c r="BQ327" s="48" t="str">
        <f t="shared" si="120"/>
        <v/>
      </c>
      <c r="BR327" s="48" t="str">
        <f t="shared" si="121"/>
        <v/>
      </c>
      <c r="BS327" s="48" t="str">
        <f t="shared" si="122"/>
        <v/>
      </c>
      <c r="BT327" s="47" t="str">
        <f t="shared" si="123"/>
        <v/>
      </c>
      <c r="CA327" s="47" t="str">
        <f t="shared" si="124"/>
        <v/>
      </c>
      <c r="CB327" s="47" t="str">
        <f t="shared" si="125"/>
        <v/>
      </c>
      <c r="CC327" s="47" t="str">
        <f t="shared" si="126"/>
        <v/>
      </c>
      <c r="CD327" s="47" t="str">
        <f t="shared" si="127"/>
        <v/>
      </c>
      <c r="CE327" s="47" t="str">
        <f>IF(AH327="","",IF(OR(AI327&lt;&gt;'Seasonal Tercile Tally'!$B$3,AM327&lt;&gt;'Seasonal Tercile Tally'!$B$4),"Other site/ season",IF(DT327=0,"Excluded: duplicate (later row)",IF(N327&lt;&gt;1,"Excluded: not sighted",IF(AC327&lt;&gt;1,"Excluded: not confirmed",IF(AD327&lt;&gt;1,"Excluded: not approved",IF(AP327="Contested","Excluded: contested",IF(OR(U327="",U327=0),"Excluded: no tercile",IF(CB327="","Counted (simple tally only — no weight)","Counted")))))))))</f>
        <v/>
      </c>
      <c r="CF327" s="49" t="str">
        <f>IF(AH327="","",IFERROR(INDEX('Prior Multipliers'!$C$6:$C$70,MATCH(LEFT(AH327,10),'Prior Multipliers'!$A$6:$A$70,0)),IFERROR(INDEX('Prior Multipliers'!$C$6:$C$70,MATCH(LEFT(AH327,6),'Prior Multipliers'!$A$6:$A$70,0)),IFERROR(INDEX('Prior Multipliers'!$C$6:$C$70,MATCH(LEFT(AH327,2),'Prior Multipliers'!$A$6:$A$70,0)),1))))</f>
        <v/>
      </c>
      <c r="CG327" s="49" t="str">
        <f>IF(CB327="","",IF(AND('Seasonal Tercile Tally'!$B$5=1,BT327="Rating-based"),CB327*CF327,CB327))</f>
        <v/>
      </c>
      <c r="CH327" s="47">
        <f t="shared" si="128"/>
        <v>0</v>
      </c>
      <c r="CI327" s="45"/>
      <c r="CJ327" s="42" t="str">
        <f t="shared" si="129"/>
        <v/>
      </c>
      <c r="CM327" s="42" t="str">
        <f t="shared" si="130"/>
        <v/>
      </c>
      <c r="CP327" s="46" t="str">
        <f t="shared" si="131"/>
        <v/>
      </c>
      <c r="CS327" s="46" t="str">
        <f t="shared" si="132"/>
        <v/>
      </c>
      <c r="CT327" s="42" t="str">
        <f t="shared" si="133"/>
        <v/>
      </c>
      <c r="CU327" s="42" t="str">
        <f t="shared" si="134"/>
        <v/>
      </c>
      <c r="CV327" s="42" t="str">
        <f t="shared" si="135"/>
        <v/>
      </c>
      <c r="DB327" s="45"/>
      <c r="DH327" s="42" t="str">
        <f t="shared" si="136"/>
        <v/>
      </c>
      <c r="DI327" s="43" t="str">
        <f t="shared" si="137"/>
        <v/>
      </c>
      <c r="DK327" s="46" t="str">
        <f t="shared" si="138"/>
        <v/>
      </c>
      <c r="DQ327" s="42" t="str">
        <f>IF(AH327="","",IFERROR(ROUND(100*('Weighting Options'!$D$7*IF(ISNUMBER(CA327),CA327/3,0)+'Weighting Options'!$D$8*MIN(N(BL327),3)/3+'Weighting Options'!$D$9*IF(AP327="Community/Plenary-endorsed",1,IF(AP327="FGD-validated only",0.75,IF(AP327="Sub-community-specific",0.5,IF(AP327="Provisional/emerging",0.25,0))))+'Weighting Options'!$D$10*IF(ISNUMBER(K327),K327/3,0)+'Weighting Options'!$D$11*IF(CC327="",0.5,IF(CC327="OK",1,0.25))+'Weighting Options'!$D$12*IF(DK327="",0.5,IF(DK327="Agrees",1,IF(DK327="Opposite",0,0.5)))+'Weighting Options'!$D$13*MIN(N(BG327),3)/3+'Weighting Options'!$D$14*IF(AE327=1,1,0))/SUM('Weighting Options'!$D$7:$D$14),0),""))</f>
        <v/>
      </c>
      <c r="DR327" s="44" t="str">
        <f>IF(AH327="","",IFERROR(INDEX('Weighting Options'!$D$20:$D$27,VALUE(LEFT(TRIM(BU327),1))),1))</f>
        <v/>
      </c>
      <c r="DS327" s="44" t="str">
        <f t="shared" si="139"/>
        <v/>
      </c>
      <c r="DT327" s="42" t="str">
        <f>IF(AH327="","",IF(COUNTIFS($AH$12:AH327,AH327,$AI$12:AI327,AI327,$AM$12:AM327,AM327)=1,1,0))</f>
        <v/>
      </c>
    </row>
    <row r="328" spans="16:124" ht="12.75" customHeight="1" x14ac:dyDescent="0.35">
      <c r="P328" s="41"/>
      <c r="Q328" s="41"/>
      <c r="R328" s="41"/>
      <c r="S328" s="41"/>
      <c r="AH328" s="40"/>
      <c r="AP328" s="40"/>
      <c r="AS328" s="41"/>
      <c r="AT328" s="41"/>
      <c r="AW328" t="str">
        <f t="shared" si="112"/>
        <v/>
      </c>
      <c r="AX328" t="str">
        <f t="shared" si="113"/>
        <v/>
      </c>
      <c r="AY328" t="str">
        <f t="shared" si="114"/>
        <v/>
      </c>
      <c r="AZ328" s="40"/>
      <c r="BL328" s="47" t="str">
        <f t="shared" si="115"/>
        <v/>
      </c>
      <c r="BM328" s="47" t="str">
        <f t="shared" si="116"/>
        <v/>
      </c>
      <c r="BN328" s="47" t="str">
        <f t="shared" si="117"/>
        <v/>
      </c>
      <c r="BO328" s="47" t="str">
        <f t="shared" si="118"/>
        <v/>
      </c>
      <c r="BP328" s="47" t="str">
        <f t="shared" si="119"/>
        <v/>
      </c>
      <c r="BQ328" s="48" t="str">
        <f t="shared" si="120"/>
        <v/>
      </c>
      <c r="BR328" s="48" t="str">
        <f t="shared" si="121"/>
        <v/>
      </c>
      <c r="BS328" s="48" t="str">
        <f t="shared" si="122"/>
        <v/>
      </c>
      <c r="BT328" s="47" t="str">
        <f t="shared" si="123"/>
        <v/>
      </c>
      <c r="CA328" s="47" t="str">
        <f t="shared" si="124"/>
        <v/>
      </c>
      <c r="CB328" s="47" t="str">
        <f t="shared" si="125"/>
        <v/>
      </c>
      <c r="CC328" s="47" t="str">
        <f t="shared" si="126"/>
        <v/>
      </c>
      <c r="CD328" s="47" t="str">
        <f t="shared" si="127"/>
        <v/>
      </c>
      <c r="CE328" s="47" t="str">
        <f>IF(AH328="","",IF(OR(AI328&lt;&gt;'Seasonal Tercile Tally'!$B$3,AM328&lt;&gt;'Seasonal Tercile Tally'!$B$4),"Other site/ season",IF(DT328=0,"Excluded: duplicate (later row)",IF(N328&lt;&gt;1,"Excluded: not sighted",IF(AC328&lt;&gt;1,"Excluded: not confirmed",IF(AD328&lt;&gt;1,"Excluded: not approved",IF(AP328="Contested","Excluded: contested",IF(OR(U328="",U328=0),"Excluded: no tercile",IF(CB328="","Counted (simple tally only — no weight)","Counted")))))))))</f>
        <v/>
      </c>
      <c r="CF328" s="49" t="str">
        <f>IF(AH328="","",IFERROR(INDEX('Prior Multipliers'!$C$6:$C$70,MATCH(LEFT(AH328,10),'Prior Multipliers'!$A$6:$A$70,0)),IFERROR(INDEX('Prior Multipliers'!$C$6:$C$70,MATCH(LEFT(AH328,6),'Prior Multipliers'!$A$6:$A$70,0)),IFERROR(INDEX('Prior Multipliers'!$C$6:$C$70,MATCH(LEFT(AH328,2),'Prior Multipliers'!$A$6:$A$70,0)),1))))</f>
        <v/>
      </c>
      <c r="CG328" s="49" t="str">
        <f>IF(CB328="","",IF(AND('Seasonal Tercile Tally'!$B$5=1,BT328="Rating-based"),CB328*CF328,CB328))</f>
        <v/>
      </c>
      <c r="CH328" s="47">
        <f t="shared" si="128"/>
        <v>0</v>
      </c>
      <c r="CI328" s="45"/>
      <c r="CJ328" s="42" t="str">
        <f t="shared" si="129"/>
        <v/>
      </c>
      <c r="CM328" s="42" t="str">
        <f t="shared" si="130"/>
        <v/>
      </c>
      <c r="CP328" s="46" t="str">
        <f t="shared" si="131"/>
        <v/>
      </c>
      <c r="CS328" s="46" t="str">
        <f t="shared" si="132"/>
        <v/>
      </c>
      <c r="CT328" s="42" t="str">
        <f t="shared" si="133"/>
        <v/>
      </c>
      <c r="CU328" s="42" t="str">
        <f t="shared" si="134"/>
        <v/>
      </c>
      <c r="CV328" s="42" t="str">
        <f t="shared" si="135"/>
        <v/>
      </c>
      <c r="DB328" s="45"/>
      <c r="DH328" s="42" t="str">
        <f t="shared" si="136"/>
        <v/>
      </c>
      <c r="DI328" s="43" t="str">
        <f t="shared" si="137"/>
        <v/>
      </c>
      <c r="DK328" s="46" t="str">
        <f t="shared" si="138"/>
        <v/>
      </c>
      <c r="DQ328" s="42" t="str">
        <f>IF(AH328="","",IFERROR(ROUND(100*('Weighting Options'!$D$7*IF(ISNUMBER(CA328),CA328/3,0)+'Weighting Options'!$D$8*MIN(N(BL328),3)/3+'Weighting Options'!$D$9*IF(AP328="Community/Plenary-endorsed",1,IF(AP328="FGD-validated only",0.75,IF(AP328="Sub-community-specific",0.5,IF(AP328="Provisional/emerging",0.25,0))))+'Weighting Options'!$D$10*IF(ISNUMBER(K328),K328/3,0)+'Weighting Options'!$D$11*IF(CC328="",0.5,IF(CC328="OK",1,0.25))+'Weighting Options'!$D$12*IF(DK328="",0.5,IF(DK328="Agrees",1,IF(DK328="Opposite",0,0.5)))+'Weighting Options'!$D$13*MIN(N(BG328),3)/3+'Weighting Options'!$D$14*IF(AE328=1,1,0))/SUM('Weighting Options'!$D$7:$D$14),0),""))</f>
        <v/>
      </c>
      <c r="DR328" s="44" t="str">
        <f>IF(AH328="","",IFERROR(INDEX('Weighting Options'!$D$20:$D$27,VALUE(LEFT(TRIM(BU328),1))),1))</f>
        <v/>
      </c>
      <c r="DS328" s="44" t="str">
        <f t="shared" si="139"/>
        <v/>
      </c>
      <c r="DT328" s="42" t="str">
        <f>IF(AH328="","",IF(COUNTIFS($AH$12:AH328,AH328,$AI$12:AI328,AI328,$AM$12:AM328,AM328)=1,1,0))</f>
        <v/>
      </c>
    </row>
    <row r="329" spans="16:124" ht="12.75" customHeight="1" x14ac:dyDescent="0.35">
      <c r="P329" s="41"/>
      <c r="Q329" s="41"/>
      <c r="R329" s="41"/>
      <c r="S329" s="41"/>
      <c r="AH329" s="40"/>
      <c r="AP329" s="40"/>
      <c r="AS329" s="41"/>
      <c r="AT329" s="41"/>
      <c r="AW329" t="str">
        <f t="shared" si="112"/>
        <v/>
      </c>
      <c r="AX329" t="str">
        <f t="shared" si="113"/>
        <v/>
      </c>
      <c r="AY329" t="str">
        <f t="shared" si="114"/>
        <v/>
      </c>
      <c r="AZ329" s="40"/>
      <c r="BL329" s="47" t="str">
        <f t="shared" si="115"/>
        <v/>
      </c>
      <c r="BM329" s="47" t="str">
        <f t="shared" si="116"/>
        <v/>
      </c>
      <c r="BN329" s="47" t="str">
        <f t="shared" si="117"/>
        <v/>
      </c>
      <c r="BO329" s="47" t="str">
        <f t="shared" si="118"/>
        <v/>
      </c>
      <c r="BP329" s="47" t="str">
        <f t="shared" si="119"/>
        <v/>
      </c>
      <c r="BQ329" s="48" t="str">
        <f t="shared" si="120"/>
        <v/>
      </c>
      <c r="BR329" s="48" t="str">
        <f t="shared" si="121"/>
        <v/>
      </c>
      <c r="BS329" s="48" t="str">
        <f t="shared" si="122"/>
        <v/>
      </c>
      <c r="BT329" s="47" t="str">
        <f t="shared" si="123"/>
        <v/>
      </c>
      <c r="CA329" s="47" t="str">
        <f t="shared" si="124"/>
        <v/>
      </c>
      <c r="CB329" s="47" t="str">
        <f t="shared" si="125"/>
        <v/>
      </c>
      <c r="CC329" s="47" t="str">
        <f t="shared" si="126"/>
        <v/>
      </c>
      <c r="CD329" s="47" t="str">
        <f t="shared" si="127"/>
        <v/>
      </c>
      <c r="CE329" s="47" t="str">
        <f>IF(AH329="","",IF(OR(AI329&lt;&gt;'Seasonal Tercile Tally'!$B$3,AM329&lt;&gt;'Seasonal Tercile Tally'!$B$4),"Other site/ season",IF(DT329=0,"Excluded: duplicate (later row)",IF(N329&lt;&gt;1,"Excluded: not sighted",IF(AC329&lt;&gt;1,"Excluded: not confirmed",IF(AD329&lt;&gt;1,"Excluded: not approved",IF(AP329="Contested","Excluded: contested",IF(OR(U329="",U329=0),"Excluded: no tercile",IF(CB329="","Counted (simple tally only — no weight)","Counted")))))))))</f>
        <v/>
      </c>
      <c r="CF329" s="49" t="str">
        <f>IF(AH329="","",IFERROR(INDEX('Prior Multipliers'!$C$6:$C$70,MATCH(LEFT(AH329,10),'Prior Multipliers'!$A$6:$A$70,0)),IFERROR(INDEX('Prior Multipliers'!$C$6:$C$70,MATCH(LEFT(AH329,6),'Prior Multipliers'!$A$6:$A$70,0)),IFERROR(INDEX('Prior Multipliers'!$C$6:$C$70,MATCH(LEFT(AH329,2),'Prior Multipliers'!$A$6:$A$70,0)),1))))</f>
        <v/>
      </c>
      <c r="CG329" s="49" t="str">
        <f>IF(CB329="","",IF(AND('Seasonal Tercile Tally'!$B$5=1,BT329="Rating-based"),CB329*CF329,CB329))</f>
        <v/>
      </c>
      <c r="CH329" s="47">
        <f t="shared" si="128"/>
        <v>0</v>
      </c>
      <c r="CI329" s="45"/>
      <c r="CJ329" s="42" t="str">
        <f t="shared" si="129"/>
        <v/>
      </c>
      <c r="CM329" s="42" t="str">
        <f t="shared" si="130"/>
        <v/>
      </c>
      <c r="CP329" s="46" t="str">
        <f t="shared" si="131"/>
        <v/>
      </c>
      <c r="CS329" s="46" t="str">
        <f t="shared" si="132"/>
        <v/>
      </c>
      <c r="CT329" s="42" t="str">
        <f t="shared" si="133"/>
        <v/>
      </c>
      <c r="CU329" s="42" t="str">
        <f t="shared" si="134"/>
        <v/>
      </c>
      <c r="CV329" s="42" t="str">
        <f t="shared" si="135"/>
        <v/>
      </c>
      <c r="DB329" s="45"/>
      <c r="DH329" s="42" t="str">
        <f t="shared" si="136"/>
        <v/>
      </c>
      <c r="DI329" s="43" t="str">
        <f t="shared" si="137"/>
        <v/>
      </c>
      <c r="DK329" s="46" t="str">
        <f t="shared" si="138"/>
        <v/>
      </c>
      <c r="DQ329" s="42" t="str">
        <f>IF(AH329="","",IFERROR(ROUND(100*('Weighting Options'!$D$7*IF(ISNUMBER(CA329),CA329/3,0)+'Weighting Options'!$D$8*MIN(N(BL329),3)/3+'Weighting Options'!$D$9*IF(AP329="Community/Plenary-endorsed",1,IF(AP329="FGD-validated only",0.75,IF(AP329="Sub-community-specific",0.5,IF(AP329="Provisional/emerging",0.25,0))))+'Weighting Options'!$D$10*IF(ISNUMBER(K329),K329/3,0)+'Weighting Options'!$D$11*IF(CC329="",0.5,IF(CC329="OK",1,0.25))+'Weighting Options'!$D$12*IF(DK329="",0.5,IF(DK329="Agrees",1,IF(DK329="Opposite",0,0.5)))+'Weighting Options'!$D$13*MIN(N(BG329),3)/3+'Weighting Options'!$D$14*IF(AE329=1,1,0))/SUM('Weighting Options'!$D$7:$D$14),0),""))</f>
        <v/>
      </c>
      <c r="DR329" s="44" t="str">
        <f>IF(AH329="","",IFERROR(INDEX('Weighting Options'!$D$20:$D$27,VALUE(LEFT(TRIM(BU329),1))),1))</f>
        <v/>
      </c>
      <c r="DS329" s="44" t="str">
        <f t="shared" si="139"/>
        <v/>
      </c>
      <c r="DT329" s="42" t="str">
        <f>IF(AH329="","",IF(COUNTIFS($AH$12:AH329,AH329,$AI$12:AI329,AI329,$AM$12:AM329,AM329)=1,1,0))</f>
        <v/>
      </c>
    </row>
    <row r="330" spans="16:124" ht="12.75" customHeight="1" x14ac:dyDescent="0.35">
      <c r="P330" s="41"/>
      <c r="Q330" s="41"/>
      <c r="R330" s="41"/>
      <c r="S330" s="41"/>
      <c r="AH330" s="40"/>
      <c r="AP330" s="40"/>
      <c r="AS330" s="41"/>
      <c r="AT330" s="41"/>
      <c r="AW330" t="str">
        <f t="shared" si="112"/>
        <v/>
      </c>
      <c r="AX330" t="str">
        <f t="shared" si="113"/>
        <v/>
      </c>
      <c r="AY330" t="str">
        <f t="shared" si="114"/>
        <v/>
      </c>
      <c r="AZ330" s="40"/>
      <c r="BL330" s="47" t="str">
        <f t="shared" si="115"/>
        <v/>
      </c>
      <c r="BM330" s="47" t="str">
        <f t="shared" si="116"/>
        <v/>
      </c>
      <c r="BN330" s="47" t="str">
        <f t="shared" si="117"/>
        <v/>
      </c>
      <c r="BO330" s="47" t="str">
        <f t="shared" si="118"/>
        <v/>
      </c>
      <c r="BP330" s="47" t="str">
        <f t="shared" si="119"/>
        <v/>
      </c>
      <c r="BQ330" s="48" t="str">
        <f t="shared" si="120"/>
        <v/>
      </c>
      <c r="BR330" s="48" t="str">
        <f t="shared" si="121"/>
        <v/>
      </c>
      <c r="BS330" s="48" t="str">
        <f t="shared" si="122"/>
        <v/>
      </c>
      <c r="BT330" s="47" t="str">
        <f t="shared" si="123"/>
        <v/>
      </c>
      <c r="CA330" s="47" t="str">
        <f t="shared" si="124"/>
        <v/>
      </c>
      <c r="CB330" s="47" t="str">
        <f t="shared" si="125"/>
        <v/>
      </c>
      <c r="CC330" s="47" t="str">
        <f t="shared" si="126"/>
        <v/>
      </c>
      <c r="CD330" s="47" t="str">
        <f t="shared" si="127"/>
        <v/>
      </c>
      <c r="CE330" s="47" t="str">
        <f>IF(AH330="","",IF(OR(AI330&lt;&gt;'Seasonal Tercile Tally'!$B$3,AM330&lt;&gt;'Seasonal Tercile Tally'!$B$4),"Other site/ season",IF(DT330=0,"Excluded: duplicate (later row)",IF(N330&lt;&gt;1,"Excluded: not sighted",IF(AC330&lt;&gt;1,"Excluded: not confirmed",IF(AD330&lt;&gt;1,"Excluded: not approved",IF(AP330="Contested","Excluded: contested",IF(OR(U330="",U330=0),"Excluded: no tercile",IF(CB330="","Counted (simple tally only — no weight)","Counted")))))))))</f>
        <v/>
      </c>
      <c r="CF330" s="49" t="str">
        <f>IF(AH330="","",IFERROR(INDEX('Prior Multipliers'!$C$6:$C$70,MATCH(LEFT(AH330,10),'Prior Multipliers'!$A$6:$A$70,0)),IFERROR(INDEX('Prior Multipliers'!$C$6:$C$70,MATCH(LEFT(AH330,6),'Prior Multipliers'!$A$6:$A$70,0)),IFERROR(INDEX('Prior Multipliers'!$C$6:$C$70,MATCH(LEFT(AH330,2),'Prior Multipliers'!$A$6:$A$70,0)),1))))</f>
        <v/>
      </c>
      <c r="CG330" s="49" t="str">
        <f>IF(CB330="","",IF(AND('Seasonal Tercile Tally'!$B$5=1,BT330="Rating-based"),CB330*CF330,CB330))</f>
        <v/>
      </c>
      <c r="CH330" s="47">
        <f t="shared" si="128"/>
        <v>0</v>
      </c>
      <c r="CI330" s="45"/>
      <c r="CJ330" s="42" t="str">
        <f t="shared" si="129"/>
        <v/>
      </c>
      <c r="CM330" s="42" t="str">
        <f t="shared" si="130"/>
        <v/>
      </c>
      <c r="CP330" s="46" t="str">
        <f t="shared" si="131"/>
        <v/>
      </c>
      <c r="CS330" s="46" t="str">
        <f t="shared" si="132"/>
        <v/>
      </c>
      <c r="CT330" s="42" t="str">
        <f t="shared" si="133"/>
        <v/>
      </c>
      <c r="CU330" s="42" t="str">
        <f t="shared" si="134"/>
        <v/>
      </c>
      <c r="CV330" s="42" t="str">
        <f t="shared" si="135"/>
        <v/>
      </c>
      <c r="DB330" s="45"/>
      <c r="DH330" s="42" t="str">
        <f t="shared" si="136"/>
        <v/>
      </c>
      <c r="DI330" s="43" t="str">
        <f t="shared" si="137"/>
        <v/>
      </c>
      <c r="DK330" s="46" t="str">
        <f t="shared" si="138"/>
        <v/>
      </c>
      <c r="DQ330" s="42" t="str">
        <f>IF(AH330="","",IFERROR(ROUND(100*('Weighting Options'!$D$7*IF(ISNUMBER(CA330),CA330/3,0)+'Weighting Options'!$D$8*MIN(N(BL330),3)/3+'Weighting Options'!$D$9*IF(AP330="Community/Plenary-endorsed",1,IF(AP330="FGD-validated only",0.75,IF(AP330="Sub-community-specific",0.5,IF(AP330="Provisional/emerging",0.25,0))))+'Weighting Options'!$D$10*IF(ISNUMBER(K330),K330/3,0)+'Weighting Options'!$D$11*IF(CC330="",0.5,IF(CC330="OK",1,0.25))+'Weighting Options'!$D$12*IF(DK330="",0.5,IF(DK330="Agrees",1,IF(DK330="Opposite",0,0.5)))+'Weighting Options'!$D$13*MIN(N(BG330),3)/3+'Weighting Options'!$D$14*IF(AE330=1,1,0))/SUM('Weighting Options'!$D$7:$D$14),0),""))</f>
        <v/>
      </c>
      <c r="DR330" s="44" t="str">
        <f>IF(AH330="","",IFERROR(INDEX('Weighting Options'!$D$20:$D$27,VALUE(LEFT(TRIM(BU330),1))),1))</f>
        <v/>
      </c>
      <c r="DS330" s="44" t="str">
        <f t="shared" si="139"/>
        <v/>
      </c>
      <c r="DT330" s="42" t="str">
        <f>IF(AH330="","",IF(COUNTIFS($AH$12:AH330,AH330,$AI$12:AI330,AI330,$AM$12:AM330,AM330)=1,1,0))</f>
        <v/>
      </c>
    </row>
    <row r="331" spans="16:124" ht="12.75" customHeight="1" x14ac:dyDescent="0.35">
      <c r="P331" s="41"/>
      <c r="Q331" s="41"/>
      <c r="R331" s="41"/>
      <c r="S331" s="41"/>
      <c r="AH331" s="40"/>
      <c r="AP331" s="40"/>
      <c r="AS331" s="41"/>
      <c r="AT331" s="41"/>
      <c r="AW331" t="str">
        <f t="shared" si="112"/>
        <v/>
      </c>
      <c r="AX331" t="str">
        <f t="shared" si="113"/>
        <v/>
      </c>
      <c r="AY331" t="str">
        <f t="shared" si="114"/>
        <v/>
      </c>
      <c r="AZ331" s="40"/>
      <c r="BL331" s="47" t="str">
        <f t="shared" si="115"/>
        <v/>
      </c>
      <c r="BM331" s="47" t="str">
        <f t="shared" si="116"/>
        <v/>
      </c>
      <c r="BN331" s="47" t="str">
        <f t="shared" si="117"/>
        <v/>
      </c>
      <c r="BO331" s="47" t="str">
        <f t="shared" si="118"/>
        <v/>
      </c>
      <c r="BP331" s="47" t="str">
        <f t="shared" si="119"/>
        <v/>
      </c>
      <c r="BQ331" s="48" t="str">
        <f t="shared" si="120"/>
        <v/>
      </c>
      <c r="BR331" s="48" t="str">
        <f t="shared" si="121"/>
        <v/>
      </c>
      <c r="BS331" s="48" t="str">
        <f t="shared" si="122"/>
        <v/>
      </c>
      <c r="BT331" s="47" t="str">
        <f t="shared" si="123"/>
        <v/>
      </c>
      <c r="CA331" s="47" t="str">
        <f t="shared" si="124"/>
        <v/>
      </c>
      <c r="CB331" s="47" t="str">
        <f t="shared" si="125"/>
        <v/>
      </c>
      <c r="CC331" s="47" t="str">
        <f t="shared" si="126"/>
        <v/>
      </c>
      <c r="CD331" s="47" t="str">
        <f t="shared" si="127"/>
        <v/>
      </c>
      <c r="CE331" s="47" t="str">
        <f>IF(AH331="","",IF(OR(AI331&lt;&gt;'Seasonal Tercile Tally'!$B$3,AM331&lt;&gt;'Seasonal Tercile Tally'!$B$4),"Other site/ season",IF(DT331=0,"Excluded: duplicate (later row)",IF(N331&lt;&gt;1,"Excluded: not sighted",IF(AC331&lt;&gt;1,"Excluded: not confirmed",IF(AD331&lt;&gt;1,"Excluded: not approved",IF(AP331="Contested","Excluded: contested",IF(OR(U331="",U331=0),"Excluded: no tercile",IF(CB331="","Counted (simple tally only — no weight)","Counted")))))))))</f>
        <v/>
      </c>
      <c r="CF331" s="49" t="str">
        <f>IF(AH331="","",IFERROR(INDEX('Prior Multipliers'!$C$6:$C$70,MATCH(LEFT(AH331,10),'Prior Multipliers'!$A$6:$A$70,0)),IFERROR(INDEX('Prior Multipliers'!$C$6:$C$70,MATCH(LEFT(AH331,6),'Prior Multipliers'!$A$6:$A$70,0)),IFERROR(INDEX('Prior Multipliers'!$C$6:$C$70,MATCH(LEFT(AH331,2),'Prior Multipliers'!$A$6:$A$70,0)),1))))</f>
        <v/>
      </c>
      <c r="CG331" s="49" t="str">
        <f>IF(CB331="","",IF(AND('Seasonal Tercile Tally'!$B$5=1,BT331="Rating-based"),CB331*CF331,CB331))</f>
        <v/>
      </c>
      <c r="CH331" s="47">
        <f t="shared" si="128"/>
        <v>0</v>
      </c>
      <c r="CI331" s="45"/>
      <c r="CJ331" s="42" t="str">
        <f t="shared" si="129"/>
        <v/>
      </c>
      <c r="CM331" s="42" t="str">
        <f t="shared" si="130"/>
        <v/>
      </c>
      <c r="CP331" s="46" t="str">
        <f t="shared" si="131"/>
        <v/>
      </c>
      <c r="CS331" s="46" t="str">
        <f t="shared" si="132"/>
        <v/>
      </c>
      <c r="CT331" s="42" t="str">
        <f t="shared" si="133"/>
        <v/>
      </c>
      <c r="CU331" s="42" t="str">
        <f t="shared" si="134"/>
        <v/>
      </c>
      <c r="CV331" s="42" t="str">
        <f t="shared" si="135"/>
        <v/>
      </c>
      <c r="DB331" s="45"/>
      <c r="DH331" s="42" t="str">
        <f t="shared" si="136"/>
        <v/>
      </c>
      <c r="DI331" s="43" t="str">
        <f t="shared" si="137"/>
        <v/>
      </c>
      <c r="DK331" s="46" t="str">
        <f t="shared" si="138"/>
        <v/>
      </c>
      <c r="DQ331" s="42" t="str">
        <f>IF(AH331="","",IFERROR(ROUND(100*('Weighting Options'!$D$7*IF(ISNUMBER(CA331),CA331/3,0)+'Weighting Options'!$D$8*MIN(N(BL331),3)/3+'Weighting Options'!$D$9*IF(AP331="Community/Plenary-endorsed",1,IF(AP331="FGD-validated only",0.75,IF(AP331="Sub-community-specific",0.5,IF(AP331="Provisional/emerging",0.25,0))))+'Weighting Options'!$D$10*IF(ISNUMBER(K331),K331/3,0)+'Weighting Options'!$D$11*IF(CC331="",0.5,IF(CC331="OK",1,0.25))+'Weighting Options'!$D$12*IF(DK331="",0.5,IF(DK331="Agrees",1,IF(DK331="Opposite",0,0.5)))+'Weighting Options'!$D$13*MIN(N(BG331),3)/3+'Weighting Options'!$D$14*IF(AE331=1,1,0))/SUM('Weighting Options'!$D$7:$D$14),0),""))</f>
        <v/>
      </c>
      <c r="DR331" s="44" t="str">
        <f>IF(AH331="","",IFERROR(INDEX('Weighting Options'!$D$20:$D$27,VALUE(LEFT(TRIM(BU331),1))),1))</f>
        <v/>
      </c>
      <c r="DS331" s="44" t="str">
        <f t="shared" si="139"/>
        <v/>
      </c>
      <c r="DT331" s="42" t="str">
        <f>IF(AH331="","",IF(COUNTIFS($AH$12:AH331,AH331,$AI$12:AI331,AI331,$AM$12:AM331,AM331)=1,1,0))</f>
        <v/>
      </c>
    </row>
    <row r="332" spans="16:124" ht="12.75" customHeight="1" x14ac:dyDescent="0.35">
      <c r="P332" s="41"/>
      <c r="Q332" s="41"/>
      <c r="R332" s="41"/>
      <c r="S332" s="41"/>
      <c r="AH332" s="40"/>
      <c r="AP332" s="40"/>
      <c r="AS332" s="41"/>
      <c r="AT332" s="41"/>
      <c r="AW332" t="str">
        <f t="shared" ref="AW332:AW395" si="140">IF(OR(AS332="",P332=""),"",IF(AS332&lt;P332,"Early",IF(AS332&gt;IF(Q332="",P332,Q332),"Late","Within window")))</f>
        <v/>
      </c>
      <c r="AX332" t="str">
        <f t="shared" ref="AX332:AX395" si="141">IF(OR(AT332="",R332=""),"",IF(AT332&lt;R332,"Early",IF(AT332&gt;IF(S332="",R332,S332),"Late","Within window")))</f>
        <v/>
      </c>
      <c r="AY332" t="str">
        <f t="shared" ref="AY332:AY395" si="142">IF(OR(AU332="",T332="",T332=0),"",IF(AU332=T332,"Matched",IF(ABS(AU332-T332)=1,"Off by one class","Missed")))</f>
        <v/>
      </c>
      <c r="AZ332" s="40"/>
      <c r="BL332" s="47" t="str">
        <f t="shared" ref="BL332:BL395" si="143">IF(AH332="","",COUNTIFS($AH$12:$AH$500,AH332,$AC$12:$AC$500,1,$AD$12:$AD$500,1,$DT$12:$DT$500,1))</f>
        <v/>
      </c>
      <c r="BM332" s="47" t="str">
        <f t="shared" ref="BM332:BM395" si="144">IF(AH332="","",BN332+BO332+BP332)</f>
        <v/>
      </c>
      <c r="BN332" s="47" t="str">
        <f t="shared" ref="BN332:BN395" si="145">IF(AH332="","",COUNTIFS($AH$12:$AH$500,AH332,$AZ$12:$AZ$500,"Hit",$DT$12:$DT$500,1))</f>
        <v/>
      </c>
      <c r="BO332" s="47" t="str">
        <f t="shared" ref="BO332:BO395" si="146">IF(AH332="","",COUNTIFS($AH$12:$AH$500,AH332,$AZ$12:$AZ$500,"Miss",$DT$12:$DT$500,1))</f>
        <v/>
      </c>
      <c r="BP332" s="47" t="str">
        <f t="shared" ref="BP332:BP395" si="147">IF(AH332="","",COUNTIFS($AH$12:$AH$500,AH332,$AZ$12:$AZ$500,"False Start",$DT$12:$DT$500,1))</f>
        <v/>
      </c>
      <c r="BQ332" s="48" t="str">
        <f t="shared" ref="BQ332:BQ395" si="148">IF(OR(AH332="",BM332="",BM332=0),"",BN332/BM332)</f>
        <v/>
      </c>
      <c r="BR332" s="48" t="str">
        <f t="shared" ref="BR332:BR395" si="149">IF(OR(AH332="",BM332="",BM332=0),"",BO332/BM332)</f>
        <v/>
      </c>
      <c r="BS332" s="48" t="str">
        <f t="shared" ref="BS332:BS395" si="150">IF(OR(AH332="",BM332="",BM332=0),"",BP332/BM332)</f>
        <v/>
      </c>
      <c r="BT332" s="47" t="str">
        <f t="shared" ref="BT332:BT395" si="151">IF(AH332="","",IF(BM332&gt;=3,"Hit-rate-based","Rating-based"))</f>
        <v/>
      </c>
      <c r="CA332" s="47" t="str">
        <f t="shared" ref="CA332:CA395" si="152">IF(AH332="","",IF(BT332="Hit-rate-based",MIN(IF(BL332&lt;2,2,3),IF(BQ332&gt;=0.7,3,IF(BQ332&gt;=0.4,2,1))),IF(OR(M332="",M332=0),"",MIN(IF(BL332&lt;2,2,3),M332))))</f>
        <v/>
      </c>
      <c r="CB332" s="47" t="str">
        <f t="shared" ref="CB332:CB395" si="153">IF(OR(AH332="",CA332=""),"",CA332*IF(OR(V332="",V332=0),1,V332))</f>
        <v/>
      </c>
      <c r="CC332" s="47" t="str">
        <f t="shared" ref="CC332:CC395" si="154">IF(OR(AH332="",L332="",M332="",L332=0,M332=0),"",IF(ABS(L332-M332)&gt;=2,"FLAG: Review — large swing","OK"))</f>
        <v/>
      </c>
      <c r="CD332" s="47" t="str">
        <f t="shared" ref="CD332:CD395" si="155">IF(AH332="","",IF(COUNTIFS($AH$12:$AH$500,AH332,$AI$12:$AI$500,AI332,$AM$12:$AM$500,AM332)&gt;1,"DUPLICATE: same ID, site and season",IF(AND(N332=1,U332&lt;&gt;"",U332&lt;&gt;0,OR(V332="",V332=0)),"Check: decision relevance missing","OK")))</f>
        <v/>
      </c>
      <c r="CE332" s="47" t="str">
        <f>IF(AH332="","",IF(OR(AI332&lt;&gt;'Seasonal Tercile Tally'!$B$3,AM332&lt;&gt;'Seasonal Tercile Tally'!$B$4),"Other site/ season",IF(DT332=0,"Excluded: duplicate (later row)",IF(N332&lt;&gt;1,"Excluded: not sighted",IF(AC332&lt;&gt;1,"Excluded: not confirmed",IF(AD332&lt;&gt;1,"Excluded: not approved",IF(AP332="Contested","Excluded: contested",IF(OR(U332="",U332=0),"Excluded: no tercile",IF(CB332="","Counted (simple tally only — no weight)","Counted")))))))))</f>
        <v/>
      </c>
      <c r="CF332" s="49" t="str">
        <f>IF(AH332="","",IFERROR(INDEX('Prior Multipliers'!$C$6:$C$70,MATCH(LEFT(AH332,10),'Prior Multipliers'!$A$6:$A$70,0)),IFERROR(INDEX('Prior Multipliers'!$C$6:$C$70,MATCH(LEFT(AH332,6),'Prior Multipliers'!$A$6:$A$70,0)),IFERROR(INDEX('Prior Multipliers'!$C$6:$C$70,MATCH(LEFT(AH332,2),'Prior Multipliers'!$A$6:$A$70,0)),1))))</f>
        <v/>
      </c>
      <c r="CG332" s="49" t="str">
        <f>IF(CB332="","",IF(AND('Seasonal Tercile Tally'!$B$5=1,BT332="Rating-based"),CB332*CF332,CB332))</f>
        <v/>
      </c>
      <c r="CH332" s="47">
        <f t="shared" ref="CH332:CH395" si="156">IF(ISNUMBER(CG332),CG332,0)</f>
        <v>0</v>
      </c>
      <c r="CI332" s="45"/>
      <c r="CJ332" s="42" t="str">
        <f t="shared" ref="CJ332:CJ395" si="157">IF(CI332="","",MONTH(CI332))</f>
        <v/>
      </c>
      <c r="CM332" s="42" t="str">
        <f t="shared" ref="CM332:CM395" si="158">IF(OR(CJ332="",CL332=""),"",MOD(CJ332-CL332+6,12)-6)</f>
        <v/>
      </c>
      <c r="CP332" s="46" t="str">
        <f t="shared" ref="CP332:CP395" si="159">IF(AH332="","",CHOOSE(MIN(IF(CM332="",0,IF(ABS(CM332)&gt;=1,1,0))+IF(LEFT(CC332,4)="FLAG",1,0)+IF(OR(CN332="",CN332="No change",CN332="Not sure"),0,1)+IF(AND(ISNUMBER(L332),ISNUMBER(M332)),IF(AND(M332&gt;0,L332-M332&gt;=1),1,0),0)+IF(N(BM332)&gt;=3,IF(N(BQ332)&lt;0.4,1,0),0),2)+1,"No change signal","Watch: one change signal","STRONG: possible climate-change impact — review"))</f>
        <v/>
      </c>
      <c r="CS332" s="46" t="str">
        <f t="shared" ref="CS332:CS395" si="160">IF(CR332="","",IF(CR332&gt;=35,3,IF(CR332&gt;=20,2,1)))</f>
        <v/>
      </c>
      <c r="CT332" s="42" t="str">
        <f t="shared" ref="CT332:CT395" si="161">IF(OR(CS332="",CQ332="",CQ332=0),"",IF(CQ332=CS332,"Matched",IF(ABS(CQ332-CS332)=1,"Off by one class","Missed")))</f>
        <v/>
      </c>
      <c r="CU332" s="42" t="str">
        <f t="shared" ref="CU332:CU395" si="162">IF(OR(CI332="",P332=""),"",IF(P332-CI332&lt;0,"",P332-CI332))</f>
        <v/>
      </c>
      <c r="CV332" s="42" t="str">
        <f t="shared" ref="CV332:CV395" si="163">IF(CU332="","",IF(CU332&gt;=60,"Strategic (season)",IF(CU332&gt;=7,"Tactical (1 week–2 months)",IF(CU332&gt;=3,"Operational (3–6 days)","Emergency (0–2 days)"))))</f>
        <v/>
      </c>
      <c r="DB332" s="45"/>
      <c r="DH332" s="42" t="str">
        <f t="shared" ref="DH332:DH395" si="164">IF(OR(DB332="",P332=""),"",P332-DB332)</f>
        <v/>
      </c>
      <c r="DI332" s="43" t="str">
        <f t="shared" ref="DI332:DI395" si="165">IF(OR(DD332="",DE332=""),"",IF(DD332=0,"",DE332/DD332))</f>
        <v/>
      </c>
      <c r="DK332" s="46" t="str">
        <f t="shared" ref="DK332:DK395" si="166">IF(OR(DJ332="",U332="",U332=0),"",IF(U332=DJ332,"Agrees",IF(ABS(U332-DJ332)=1,"Differs by one class","Opposite")))</f>
        <v/>
      </c>
      <c r="DQ332" s="42" t="str">
        <f>IF(AH332="","",IFERROR(ROUND(100*('Weighting Options'!$D$7*IF(ISNUMBER(CA332),CA332/3,0)+'Weighting Options'!$D$8*MIN(N(BL332),3)/3+'Weighting Options'!$D$9*IF(AP332="Community/Plenary-endorsed",1,IF(AP332="FGD-validated only",0.75,IF(AP332="Sub-community-specific",0.5,IF(AP332="Provisional/emerging",0.25,0))))+'Weighting Options'!$D$10*IF(ISNUMBER(K332),K332/3,0)+'Weighting Options'!$D$11*IF(CC332="",0.5,IF(CC332="OK",1,0.25))+'Weighting Options'!$D$12*IF(DK332="",0.5,IF(DK332="Agrees",1,IF(DK332="Opposite",0,0.5)))+'Weighting Options'!$D$13*MIN(N(BG332),3)/3+'Weighting Options'!$D$14*IF(AE332=1,1,0))/SUM('Weighting Options'!$D$7:$D$14),0),""))</f>
        <v/>
      </c>
      <c r="DR332" s="44" t="str">
        <f>IF(AH332="","",IFERROR(INDEX('Weighting Options'!$D$20:$D$27,VALUE(LEFT(TRIM(BU332),1))),1))</f>
        <v/>
      </c>
      <c r="DS332" s="44" t="str">
        <f t="shared" ref="DS332:DS395" si="167">IF(OR(CG332="",DR332=""),"",CG332*DR332)</f>
        <v/>
      </c>
      <c r="DT332" s="42" t="str">
        <f>IF(AH332="","",IF(COUNTIFS($AH$12:AH332,AH332,$AI$12:AI332,AI332,$AM$12:AM332,AM332)=1,1,0))</f>
        <v/>
      </c>
    </row>
    <row r="333" spans="16:124" ht="12.75" customHeight="1" x14ac:dyDescent="0.35">
      <c r="P333" s="41"/>
      <c r="Q333" s="41"/>
      <c r="R333" s="41"/>
      <c r="S333" s="41"/>
      <c r="AH333" s="40"/>
      <c r="AP333" s="40"/>
      <c r="AS333" s="41"/>
      <c r="AT333" s="41"/>
      <c r="AW333" t="str">
        <f t="shared" si="140"/>
        <v/>
      </c>
      <c r="AX333" t="str">
        <f t="shared" si="141"/>
        <v/>
      </c>
      <c r="AY333" t="str">
        <f t="shared" si="142"/>
        <v/>
      </c>
      <c r="AZ333" s="40"/>
      <c r="BL333" s="47" t="str">
        <f t="shared" si="143"/>
        <v/>
      </c>
      <c r="BM333" s="47" t="str">
        <f t="shared" si="144"/>
        <v/>
      </c>
      <c r="BN333" s="47" t="str">
        <f t="shared" si="145"/>
        <v/>
      </c>
      <c r="BO333" s="47" t="str">
        <f t="shared" si="146"/>
        <v/>
      </c>
      <c r="BP333" s="47" t="str">
        <f t="shared" si="147"/>
        <v/>
      </c>
      <c r="BQ333" s="48" t="str">
        <f t="shared" si="148"/>
        <v/>
      </c>
      <c r="BR333" s="48" t="str">
        <f t="shared" si="149"/>
        <v/>
      </c>
      <c r="BS333" s="48" t="str">
        <f t="shared" si="150"/>
        <v/>
      </c>
      <c r="BT333" s="47" t="str">
        <f t="shared" si="151"/>
        <v/>
      </c>
      <c r="CA333" s="47" t="str">
        <f t="shared" si="152"/>
        <v/>
      </c>
      <c r="CB333" s="47" t="str">
        <f t="shared" si="153"/>
        <v/>
      </c>
      <c r="CC333" s="47" t="str">
        <f t="shared" si="154"/>
        <v/>
      </c>
      <c r="CD333" s="47" t="str">
        <f t="shared" si="155"/>
        <v/>
      </c>
      <c r="CE333" s="47" t="str">
        <f>IF(AH333="","",IF(OR(AI333&lt;&gt;'Seasonal Tercile Tally'!$B$3,AM333&lt;&gt;'Seasonal Tercile Tally'!$B$4),"Other site/ season",IF(DT333=0,"Excluded: duplicate (later row)",IF(N333&lt;&gt;1,"Excluded: not sighted",IF(AC333&lt;&gt;1,"Excluded: not confirmed",IF(AD333&lt;&gt;1,"Excluded: not approved",IF(AP333="Contested","Excluded: contested",IF(OR(U333="",U333=0),"Excluded: no tercile",IF(CB333="","Counted (simple tally only — no weight)","Counted")))))))))</f>
        <v/>
      </c>
      <c r="CF333" s="49" t="str">
        <f>IF(AH333="","",IFERROR(INDEX('Prior Multipliers'!$C$6:$C$70,MATCH(LEFT(AH333,10),'Prior Multipliers'!$A$6:$A$70,0)),IFERROR(INDEX('Prior Multipliers'!$C$6:$C$70,MATCH(LEFT(AH333,6),'Prior Multipliers'!$A$6:$A$70,0)),IFERROR(INDEX('Prior Multipliers'!$C$6:$C$70,MATCH(LEFT(AH333,2),'Prior Multipliers'!$A$6:$A$70,0)),1))))</f>
        <v/>
      </c>
      <c r="CG333" s="49" t="str">
        <f>IF(CB333="","",IF(AND('Seasonal Tercile Tally'!$B$5=1,BT333="Rating-based"),CB333*CF333,CB333))</f>
        <v/>
      </c>
      <c r="CH333" s="47">
        <f t="shared" si="156"/>
        <v>0</v>
      </c>
      <c r="CI333" s="45"/>
      <c r="CJ333" s="42" t="str">
        <f t="shared" si="157"/>
        <v/>
      </c>
      <c r="CM333" s="42" t="str">
        <f t="shared" si="158"/>
        <v/>
      </c>
      <c r="CP333" s="46" t="str">
        <f t="shared" si="159"/>
        <v/>
      </c>
      <c r="CS333" s="46" t="str">
        <f t="shared" si="160"/>
        <v/>
      </c>
      <c r="CT333" s="42" t="str">
        <f t="shared" si="161"/>
        <v/>
      </c>
      <c r="CU333" s="42" t="str">
        <f t="shared" si="162"/>
        <v/>
      </c>
      <c r="CV333" s="42" t="str">
        <f t="shared" si="163"/>
        <v/>
      </c>
      <c r="DB333" s="45"/>
      <c r="DH333" s="42" t="str">
        <f t="shared" si="164"/>
        <v/>
      </c>
      <c r="DI333" s="43" t="str">
        <f t="shared" si="165"/>
        <v/>
      </c>
      <c r="DK333" s="46" t="str">
        <f t="shared" si="166"/>
        <v/>
      </c>
      <c r="DQ333" s="42" t="str">
        <f>IF(AH333="","",IFERROR(ROUND(100*('Weighting Options'!$D$7*IF(ISNUMBER(CA333),CA333/3,0)+'Weighting Options'!$D$8*MIN(N(BL333),3)/3+'Weighting Options'!$D$9*IF(AP333="Community/Plenary-endorsed",1,IF(AP333="FGD-validated only",0.75,IF(AP333="Sub-community-specific",0.5,IF(AP333="Provisional/emerging",0.25,0))))+'Weighting Options'!$D$10*IF(ISNUMBER(K333),K333/3,0)+'Weighting Options'!$D$11*IF(CC333="",0.5,IF(CC333="OK",1,0.25))+'Weighting Options'!$D$12*IF(DK333="",0.5,IF(DK333="Agrees",1,IF(DK333="Opposite",0,0.5)))+'Weighting Options'!$D$13*MIN(N(BG333),3)/3+'Weighting Options'!$D$14*IF(AE333=1,1,0))/SUM('Weighting Options'!$D$7:$D$14),0),""))</f>
        <v/>
      </c>
      <c r="DR333" s="44" t="str">
        <f>IF(AH333="","",IFERROR(INDEX('Weighting Options'!$D$20:$D$27,VALUE(LEFT(TRIM(BU333),1))),1))</f>
        <v/>
      </c>
      <c r="DS333" s="44" t="str">
        <f t="shared" si="167"/>
        <v/>
      </c>
      <c r="DT333" s="42" t="str">
        <f>IF(AH333="","",IF(COUNTIFS($AH$12:AH333,AH333,$AI$12:AI333,AI333,$AM$12:AM333,AM333)=1,1,0))</f>
        <v/>
      </c>
    </row>
    <row r="334" spans="16:124" ht="12.75" customHeight="1" x14ac:dyDescent="0.35">
      <c r="P334" s="41"/>
      <c r="Q334" s="41"/>
      <c r="R334" s="41"/>
      <c r="S334" s="41"/>
      <c r="AH334" s="40"/>
      <c r="AP334" s="40"/>
      <c r="AS334" s="41"/>
      <c r="AT334" s="41"/>
      <c r="AW334" t="str">
        <f t="shared" si="140"/>
        <v/>
      </c>
      <c r="AX334" t="str">
        <f t="shared" si="141"/>
        <v/>
      </c>
      <c r="AY334" t="str">
        <f t="shared" si="142"/>
        <v/>
      </c>
      <c r="AZ334" s="40"/>
      <c r="BL334" s="47" t="str">
        <f t="shared" si="143"/>
        <v/>
      </c>
      <c r="BM334" s="47" t="str">
        <f t="shared" si="144"/>
        <v/>
      </c>
      <c r="BN334" s="47" t="str">
        <f t="shared" si="145"/>
        <v/>
      </c>
      <c r="BO334" s="47" t="str">
        <f t="shared" si="146"/>
        <v/>
      </c>
      <c r="BP334" s="47" t="str">
        <f t="shared" si="147"/>
        <v/>
      </c>
      <c r="BQ334" s="48" t="str">
        <f t="shared" si="148"/>
        <v/>
      </c>
      <c r="BR334" s="48" t="str">
        <f t="shared" si="149"/>
        <v/>
      </c>
      <c r="BS334" s="48" t="str">
        <f t="shared" si="150"/>
        <v/>
      </c>
      <c r="BT334" s="47" t="str">
        <f t="shared" si="151"/>
        <v/>
      </c>
      <c r="CA334" s="47" t="str">
        <f t="shared" si="152"/>
        <v/>
      </c>
      <c r="CB334" s="47" t="str">
        <f t="shared" si="153"/>
        <v/>
      </c>
      <c r="CC334" s="47" t="str">
        <f t="shared" si="154"/>
        <v/>
      </c>
      <c r="CD334" s="47" t="str">
        <f t="shared" si="155"/>
        <v/>
      </c>
      <c r="CE334" s="47" t="str">
        <f>IF(AH334="","",IF(OR(AI334&lt;&gt;'Seasonal Tercile Tally'!$B$3,AM334&lt;&gt;'Seasonal Tercile Tally'!$B$4),"Other site/ season",IF(DT334=0,"Excluded: duplicate (later row)",IF(N334&lt;&gt;1,"Excluded: not sighted",IF(AC334&lt;&gt;1,"Excluded: not confirmed",IF(AD334&lt;&gt;1,"Excluded: not approved",IF(AP334="Contested","Excluded: contested",IF(OR(U334="",U334=0),"Excluded: no tercile",IF(CB334="","Counted (simple tally only — no weight)","Counted")))))))))</f>
        <v/>
      </c>
      <c r="CF334" s="49" t="str">
        <f>IF(AH334="","",IFERROR(INDEX('Prior Multipliers'!$C$6:$C$70,MATCH(LEFT(AH334,10),'Prior Multipliers'!$A$6:$A$70,0)),IFERROR(INDEX('Prior Multipliers'!$C$6:$C$70,MATCH(LEFT(AH334,6),'Prior Multipliers'!$A$6:$A$70,0)),IFERROR(INDEX('Prior Multipliers'!$C$6:$C$70,MATCH(LEFT(AH334,2),'Prior Multipliers'!$A$6:$A$70,0)),1))))</f>
        <v/>
      </c>
      <c r="CG334" s="49" t="str">
        <f>IF(CB334="","",IF(AND('Seasonal Tercile Tally'!$B$5=1,BT334="Rating-based"),CB334*CF334,CB334))</f>
        <v/>
      </c>
      <c r="CH334" s="47">
        <f t="shared" si="156"/>
        <v>0</v>
      </c>
      <c r="CI334" s="45"/>
      <c r="CJ334" s="42" t="str">
        <f t="shared" si="157"/>
        <v/>
      </c>
      <c r="CM334" s="42" t="str">
        <f t="shared" si="158"/>
        <v/>
      </c>
      <c r="CP334" s="46" t="str">
        <f t="shared" si="159"/>
        <v/>
      </c>
      <c r="CS334" s="46" t="str">
        <f t="shared" si="160"/>
        <v/>
      </c>
      <c r="CT334" s="42" t="str">
        <f t="shared" si="161"/>
        <v/>
      </c>
      <c r="CU334" s="42" t="str">
        <f t="shared" si="162"/>
        <v/>
      </c>
      <c r="CV334" s="42" t="str">
        <f t="shared" si="163"/>
        <v/>
      </c>
      <c r="DB334" s="45"/>
      <c r="DH334" s="42" t="str">
        <f t="shared" si="164"/>
        <v/>
      </c>
      <c r="DI334" s="43" t="str">
        <f t="shared" si="165"/>
        <v/>
      </c>
      <c r="DK334" s="46" t="str">
        <f t="shared" si="166"/>
        <v/>
      </c>
      <c r="DQ334" s="42" t="str">
        <f>IF(AH334="","",IFERROR(ROUND(100*('Weighting Options'!$D$7*IF(ISNUMBER(CA334),CA334/3,0)+'Weighting Options'!$D$8*MIN(N(BL334),3)/3+'Weighting Options'!$D$9*IF(AP334="Community/Plenary-endorsed",1,IF(AP334="FGD-validated only",0.75,IF(AP334="Sub-community-specific",0.5,IF(AP334="Provisional/emerging",0.25,0))))+'Weighting Options'!$D$10*IF(ISNUMBER(K334),K334/3,0)+'Weighting Options'!$D$11*IF(CC334="",0.5,IF(CC334="OK",1,0.25))+'Weighting Options'!$D$12*IF(DK334="",0.5,IF(DK334="Agrees",1,IF(DK334="Opposite",0,0.5)))+'Weighting Options'!$D$13*MIN(N(BG334),3)/3+'Weighting Options'!$D$14*IF(AE334=1,1,0))/SUM('Weighting Options'!$D$7:$D$14),0),""))</f>
        <v/>
      </c>
      <c r="DR334" s="44" t="str">
        <f>IF(AH334="","",IFERROR(INDEX('Weighting Options'!$D$20:$D$27,VALUE(LEFT(TRIM(BU334),1))),1))</f>
        <v/>
      </c>
      <c r="DS334" s="44" t="str">
        <f t="shared" si="167"/>
        <v/>
      </c>
      <c r="DT334" s="42" t="str">
        <f>IF(AH334="","",IF(COUNTIFS($AH$12:AH334,AH334,$AI$12:AI334,AI334,$AM$12:AM334,AM334)=1,1,0))</f>
        <v/>
      </c>
    </row>
    <row r="335" spans="16:124" ht="12.75" customHeight="1" x14ac:dyDescent="0.35">
      <c r="P335" s="41"/>
      <c r="Q335" s="41"/>
      <c r="R335" s="41"/>
      <c r="S335" s="41"/>
      <c r="AH335" s="40"/>
      <c r="AP335" s="40"/>
      <c r="AS335" s="41"/>
      <c r="AT335" s="41"/>
      <c r="AW335" t="str">
        <f t="shared" si="140"/>
        <v/>
      </c>
      <c r="AX335" t="str">
        <f t="shared" si="141"/>
        <v/>
      </c>
      <c r="AY335" t="str">
        <f t="shared" si="142"/>
        <v/>
      </c>
      <c r="AZ335" s="40"/>
      <c r="BL335" s="47" t="str">
        <f t="shared" si="143"/>
        <v/>
      </c>
      <c r="BM335" s="47" t="str">
        <f t="shared" si="144"/>
        <v/>
      </c>
      <c r="BN335" s="47" t="str">
        <f t="shared" si="145"/>
        <v/>
      </c>
      <c r="BO335" s="47" t="str">
        <f t="shared" si="146"/>
        <v/>
      </c>
      <c r="BP335" s="47" t="str">
        <f t="shared" si="147"/>
        <v/>
      </c>
      <c r="BQ335" s="48" t="str">
        <f t="shared" si="148"/>
        <v/>
      </c>
      <c r="BR335" s="48" t="str">
        <f t="shared" si="149"/>
        <v/>
      </c>
      <c r="BS335" s="48" t="str">
        <f t="shared" si="150"/>
        <v/>
      </c>
      <c r="BT335" s="47" t="str">
        <f t="shared" si="151"/>
        <v/>
      </c>
      <c r="CA335" s="47" t="str">
        <f t="shared" si="152"/>
        <v/>
      </c>
      <c r="CB335" s="47" t="str">
        <f t="shared" si="153"/>
        <v/>
      </c>
      <c r="CC335" s="47" t="str">
        <f t="shared" si="154"/>
        <v/>
      </c>
      <c r="CD335" s="47" t="str">
        <f t="shared" si="155"/>
        <v/>
      </c>
      <c r="CE335" s="47" t="str">
        <f>IF(AH335="","",IF(OR(AI335&lt;&gt;'Seasonal Tercile Tally'!$B$3,AM335&lt;&gt;'Seasonal Tercile Tally'!$B$4),"Other site/ season",IF(DT335=0,"Excluded: duplicate (later row)",IF(N335&lt;&gt;1,"Excluded: not sighted",IF(AC335&lt;&gt;1,"Excluded: not confirmed",IF(AD335&lt;&gt;1,"Excluded: not approved",IF(AP335="Contested","Excluded: contested",IF(OR(U335="",U335=0),"Excluded: no tercile",IF(CB335="","Counted (simple tally only — no weight)","Counted")))))))))</f>
        <v/>
      </c>
      <c r="CF335" s="49" t="str">
        <f>IF(AH335="","",IFERROR(INDEX('Prior Multipliers'!$C$6:$C$70,MATCH(LEFT(AH335,10),'Prior Multipliers'!$A$6:$A$70,0)),IFERROR(INDEX('Prior Multipliers'!$C$6:$C$70,MATCH(LEFT(AH335,6),'Prior Multipliers'!$A$6:$A$70,0)),IFERROR(INDEX('Prior Multipliers'!$C$6:$C$70,MATCH(LEFT(AH335,2),'Prior Multipliers'!$A$6:$A$70,0)),1))))</f>
        <v/>
      </c>
      <c r="CG335" s="49" t="str">
        <f>IF(CB335="","",IF(AND('Seasonal Tercile Tally'!$B$5=1,BT335="Rating-based"),CB335*CF335,CB335))</f>
        <v/>
      </c>
      <c r="CH335" s="47">
        <f t="shared" si="156"/>
        <v>0</v>
      </c>
      <c r="CI335" s="45"/>
      <c r="CJ335" s="42" t="str">
        <f t="shared" si="157"/>
        <v/>
      </c>
      <c r="CM335" s="42" t="str">
        <f t="shared" si="158"/>
        <v/>
      </c>
      <c r="CP335" s="46" t="str">
        <f t="shared" si="159"/>
        <v/>
      </c>
      <c r="CS335" s="46" t="str">
        <f t="shared" si="160"/>
        <v/>
      </c>
      <c r="CT335" s="42" t="str">
        <f t="shared" si="161"/>
        <v/>
      </c>
      <c r="CU335" s="42" t="str">
        <f t="shared" si="162"/>
        <v/>
      </c>
      <c r="CV335" s="42" t="str">
        <f t="shared" si="163"/>
        <v/>
      </c>
      <c r="DB335" s="45"/>
      <c r="DH335" s="42" t="str">
        <f t="shared" si="164"/>
        <v/>
      </c>
      <c r="DI335" s="43" t="str">
        <f t="shared" si="165"/>
        <v/>
      </c>
      <c r="DK335" s="46" t="str">
        <f t="shared" si="166"/>
        <v/>
      </c>
      <c r="DQ335" s="42" t="str">
        <f>IF(AH335="","",IFERROR(ROUND(100*('Weighting Options'!$D$7*IF(ISNUMBER(CA335),CA335/3,0)+'Weighting Options'!$D$8*MIN(N(BL335),3)/3+'Weighting Options'!$D$9*IF(AP335="Community/Plenary-endorsed",1,IF(AP335="FGD-validated only",0.75,IF(AP335="Sub-community-specific",0.5,IF(AP335="Provisional/emerging",0.25,0))))+'Weighting Options'!$D$10*IF(ISNUMBER(K335),K335/3,0)+'Weighting Options'!$D$11*IF(CC335="",0.5,IF(CC335="OK",1,0.25))+'Weighting Options'!$D$12*IF(DK335="",0.5,IF(DK335="Agrees",1,IF(DK335="Opposite",0,0.5)))+'Weighting Options'!$D$13*MIN(N(BG335),3)/3+'Weighting Options'!$D$14*IF(AE335=1,1,0))/SUM('Weighting Options'!$D$7:$D$14),0),""))</f>
        <v/>
      </c>
      <c r="DR335" s="44" t="str">
        <f>IF(AH335="","",IFERROR(INDEX('Weighting Options'!$D$20:$D$27,VALUE(LEFT(TRIM(BU335),1))),1))</f>
        <v/>
      </c>
      <c r="DS335" s="44" t="str">
        <f t="shared" si="167"/>
        <v/>
      </c>
      <c r="DT335" s="42" t="str">
        <f>IF(AH335="","",IF(COUNTIFS($AH$12:AH335,AH335,$AI$12:AI335,AI335,$AM$12:AM335,AM335)=1,1,0))</f>
        <v/>
      </c>
    </row>
    <row r="336" spans="16:124" ht="12.75" customHeight="1" x14ac:dyDescent="0.35">
      <c r="P336" s="41"/>
      <c r="Q336" s="41"/>
      <c r="R336" s="41"/>
      <c r="S336" s="41"/>
      <c r="AH336" s="40"/>
      <c r="AP336" s="40"/>
      <c r="AS336" s="41"/>
      <c r="AT336" s="41"/>
      <c r="AW336" t="str">
        <f t="shared" si="140"/>
        <v/>
      </c>
      <c r="AX336" t="str">
        <f t="shared" si="141"/>
        <v/>
      </c>
      <c r="AY336" t="str">
        <f t="shared" si="142"/>
        <v/>
      </c>
      <c r="AZ336" s="40"/>
      <c r="BL336" s="47" t="str">
        <f t="shared" si="143"/>
        <v/>
      </c>
      <c r="BM336" s="47" t="str">
        <f t="shared" si="144"/>
        <v/>
      </c>
      <c r="BN336" s="47" t="str">
        <f t="shared" si="145"/>
        <v/>
      </c>
      <c r="BO336" s="47" t="str">
        <f t="shared" si="146"/>
        <v/>
      </c>
      <c r="BP336" s="47" t="str">
        <f t="shared" si="147"/>
        <v/>
      </c>
      <c r="BQ336" s="48" t="str">
        <f t="shared" si="148"/>
        <v/>
      </c>
      <c r="BR336" s="48" t="str">
        <f t="shared" si="149"/>
        <v/>
      </c>
      <c r="BS336" s="48" t="str">
        <f t="shared" si="150"/>
        <v/>
      </c>
      <c r="BT336" s="47" t="str">
        <f t="shared" si="151"/>
        <v/>
      </c>
      <c r="CA336" s="47" t="str">
        <f t="shared" si="152"/>
        <v/>
      </c>
      <c r="CB336" s="47" t="str">
        <f t="shared" si="153"/>
        <v/>
      </c>
      <c r="CC336" s="47" t="str">
        <f t="shared" si="154"/>
        <v/>
      </c>
      <c r="CD336" s="47" t="str">
        <f t="shared" si="155"/>
        <v/>
      </c>
      <c r="CE336" s="47" t="str">
        <f>IF(AH336="","",IF(OR(AI336&lt;&gt;'Seasonal Tercile Tally'!$B$3,AM336&lt;&gt;'Seasonal Tercile Tally'!$B$4),"Other site/ season",IF(DT336=0,"Excluded: duplicate (later row)",IF(N336&lt;&gt;1,"Excluded: not sighted",IF(AC336&lt;&gt;1,"Excluded: not confirmed",IF(AD336&lt;&gt;1,"Excluded: not approved",IF(AP336="Contested","Excluded: contested",IF(OR(U336="",U336=0),"Excluded: no tercile",IF(CB336="","Counted (simple tally only — no weight)","Counted")))))))))</f>
        <v/>
      </c>
      <c r="CF336" s="49" t="str">
        <f>IF(AH336="","",IFERROR(INDEX('Prior Multipliers'!$C$6:$C$70,MATCH(LEFT(AH336,10),'Prior Multipliers'!$A$6:$A$70,0)),IFERROR(INDEX('Prior Multipliers'!$C$6:$C$70,MATCH(LEFT(AH336,6),'Prior Multipliers'!$A$6:$A$70,0)),IFERROR(INDEX('Prior Multipliers'!$C$6:$C$70,MATCH(LEFT(AH336,2),'Prior Multipliers'!$A$6:$A$70,0)),1))))</f>
        <v/>
      </c>
      <c r="CG336" s="49" t="str">
        <f>IF(CB336="","",IF(AND('Seasonal Tercile Tally'!$B$5=1,BT336="Rating-based"),CB336*CF336,CB336))</f>
        <v/>
      </c>
      <c r="CH336" s="47">
        <f t="shared" si="156"/>
        <v>0</v>
      </c>
      <c r="CI336" s="45"/>
      <c r="CJ336" s="42" t="str">
        <f t="shared" si="157"/>
        <v/>
      </c>
      <c r="CM336" s="42" t="str">
        <f t="shared" si="158"/>
        <v/>
      </c>
      <c r="CP336" s="46" t="str">
        <f t="shared" si="159"/>
        <v/>
      </c>
      <c r="CS336" s="46" t="str">
        <f t="shared" si="160"/>
        <v/>
      </c>
      <c r="CT336" s="42" t="str">
        <f t="shared" si="161"/>
        <v/>
      </c>
      <c r="CU336" s="42" t="str">
        <f t="shared" si="162"/>
        <v/>
      </c>
      <c r="CV336" s="42" t="str">
        <f t="shared" si="163"/>
        <v/>
      </c>
      <c r="DB336" s="45"/>
      <c r="DH336" s="42" t="str">
        <f t="shared" si="164"/>
        <v/>
      </c>
      <c r="DI336" s="43" t="str">
        <f t="shared" si="165"/>
        <v/>
      </c>
      <c r="DK336" s="46" t="str">
        <f t="shared" si="166"/>
        <v/>
      </c>
      <c r="DQ336" s="42" t="str">
        <f>IF(AH336="","",IFERROR(ROUND(100*('Weighting Options'!$D$7*IF(ISNUMBER(CA336),CA336/3,0)+'Weighting Options'!$D$8*MIN(N(BL336),3)/3+'Weighting Options'!$D$9*IF(AP336="Community/Plenary-endorsed",1,IF(AP336="FGD-validated only",0.75,IF(AP336="Sub-community-specific",0.5,IF(AP336="Provisional/emerging",0.25,0))))+'Weighting Options'!$D$10*IF(ISNUMBER(K336),K336/3,0)+'Weighting Options'!$D$11*IF(CC336="",0.5,IF(CC336="OK",1,0.25))+'Weighting Options'!$D$12*IF(DK336="",0.5,IF(DK336="Agrees",1,IF(DK336="Opposite",0,0.5)))+'Weighting Options'!$D$13*MIN(N(BG336),3)/3+'Weighting Options'!$D$14*IF(AE336=1,1,0))/SUM('Weighting Options'!$D$7:$D$14),0),""))</f>
        <v/>
      </c>
      <c r="DR336" s="44" t="str">
        <f>IF(AH336="","",IFERROR(INDEX('Weighting Options'!$D$20:$D$27,VALUE(LEFT(TRIM(BU336),1))),1))</f>
        <v/>
      </c>
      <c r="DS336" s="44" t="str">
        <f t="shared" si="167"/>
        <v/>
      </c>
      <c r="DT336" s="42" t="str">
        <f>IF(AH336="","",IF(COUNTIFS($AH$12:AH336,AH336,$AI$12:AI336,AI336,$AM$12:AM336,AM336)=1,1,0))</f>
        <v/>
      </c>
    </row>
    <row r="337" spans="16:124" ht="12.75" customHeight="1" x14ac:dyDescent="0.35">
      <c r="P337" s="41"/>
      <c r="Q337" s="41"/>
      <c r="R337" s="41"/>
      <c r="S337" s="41"/>
      <c r="AH337" s="40"/>
      <c r="AP337" s="40"/>
      <c r="AS337" s="41"/>
      <c r="AT337" s="41"/>
      <c r="AW337" t="str">
        <f t="shared" si="140"/>
        <v/>
      </c>
      <c r="AX337" t="str">
        <f t="shared" si="141"/>
        <v/>
      </c>
      <c r="AY337" t="str">
        <f t="shared" si="142"/>
        <v/>
      </c>
      <c r="AZ337" s="40"/>
      <c r="BL337" s="47" t="str">
        <f t="shared" si="143"/>
        <v/>
      </c>
      <c r="BM337" s="47" t="str">
        <f t="shared" si="144"/>
        <v/>
      </c>
      <c r="BN337" s="47" t="str">
        <f t="shared" si="145"/>
        <v/>
      </c>
      <c r="BO337" s="47" t="str">
        <f t="shared" si="146"/>
        <v/>
      </c>
      <c r="BP337" s="47" t="str">
        <f t="shared" si="147"/>
        <v/>
      </c>
      <c r="BQ337" s="48" t="str">
        <f t="shared" si="148"/>
        <v/>
      </c>
      <c r="BR337" s="48" t="str">
        <f t="shared" si="149"/>
        <v/>
      </c>
      <c r="BS337" s="48" t="str">
        <f t="shared" si="150"/>
        <v/>
      </c>
      <c r="BT337" s="47" t="str">
        <f t="shared" si="151"/>
        <v/>
      </c>
      <c r="CA337" s="47" t="str">
        <f t="shared" si="152"/>
        <v/>
      </c>
      <c r="CB337" s="47" t="str">
        <f t="shared" si="153"/>
        <v/>
      </c>
      <c r="CC337" s="47" t="str">
        <f t="shared" si="154"/>
        <v/>
      </c>
      <c r="CD337" s="47" t="str">
        <f t="shared" si="155"/>
        <v/>
      </c>
      <c r="CE337" s="47" t="str">
        <f>IF(AH337="","",IF(OR(AI337&lt;&gt;'Seasonal Tercile Tally'!$B$3,AM337&lt;&gt;'Seasonal Tercile Tally'!$B$4),"Other site/ season",IF(DT337=0,"Excluded: duplicate (later row)",IF(N337&lt;&gt;1,"Excluded: not sighted",IF(AC337&lt;&gt;1,"Excluded: not confirmed",IF(AD337&lt;&gt;1,"Excluded: not approved",IF(AP337="Contested","Excluded: contested",IF(OR(U337="",U337=0),"Excluded: no tercile",IF(CB337="","Counted (simple tally only — no weight)","Counted")))))))))</f>
        <v/>
      </c>
      <c r="CF337" s="49" t="str">
        <f>IF(AH337="","",IFERROR(INDEX('Prior Multipliers'!$C$6:$C$70,MATCH(LEFT(AH337,10),'Prior Multipliers'!$A$6:$A$70,0)),IFERROR(INDEX('Prior Multipliers'!$C$6:$C$70,MATCH(LEFT(AH337,6),'Prior Multipliers'!$A$6:$A$70,0)),IFERROR(INDEX('Prior Multipliers'!$C$6:$C$70,MATCH(LEFT(AH337,2),'Prior Multipliers'!$A$6:$A$70,0)),1))))</f>
        <v/>
      </c>
      <c r="CG337" s="49" t="str">
        <f>IF(CB337="","",IF(AND('Seasonal Tercile Tally'!$B$5=1,BT337="Rating-based"),CB337*CF337,CB337))</f>
        <v/>
      </c>
      <c r="CH337" s="47">
        <f t="shared" si="156"/>
        <v>0</v>
      </c>
      <c r="CI337" s="45"/>
      <c r="CJ337" s="42" t="str">
        <f t="shared" si="157"/>
        <v/>
      </c>
      <c r="CM337" s="42" t="str">
        <f t="shared" si="158"/>
        <v/>
      </c>
      <c r="CP337" s="46" t="str">
        <f t="shared" si="159"/>
        <v/>
      </c>
      <c r="CS337" s="46" t="str">
        <f t="shared" si="160"/>
        <v/>
      </c>
      <c r="CT337" s="42" t="str">
        <f t="shared" si="161"/>
        <v/>
      </c>
      <c r="CU337" s="42" t="str">
        <f t="shared" si="162"/>
        <v/>
      </c>
      <c r="CV337" s="42" t="str">
        <f t="shared" si="163"/>
        <v/>
      </c>
      <c r="DB337" s="45"/>
      <c r="DH337" s="42" t="str">
        <f t="shared" si="164"/>
        <v/>
      </c>
      <c r="DI337" s="43" t="str">
        <f t="shared" si="165"/>
        <v/>
      </c>
      <c r="DK337" s="46" t="str">
        <f t="shared" si="166"/>
        <v/>
      </c>
      <c r="DQ337" s="42" t="str">
        <f>IF(AH337="","",IFERROR(ROUND(100*('Weighting Options'!$D$7*IF(ISNUMBER(CA337),CA337/3,0)+'Weighting Options'!$D$8*MIN(N(BL337),3)/3+'Weighting Options'!$D$9*IF(AP337="Community/Plenary-endorsed",1,IF(AP337="FGD-validated only",0.75,IF(AP337="Sub-community-specific",0.5,IF(AP337="Provisional/emerging",0.25,0))))+'Weighting Options'!$D$10*IF(ISNUMBER(K337),K337/3,0)+'Weighting Options'!$D$11*IF(CC337="",0.5,IF(CC337="OK",1,0.25))+'Weighting Options'!$D$12*IF(DK337="",0.5,IF(DK337="Agrees",1,IF(DK337="Opposite",0,0.5)))+'Weighting Options'!$D$13*MIN(N(BG337),3)/3+'Weighting Options'!$D$14*IF(AE337=1,1,0))/SUM('Weighting Options'!$D$7:$D$14),0),""))</f>
        <v/>
      </c>
      <c r="DR337" s="44" t="str">
        <f>IF(AH337="","",IFERROR(INDEX('Weighting Options'!$D$20:$D$27,VALUE(LEFT(TRIM(BU337),1))),1))</f>
        <v/>
      </c>
      <c r="DS337" s="44" t="str">
        <f t="shared" si="167"/>
        <v/>
      </c>
      <c r="DT337" s="42" t="str">
        <f>IF(AH337="","",IF(COUNTIFS($AH$12:AH337,AH337,$AI$12:AI337,AI337,$AM$12:AM337,AM337)=1,1,0))</f>
        <v/>
      </c>
    </row>
    <row r="338" spans="16:124" ht="12.75" customHeight="1" x14ac:dyDescent="0.35">
      <c r="P338" s="41"/>
      <c r="Q338" s="41"/>
      <c r="R338" s="41"/>
      <c r="S338" s="41"/>
      <c r="AH338" s="40"/>
      <c r="AP338" s="40"/>
      <c r="AS338" s="41"/>
      <c r="AT338" s="41"/>
      <c r="AW338" t="str">
        <f t="shared" si="140"/>
        <v/>
      </c>
      <c r="AX338" t="str">
        <f t="shared" si="141"/>
        <v/>
      </c>
      <c r="AY338" t="str">
        <f t="shared" si="142"/>
        <v/>
      </c>
      <c r="AZ338" s="40"/>
      <c r="BL338" s="47" t="str">
        <f t="shared" si="143"/>
        <v/>
      </c>
      <c r="BM338" s="47" t="str">
        <f t="shared" si="144"/>
        <v/>
      </c>
      <c r="BN338" s="47" t="str">
        <f t="shared" si="145"/>
        <v/>
      </c>
      <c r="BO338" s="47" t="str">
        <f t="shared" si="146"/>
        <v/>
      </c>
      <c r="BP338" s="47" t="str">
        <f t="shared" si="147"/>
        <v/>
      </c>
      <c r="BQ338" s="48" t="str">
        <f t="shared" si="148"/>
        <v/>
      </c>
      <c r="BR338" s="48" t="str">
        <f t="shared" si="149"/>
        <v/>
      </c>
      <c r="BS338" s="48" t="str">
        <f t="shared" si="150"/>
        <v/>
      </c>
      <c r="BT338" s="47" t="str">
        <f t="shared" si="151"/>
        <v/>
      </c>
      <c r="CA338" s="47" t="str">
        <f t="shared" si="152"/>
        <v/>
      </c>
      <c r="CB338" s="47" t="str">
        <f t="shared" si="153"/>
        <v/>
      </c>
      <c r="CC338" s="47" t="str">
        <f t="shared" si="154"/>
        <v/>
      </c>
      <c r="CD338" s="47" t="str">
        <f t="shared" si="155"/>
        <v/>
      </c>
      <c r="CE338" s="47" t="str">
        <f>IF(AH338="","",IF(OR(AI338&lt;&gt;'Seasonal Tercile Tally'!$B$3,AM338&lt;&gt;'Seasonal Tercile Tally'!$B$4),"Other site/ season",IF(DT338=0,"Excluded: duplicate (later row)",IF(N338&lt;&gt;1,"Excluded: not sighted",IF(AC338&lt;&gt;1,"Excluded: not confirmed",IF(AD338&lt;&gt;1,"Excluded: not approved",IF(AP338="Contested","Excluded: contested",IF(OR(U338="",U338=0),"Excluded: no tercile",IF(CB338="","Counted (simple tally only — no weight)","Counted")))))))))</f>
        <v/>
      </c>
      <c r="CF338" s="49" t="str">
        <f>IF(AH338="","",IFERROR(INDEX('Prior Multipliers'!$C$6:$C$70,MATCH(LEFT(AH338,10),'Prior Multipliers'!$A$6:$A$70,0)),IFERROR(INDEX('Prior Multipliers'!$C$6:$C$70,MATCH(LEFT(AH338,6),'Prior Multipliers'!$A$6:$A$70,0)),IFERROR(INDEX('Prior Multipliers'!$C$6:$C$70,MATCH(LEFT(AH338,2),'Prior Multipliers'!$A$6:$A$70,0)),1))))</f>
        <v/>
      </c>
      <c r="CG338" s="49" t="str">
        <f>IF(CB338="","",IF(AND('Seasonal Tercile Tally'!$B$5=1,BT338="Rating-based"),CB338*CF338,CB338))</f>
        <v/>
      </c>
      <c r="CH338" s="47">
        <f t="shared" si="156"/>
        <v>0</v>
      </c>
      <c r="CI338" s="45"/>
      <c r="CJ338" s="42" t="str">
        <f t="shared" si="157"/>
        <v/>
      </c>
      <c r="CM338" s="42" t="str">
        <f t="shared" si="158"/>
        <v/>
      </c>
      <c r="CP338" s="46" t="str">
        <f t="shared" si="159"/>
        <v/>
      </c>
      <c r="CS338" s="46" t="str">
        <f t="shared" si="160"/>
        <v/>
      </c>
      <c r="CT338" s="42" t="str">
        <f t="shared" si="161"/>
        <v/>
      </c>
      <c r="CU338" s="42" t="str">
        <f t="shared" si="162"/>
        <v/>
      </c>
      <c r="CV338" s="42" t="str">
        <f t="shared" si="163"/>
        <v/>
      </c>
      <c r="DB338" s="45"/>
      <c r="DH338" s="42" t="str">
        <f t="shared" si="164"/>
        <v/>
      </c>
      <c r="DI338" s="43" t="str">
        <f t="shared" si="165"/>
        <v/>
      </c>
      <c r="DK338" s="46" t="str">
        <f t="shared" si="166"/>
        <v/>
      </c>
      <c r="DQ338" s="42" t="str">
        <f>IF(AH338="","",IFERROR(ROUND(100*('Weighting Options'!$D$7*IF(ISNUMBER(CA338),CA338/3,0)+'Weighting Options'!$D$8*MIN(N(BL338),3)/3+'Weighting Options'!$D$9*IF(AP338="Community/Plenary-endorsed",1,IF(AP338="FGD-validated only",0.75,IF(AP338="Sub-community-specific",0.5,IF(AP338="Provisional/emerging",0.25,0))))+'Weighting Options'!$D$10*IF(ISNUMBER(K338),K338/3,0)+'Weighting Options'!$D$11*IF(CC338="",0.5,IF(CC338="OK",1,0.25))+'Weighting Options'!$D$12*IF(DK338="",0.5,IF(DK338="Agrees",1,IF(DK338="Opposite",0,0.5)))+'Weighting Options'!$D$13*MIN(N(BG338),3)/3+'Weighting Options'!$D$14*IF(AE338=1,1,0))/SUM('Weighting Options'!$D$7:$D$14),0),""))</f>
        <v/>
      </c>
      <c r="DR338" s="44" t="str">
        <f>IF(AH338="","",IFERROR(INDEX('Weighting Options'!$D$20:$D$27,VALUE(LEFT(TRIM(BU338),1))),1))</f>
        <v/>
      </c>
      <c r="DS338" s="44" t="str">
        <f t="shared" si="167"/>
        <v/>
      </c>
      <c r="DT338" s="42" t="str">
        <f>IF(AH338="","",IF(COUNTIFS($AH$12:AH338,AH338,$AI$12:AI338,AI338,$AM$12:AM338,AM338)=1,1,0))</f>
        <v/>
      </c>
    </row>
    <row r="339" spans="16:124" ht="12.75" customHeight="1" x14ac:dyDescent="0.35">
      <c r="P339" s="41"/>
      <c r="Q339" s="41"/>
      <c r="R339" s="41"/>
      <c r="S339" s="41"/>
      <c r="AH339" s="40"/>
      <c r="AP339" s="40"/>
      <c r="AS339" s="41"/>
      <c r="AT339" s="41"/>
      <c r="AW339" t="str">
        <f t="shared" si="140"/>
        <v/>
      </c>
      <c r="AX339" t="str">
        <f t="shared" si="141"/>
        <v/>
      </c>
      <c r="AY339" t="str">
        <f t="shared" si="142"/>
        <v/>
      </c>
      <c r="AZ339" s="40"/>
      <c r="BL339" s="47" t="str">
        <f t="shared" si="143"/>
        <v/>
      </c>
      <c r="BM339" s="47" t="str">
        <f t="shared" si="144"/>
        <v/>
      </c>
      <c r="BN339" s="47" t="str">
        <f t="shared" si="145"/>
        <v/>
      </c>
      <c r="BO339" s="47" t="str">
        <f t="shared" si="146"/>
        <v/>
      </c>
      <c r="BP339" s="47" t="str">
        <f t="shared" si="147"/>
        <v/>
      </c>
      <c r="BQ339" s="48" t="str">
        <f t="shared" si="148"/>
        <v/>
      </c>
      <c r="BR339" s="48" t="str">
        <f t="shared" si="149"/>
        <v/>
      </c>
      <c r="BS339" s="48" t="str">
        <f t="shared" si="150"/>
        <v/>
      </c>
      <c r="BT339" s="47" t="str">
        <f t="shared" si="151"/>
        <v/>
      </c>
      <c r="CA339" s="47" t="str">
        <f t="shared" si="152"/>
        <v/>
      </c>
      <c r="CB339" s="47" t="str">
        <f t="shared" si="153"/>
        <v/>
      </c>
      <c r="CC339" s="47" t="str">
        <f t="shared" si="154"/>
        <v/>
      </c>
      <c r="CD339" s="47" t="str">
        <f t="shared" si="155"/>
        <v/>
      </c>
      <c r="CE339" s="47" t="str">
        <f>IF(AH339="","",IF(OR(AI339&lt;&gt;'Seasonal Tercile Tally'!$B$3,AM339&lt;&gt;'Seasonal Tercile Tally'!$B$4),"Other site/ season",IF(DT339=0,"Excluded: duplicate (later row)",IF(N339&lt;&gt;1,"Excluded: not sighted",IF(AC339&lt;&gt;1,"Excluded: not confirmed",IF(AD339&lt;&gt;1,"Excluded: not approved",IF(AP339="Contested","Excluded: contested",IF(OR(U339="",U339=0),"Excluded: no tercile",IF(CB339="","Counted (simple tally only — no weight)","Counted")))))))))</f>
        <v/>
      </c>
      <c r="CF339" s="49" t="str">
        <f>IF(AH339="","",IFERROR(INDEX('Prior Multipliers'!$C$6:$C$70,MATCH(LEFT(AH339,10),'Prior Multipliers'!$A$6:$A$70,0)),IFERROR(INDEX('Prior Multipliers'!$C$6:$C$70,MATCH(LEFT(AH339,6),'Prior Multipliers'!$A$6:$A$70,0)),IFERROR(INDEX('Prior Multipliers'!$C$6:$C$70,MATCH(LEFT(AH339,2),'Prior Multipliers'!$A$6:$A$70,0)),1))))</f>
        <v/>
      </c>
      <c r="CG339" s="49" t="str">
        <f>IF(CB339="","",IF(AND('Seasonal Tercile Tally'!$B$5=1,BT339="Rating-based"),CB339*CF339,CB339))</f>
        <v/>
      </c>
      <c r="CH339" s="47">
        <f t="shared" si="156"/>
        <v>0</v>
      </c>
      <c r="CI339" s="45"/>
      <c r="CJ339" s="42" t="str">
        <f t="shared" si="157"/>
        <v/>
      </c>
      <c r="CM339" s="42" t="str">
        <f t="shared" si="158"/>
        <v/>
      </c>
      <c r="CP339" s="46" t="str">
        <f t="shared" si="159"/>
        <v/>
      </c>
      <c r="CS339" s="46" t="str">
        <f t="shared" si="160"/>
        <v/>
      </c>
      <c r="CT339" s="42" t="str">
        <f t="shared" si="161"/>
        <v/>
      </c>
      <c r="CU339" s="42" t="str">
        <f t="shared" si="162"/>
        <v/>
      </c>
      <c r="CV339" s="42" t="str">
        <f t="shared" si="163"/>
        <v/>
      </c>
      <c r="DB339" s="45"/>
      <c r="DH339" s="42" t="str">
        <f t="shared" si="164"/>
        <v/>
      </c>
      <c r="DI339" s="43" t="str">
        <f t="shared" si="165"/>
        <v/>
      </c>
      <c r="DK339" s="46" t="str">
        <f t="shared" si="166"/>
        <v/>
      </c>
      <c r="DQ339" s="42" t="str">
        <f>IF(AH339="","",IFERROR(ROUND(100*('Weighting Options'!$D$7*IF(ISNUMBER(CA339),CA339/3,0)+'Weighting Options'!$D$8*MIN(N(BL339),3)/3+'Weighting Options'!$D$9*IF(AP339="Community/Plenary-endorsed",1,IF(AP339="FGD-validated only",0.75,IF(AP339="Sub-community-specific",0.5,IF(AP339="Provisional/emerging",0.25,0))))+'Weighting Options'!$D$10*IF(ISNUMBER(K339),K339/3,0)+'Weighting Options'!$D$11*IF(CC339="",0.5,IF(CC339="OK",1,0.25))+'Weighting Options'!$D$12*IF(DK339="",0.5,IF(DK339="Agrees",1,IF(DK339="Opposite",0,0.5)))+'Weighting Options'!$D$13*MIN(N(BG339),3)/3+'Weighting Options'!$D$14*IF(AE339=1,1,0))/SUM('Weighting Options'!$D$7:$D$14),0),""))</f>
        <v/>
      </c>
      <c r="DR339" s="44" t="str">
        <f>IF(AH339="","",IFERROR(INDEX('Weighting Options'!$D$20:$D$27,VALUE(LEFT(TRIM(BU339),1))),1))</f>
        <v/>
      </c>
      <c r="DS339" s="44" t="str">
        <f t="shared" si="167"/>
        <v/>
      </c>
      <c r="DT339" s="42" t="str">
        <f>IF(AH339="","",IF(COUNTIFS($AH$12:AH339,AH339,$AI$12:AI339,AI339,$AM$12:AM339,AM339)=1,1,0))</f>
        <v/>
      </c>
    </row>
    <row r="340" spans="16:124" ht="12.75" customHeight="1" x14ac:dyDescent="0.35">
      <c r="P340" s="41"/>
      <c r="Q340" s="41"/>
      <c r="R340" s="41"/>
      <c r="S340" s="41"/>
      <c r="AH340" s="40"/>
      <c r="AP340" s="40"/>
      <c r="AS340" s="41"/>
      <c r="AT340" s="41"/>
      <c r="AW340" t="str">
        <f t="shared" si="140"/>
        <v/>
      </c>
      <c r="AX340" t="str">
        <f t="shared" si="141"/>
        <v/>
      </c>
      <c r="AY340" t="str">
        <f t="shared" si="142"/>
        <v/>
      </c>
      <c r="AZ340" s="40"/>
      <c r="BL340" s="47" t="str">
        <f t="shared" si="143"/>
        <v/>
      </c>
      <c r="BM340" s="47" t="str">
        <f t="shared" si="144"/>
        <v/>
      </c>
      <c r="BN340" s="47" t="str">
        <f t="shared" si="145"/>
        <v/>
      </c>
      <c r="BO340" s="47" t="str">
        <f t="shared" si="146"/>
        <v/>
      </c>
      <c r="BP340" s="47" t="str">
        <f t="shared" si="147"/>
        <v/>
      </c>
      <c r="BQ340" s="48" t="str">
        <f t="shared" si="148"/>
        <v/>
      </c>
      <c r="BR340" s="48" t="str">
        <f t="shared" si="149"/>
        <v/>
      </c>
      <c r="BS340" s="48" t="str">
        <f t="shared" si="150"/>
        <v/>
      </c>
      <c r="BT340" s="47" t="str">
        <f t="shared" si="151"/>
        <v/>
      </c>
      <c r="CA340" s="47" t="str">
        <f t="shared" si="152"/>
        <v/>
      </c>
      <c r="CB340" s="47" t="str">
        <f t="shared" si="153"/>
        <v/>
      </c>
      <c r="CC340" s="47" t="str">
        <f t="shared" si="154"/>
        <v/>
      </c>
      <c r="CD340" s="47" t="str">
        <f t="shared" si="155"/>
        <v/>
      </c>
      <c r="CE340" s="47" t="str">
        <f>IF(AH340="","",IF(OR(AI340&lt;&gt;'Seasonal Tercile Tally'!$B$3,AM340&lt;&gt;'Seasonal Tercile Tally'!$B$4),"Other site/ season",IF(DT340=0,"Excluded: duplicate (later row)",IF(N340&lt;&gt;1,"Excluded: not sighted",IF(AC340&lt;&gt;1,"Excluded: not confirmed",IF(AD340&lt;&gt;1,"Excluded: not approved",IF(AP340="Contested","Excluded: contested",IF(OR(U340="",U340=0),"Excluded: no tercile",IF(CB340="","Counted (simple tally only — no weight)","Counted")))))))))</f>
        <v/>
      </c>
      <c r="CF340" s="49" t="str">
        <f>IF(AH340="","",IFERROR(INDEX('Prior Multipliers'!$C$6:$C$70,MATCH(LEFT(AH340,10),'Prior Multipliers'!$A$6:$A$70,0)),IFERROR(INDEX('Prior Multipliers'!$C$6:$C$70,MATCH(LEFT(AH340,6),'Prior Multipliers'!$A$6:$A$70,0)),IFERROR(INDEX('Prior Multipliers'!$C$6:$C$70,MATCH(LEFT(AH340,2),'Prior Multipliers'!$A$6:$A$70,0)),1))))</f>
        <v/>
      </c>
      <c r="CG340" s="49" t="str">
        <f>IF(CB340="","",IF(AND('Seasonal Tercile Tally'!$B$5=1,BT340="Rating-based"),CB340*CF340,CB340))</f>
        <v/>
      </c>
      <c r="CH340" s="47">
        <f t="shared" si="156"/>
        <v>0</v>
      </c>
      <c r="CI340" s="45"/>
      <c r="CJ340" s="42" t="str">
        <f t="shared" si="157"/>
        <v/>
      </c>
      <c r="CM340" s="42" t="str">
        <f t="shared" si="158"/>
        <v/>
      </c>
      <c r="CP340" s="46" t="str">
        <f t="shared" si="159"/>
        <v/>
      </c>
      <c r="CS340" s="46" t="str">
        <f t="shared" si="160"/>
        <v/>
      </c>
      <c r="CT340" s="42" t="str">
        <f t="shared" si="161"/>
        <v/>
      </c>
      <c r="CU340" s="42" t="str">
        <f t="shared" si="162"/>
        <v/>
      </c>
      <c r="CV340" s="42" t="str">
        <f t="shared" si="163"/>
        <v/>
      </c>
      <c r="DB340" s="45"/>
      <c r="DH340" s="42" t="str">
        <f t="shared" si="164"/>
        <v/>
      </c>
      <c r="DI340" s="43" t="str">
        <f t="shared" si="165"/>
        <v/>
      </c>
      <c r="DK340" s="46" t="str">
        <f t="shared" si="166"/>
        <v/>
      </c>
      <c r="DQ340" s="42" t="str">
        <f>IF(AH340="","",IFERROR(ROUND(100*('Weighting Options'!$D$7*IF(ISNUMBER(CA340),CA340/3,0)+'Weighting Options'!$D$8*MIN(N(BL340),3)/3+'Weighting Options'!$D$9*IF(AP340="Community/Plenary-endorsed",1,IF(AP340="FGD-validated only",0.75,IF(AP340="Sub-community-specific",0.5,IF(AP340="Provisional/emerging",0.25,0))))+'Weighting Options'!$D$10*IF(ISNUMBER(K340),K340/3,0)+'Weighting Options'!$D$11*IF(CC340="",0.5,IF(CC340="OK",1,0.25))+'Weighting Options'!$D$12*IF(DK340="",0.5,IF(DK340="Agrees",1,IF(DK340="Opposite",0,0.5)))+'Weighting Options'!$D$13*MIN(N(BG340),3)/3+'Weighting Options'!$D$14*IF(AE340=1,1,0))/SUM('Weighting Options'!$D$7:$D$14),0),""))</f>
        <v/>
      </c>
      <c r="DR340" s="44" t="str">
        <f>IF(AH340="","",IFERROR(INDEX('Weighting Options'!$D$20:$D$27,VALUE(LEFT(TRIM(BU340),1))),1))</f>
        <v/>
      </c>
      <c r="DS340" s="44" t="str">
        <f t="shared" si="167"/>
        <v/>
      </c>
      <c r="DT340" s="42" t="str">
        <f>IF(AH340="","",IF(COUNTIFS($AH$12:AH340,AH340,$AI$12:AI340,AI340,$AM$12:AM340,AM340)=1,1,0))</f>
        <v/>
      </c>
    </row>
    <row r="341" spans="16:124" ht="12.75" customHeight="1" x14ac:dyDescent="0.35">
      <c r="P341" s="41"/>
      <c r="Q341" s="41"/>
      <c r="R341" s="41"/>
      <c r="S341" s="41"/>
      <c r="AH341" s="40"/>
      <c r="AP341" s="40"/>
      <c r="AS341" s="41"/>
      <c r="AT341" s="41"/>
      <c r="AW341" t="str">
        <f t="shared" si="140"/>
        <v/>
      </c>
      <c r="AX341" t="str">
        <f t="shared" si="141"/>
        <v/>
      </c>
      <c r="AY341" t="str">
        <f t="shared" si="142"/>
        <v/>
      </c>
      <c r="AZ341" s="40"/>
      <c r="BL341" s="47" t="str">
        <f t="shared" si="143"/>
        <v/>
      </c>
      <c r="BM341" s="47" t="str">
        <f t="shared" si="144"/>
        <v/>
      </c>
      <c r="BN341" s="47" t="str">
        <f t="shared" si="145"/>
        <v/>
      </c>
      <c r="BO341" s="47" t="str">
        <f t="shared" si="146"/>
        <v/>
      </c>
      <c r="BP341" s="47" t="str">
        <f t="shared" si="147"/>
        <v/>
      </c>
      <c r="BQ341" s="48" t="str">
        <f t="shared" si="148"/>
        <v/>
      </c>
      <c r="BR341" s="48" t="str">
        <f t="shared" si="149"/>
        <v/>
      </c>
      <c r="BS341" s="48" t="str">
        <f t="shared" si="150"/>
        <v/>
      </c>
      <c r="BT341" s="47" t="str">
        <f t="shared" si="151"/>
        <v/>
      </c>
      <c r="CA341" s="47" t="str">
        <f t="shared" si="152"/>
        <v/>
      </c>
      <c r="CB341" s="47" t="str">
        <f t="shared" si="153"/>
        <v/>
      </c>
      <c r="CC341" s="47" t="str">
        <f t="shared" si="154"/>
        <v/>
      </c>
      <c r="CD341" s="47" t="str">
        <f t="shared" si="155"/>
        <v/>
      </c>
      <c r="CE341" s="47" t="str">
        <f>IF(AH341="","",IF(OR(AI341&lt;&gt;'Seasonal Tercile Tally'!$B$3,AM341&lt;&gt;'Seasonal Tercile Tally'!$B$4),"Other site/ season",IF(DT341=0,"Excluded: duplicate (later row)",IF(N341&lt;&gt;1,"Excluded: not sighted",IF(AC341&lt;&gt;1,"Excluded: not confirmed",IF(AD341&lt;&gt;1,"Excluded: not approved",IF(AP341="Contested","Excluded: contested",IF(OR(U341="",U341=0),"Excluded: no tercile",IF(CB341="","Counted (simple tally only — no weight)","Counted")))))))))</f>
        <v/>
      </c>
      <c r="CF341" s="49" t="str">
        <f>IF(AH341="","",IFERROR(INDEX('Prior Multipliers'!$C$6:$C$70,MATCH(LEFT(AH341,10),'Prior Multipliers'!$A$6:$A$70,0)),IFERROR(INDEX('Prior Multipliers'!$C$6:$C$70,MATCH(LEFT(AH341,6),'Prior Multipliers'!$A$6:$A$70,0)),IFERROR(INDEX('Prior Multipliers'!$C$6:$C$70,MATCH(LEFT(AH341,2),'Prior Multipliers'!$A$6:$A$70,0)),1))))</f>
        <v/>
      </c>
      <c r="CG341" s="49" t="str">
        <f>IF(CB341="","",IF(AND('Seasonal Tercile Tally'!$B$5=1,BT341="Rating-based"),CB341*CF341,CB341))</f>
        <v/>
      </c>
      <c r="CH341" s="47">
        <f t="shared" si="156"/>
        <v>0</v>
      </c>
      <c r="CI341" s="45"/>
      <c r="CJ341" s="42" t="str">
        <f t="shared" si="157"/>
        <v/>
      </c>
      <c r="CM341" s="42" t="str">
        <f t="shared" si="158"/>
        <v/>
      </c>
      <c r="CP341" s="46" t="str">
        <f t="shared" si="159"/>
        <v/>
      </c>
      <c r="CS341" s="46" t="str">
        <f t="shared" si="160"/>
        <v/>
      </c>
      <c r="CT341" s="42" t="str">
        <f t="shared" si="161"/>
        <v/>
      </c>
      <c r="CU341" s="42" t="str">
        <f t="shared" si="162"/>
        <v/>
      </c>
      <c r="CV341" s="42" t="str">
        <f t="shared" si="163"/>
        <v/>
      </c>
      <c r="DB341" s="45"/>
      <c r="DH341" s="42" t="str">
        <f t="shared" si="164"/>
        <v/>
      </c>
      <c r="DI341" s="43" t="str">
        <f t="shared" si="165"/>
        <v/>
      </c>
      <c r="DK341" s="46" t="str">
        <f t="shared" si="166"/>
        <v/>
      </c>
      <c r="DQ341" s="42" t="str">
        <f>IF(AH341="","",IFERROR(ROUND(100*('Weighting Options'!$D$7*IF(ISNUMBER(CA341),CA341/3,0)+'Weighting Options'!$D$8*MIN(N(BL341),3)/3+'Weighting Options'!$D$9*IF(AP341="Community/Plenary-endorsed",1,IF(AP341="FGD-validated only",0.75,IF(AP341="Sub-community-specific",0.5,IF(AP341="Provisional/emerging",0.25,0))))+'Weighting Options'!$D$10*IF(ISNUMBER(K341),K341/3,0)+'Weighting Options'!$D$11*IF(CC341="",0.5,IF(CC341="OK",1,0.25))+'Weighting Options'!$D$12*IF(DK341="",0.5,IF(DK341="Agrees",1,IF(DK341="Opposite",0,0.5)))+'Weighting Options'!$D$13*MIN(N(BG341),3)/3+'Weighting Options'!$D$14*IF(AE341=1,1,0))/SUM('Weighting Options'!$D$7:$D$14),0),""))</f>
        <v/>
      </c>
      <c r="DR341" s="44" t="str">
        <f>IF(AH341="","",IFERROR(INDEX('Weighting Options'!$D$20:$D$27,VALUE(LEFT(TRIM(BU341),1))),1))</f>
        <v/>
      </c>
      <c r="DS341" s="44" t="str">
        <f t="shared" si="167"/>
        <v/>
      </c>
      <c r="DT341" s="42" t="str">
        <f>IF(AH341="","",IF(COUNTIFS($AH$12:AH341,AH341,$AI$12:AI341,AI341,$AM$12:AM341,AM341)=1,1,0))</f>
        <v/>
      </c>
    </row>
    <row r="342" spans="16:124" ht="12.75" customHeight="1" x14ac:dyDescent="0.35">
      <c r="P342" s="41"/>
      <c r="Q342" s="41"/>
      <c r="R342" s="41"/>
      <c r="S342" s="41"/>
      <c r="AH342" s="40"/>
      <c r="AP342" s="40"/>
      <c r="AS342" s="41"/>
      <c r="AT342" s="41"/>
      <c r="AW342" t="str">
        <f t="shared" si="140"/>
        <v/>
      </c>
      <c r="AX342" t="str">
        <f t="shared" si="141"/>
        <v/>
      </c>
      <c r="AY342" t="str">
        <f t="shared" si="142"/>
        <v/>
      </c>
      <c r="AZ342" s="40"/>
      <c r="BL342" s="47" t="str">
        <f t="shared" si="143"/>
        <v/>
      </c>
      <c r="BM342" s="47" t="str">
        <f t="shared" si="144"/>
        <v/>
      </c>
      <c r="BN342" s="47" t="str">
        <f t="shared" si="145"/>
        <v/>
      </c>
      <c r="BO342" s="47" t="str">
        <f t="shared" si="146"/>
        <v/>
      </c>
      <c r="BP342" s="47" t="str">
        <f t="shared" si="147"/>
        <v/>
      </c>
      <c r="BQ342" s="48" t="str">
        <f t="shared" si="148"/>
        <v/>
      </c>
      <c r="BR342" s="48" t="str">
        <f t="shared" si="149"/>
        <v/>
      </c>
      <c r="BS342" s="48" t="str">
        <f t="shared" si="150"/>
        <v/>
      </c>
      <c r="BT342" s="47" t="str">
        <f t="shared" si="151"/>
        <v/>
      </c>
      <c r="CA342" s="47" t="str">
        <f t="shared" si="152"/>
        <v/>
      </c>
      <c r="CB342" s="47" t="str">
        <f t="shared" si="153"/>
        <v/>
      </c>
      <c r="CC342" s="47" t="str">
        <f t="shared" si="154"/>
        <v/>
      </c>
      <c r="CD342" s="47" t="str">
        <f t="shared" si="155"/>
        <v/>
      </c>
      <c r="CE342" s="47" t="str">
        <f>IF(AH342="","",IF(OR(AI342&lt;&gt;'Seasonal Tercile Tally'!$B$3,AM342&lt;&gt;'Seasonal Tercile Tally'!$B$4),"Other site/ season",IF(DT342=0,"Excluded: duplicate (later row)",IF(N342&lt;&gt;1,"Excluded: not sighted",IF(AC342&lt;&gt;1,"Excluded: not confirmed",IF(AD342&lt;&gt;1,"Excluded: not approved",IF(AP342="Contested","Excluded: contested",IF(OR(U342="",U342=0),"Excluded: no tercile",IF(CB342="","Counted (simple tally only — no weight)","Counted")))))))))</f>
        <v/>
      </c>
      <c r="CF342" s="49" t="str">
        <f>IF(AH342="","",IFERROR(INDEX('Prior Multipliers'!$C$6:$C$70,MATCH(LEFT(AH342,10),'Prior Multipliers'!$A$6:$A$70,0)),IFERROR(INDEX('Prior Multipliers'!$C$6:$C$70,MATCH(LEFT(AH342,6),'Prior Multipliers'!$A$6:$A$70,0)),IFERROR(INDEX('Prior Multipliers'!$C$6:$C$70,MATCH(LEFT(AH342,2),'Prior Multipliers'!$A$6:$A$70,0)),1))))</f>
        <v/>
      </c>
      <c r="CG342" s="49" t="str">
        <f>IF(CB342="","",IF(AND('Seasonal Tercile Tally'!$B$5=1,BT342="Rating-based"),CB342*CF342,CB342))</f>
        <v/>
      </c>
      <c r="CH342" s="47">
        <f t="shared" si="156"/>
        <v>0</v>
      </c>
      <c r="CI342" s="45"/>
      <c r="CJ342" s="42" t="str">
        <f t="shared" si="157"/>
        <v/>
      </c>
      <c r="CM342" s="42" t="str">
        <f t="shared" si="158"/>
        <v/>
      </c>
      <c r="CP342" s="46" t="str">
        <f t="shared" si="159"/>
        <v/>
      </c>
      <c r="CS342" s="46" t="str">
        <f t="shared" si="160"/>
        <v/>
      </c>
      <c r="CT342" s="42" t="str">
        <f t="shared" si="161"/>
        <v/>
      </c>
      <c r="CU342" s="42" t="str">
        <f t="shared" si="162"/>
        <v/>
      </c>
      <c r="CV342" s="42" t="str">
        <f t="shared" si="163"/>
        <v/>
      </c>
      <c r="DB342" s="45"/>
      <c r="DH342" s="42" t="str">
        <f t="shared" si="164"/>
        <v/>
      </c>
      <c r="DI342" s="43" t="str">
        <f t="shared" si="165"/>
        <v/>
      </c>
      <c r="DK342" s="46" t="str">
        <f t="shared" si="166"/>
        <v/>
      </c>
      <c r="DQ342" s="42" t="str">
        <f>IF(AH342="","",IFERROR(ROUND(100*('Weighting Options'!$D$7*IF(ISNUMBER(CA342),CA342/3,0)+'Weighting Options'!$D$8*MIN(N(BL342),3)/3+'Weighting Options'!$D$9*IF(AP342="Community/Plenary-endorsed",1,IF(AP342="FGD-validated only",0.75,IF(AP342="Sub-community-specific",0.5,IF(AP342="Provisional/emerging",0.25,0))))+'Weighting Options'!$D$10*IF(ISNUMBER(K342),K342/3,0)+'Weighting Options'!$D$11*IF(CC342="",0.5,IF(CC342="OK",1,0.25))+'Weighting Options'!$D$12*IF(DK342="",0.5,IF(DK342="Agrees",1,IF(DK342="Opposite",0,0.5)))+'Weighting Options'!$D$13*MIN(N(BG342),3)/3+'Weighting Options'!$D$14*IF(AE342=1,1,0))/SUM('Weighting Options'!$D$7:$D$14),0),""))</f>
        <v/>
      </c>
      <c r="DR342" s="44" t="str">
        <f>IF(AH342="","",IFERROR(INDEX('Weighting Options'!$D$20:$D$27,VALUE(LEFT(TRIM(BU342),1))),1))</f>
        <v/>
      </c>
      <c r="DS342" s="44" t="str">
        <f t="shared" si="167"/>
        <v/>
      </c>
      <c r="DT342" s="42" t="str">
        <f>IF(AH342="","",IF(COUNTIFS($AH$12:AH342,AH342,$AI$12:AI342,AI342,$AM$12:AM342,AM342)=1,1,0))</f>
        <v/>
      </c>
    </row>
    <row r="343" spans="16:124" ht="12.75" customHeight="1" x14ac:dyDescent="0.35">
      <c r="P343" s="41"/>
      <c r="Q343" s="41"/>
      <c r="R343" s="41"/>
      <c r="S343" s="41"/>
      <c r="AH343" s="40"/>
      <c r="AP343" s="40"/>
      <c r="AS343" s="41"/>
      <c r="AT343" s="41"/>
      <c r="AW343" t="str">
        <f t="shared" si="140"/>
        <v/>
      </c>
      <c r="AX343" t="str">
        <f t="shared" si="141"/>
        <v/>
      </c>
      <c r="AY343" t="str">
        <f t="shared" si="142"/>
        <v/>
      </c>
      <c r="AZ343" s="40"/>
      <c r="BL343" s="47" t="str">
        <f t="shared" si="143"/>
        <v/>
      </c>
      <c r="BM343" s="47" t="str">
        <f t="shared" si="144"/>
        <v/>
      </c>
      <c r="BN343" s="47" t="str">
        <f t="shared" si="145"/>
        <v/>
      </c>
      <c r="BO343" s="47" t="str">
        <f t="shared" si="146"/>
        <v/>
      </c>
      <c r="BP343" s="47" t="str">
        <f t="shared" si="147"/>
        <v/>
      </c>
      <c r="BQ343" s="48" t="str">
        <f t="shared" si="148"/>
        <v/>
      </c>
      <c r="BR343" s="48" t="str">
        <f t="shared" si="149"/>
        <v/>
      </c>
      <c r="BS343" s="48" t="str">
        <f t="shared" si="150"/>
        <v/>
      </c>
      <c r="BT343" s="47" t="str">
        <f t="shared" si="151"/>
        <v/>
      </c>
      <c r="CA343" s="47" t="str">
        <f t="shared" si="152"/>
        <v/>
      </c>
      <c r="CB343" s="47" t="str">
        <f t="shared" si="153"/>
        <v/>
      </c>
      <c r="CC343" s="47" t="str">
        <f t="shared" si="154"/>
        <v/>
      </c>
      <c r="CD343" s="47" t="str">
        <f t="shared" si="155"/>
        <v/>
      </c>
      <c r="CE343" s="47" t="str">
        <f>IF(AH343="","",IF(OR(AI343&lt;&gt;'Seasonal Tercile Tally'!$B$3,AM343&lt;&gt;'Seasonal Tercile Tally'!$B$4),"Other site/ season",IF(DT343=0,"Excluded: duplicate (later row)",IF(N343&lt;&gt;1,"Excluded: not sighted",IF(AC343&lt;&gt;1,"Excluded: not confirmed",IF(AD343&lt;&gt;1,"Excluded: not approved",IF(AP343="Contested","Excluded: contested",IF(OR(U343="",U343=0),"Excluded: no tercile",IF(CB343="","Counted (simple tally only — no weight)","Counted")))))))))</f>
        <v/>
      </c>
      <c r="CF343" s="49" t="str">
        <f>IF(AH343="","",IFERROR(INDEX('Prior Multipliers'!$C$6:$C$70,MATCH(LEFT(AH343,10),'Prior Multipliers'!$A$6:$A$70,0)),IFERROR(INDEX('Prior Multipliers'!$C$6:$C$70,MATCH(LEFT(AH343,6),'Prior Multipliers'!$A$6:$A$70,0)),IFERROR(INDEX('Prior Multipliers'!$C$6:$C$70,MATCH(LEFT(AH343,2),'Prior Multipliers'!$A$6:$A$70,0)),1))))</f>
        <v/>
      </c>
      <c r="CG343" s="49" t="str">
        <f>IF(CB343="","",IF(AND('Seasonal Tercile Tally'!$B$5=1,BT343="Rating-based"),CB343*CF343,CB343))</f>
        <v/>
      </c>
      <c r="CH343" s="47">
        <f t="shared" si="156"/>
        <v>0</v>
      </c>
      <c r="CI343" s="45"/>
      <c r="CJ343" s="42" t="str">
        <f t="shared" si="157"/>
        <v/>
      </c>
      <c r="CM343" s="42" t="str">
        <f t="shared" si="158"/>
        <v/>
      </c>
      <c r="CP343" s="46" t="str">
        <f t="shared" si="159"/>
        <v/>
      </c>
      <c r="CS343" s="46" t="str">
        <f t="shared" si="160"/>
        <v/>
      </c>
      <c r="CT343" s="42" t="str">
        <f t="shared" si="161"/>
        <v/>
      </c>
      <c r="CU343" s="42" t="str">
        <f t="shared" si="162"/>
        <v/>
      </c>
      <c r="CV343" s="42" t="str">
        <f t="shared" si="163"/>
        <v/>
      </c>
      <c r="DB343" s="45"/>
      <c r="DH343" s="42" t="str">
        <f t="shared" si="164"/>
        <v/>
      </c>
      <c r="DI343" s="43" t="str">
        <f t="shared" si="165"/>
        <v/>
      </c>
      <c r="DK343" s="46" t="str">
        <f t="shared" si="166"/>
        <v/>
      </c>
      <c r="DQ343" s="42" t="str">
        <f>IF(AH343="","",IFERROR(ROUND(100*('Weighting Options'!$D$7*IF(ISNUMBER(CA343),CA343/3,0)+'Weighting Options'!$D$8*MIN(N(BL343),3)/3+'Weighting Options'!$D$9*IF(AP343="Community/Plenary-endorsed",1,IF(AP343="FGD-validated only",0.75,IF(AP343="Sub-community-specific",0.5,IF(AP343="Provisional/emerging",0.25,0))))+'Weighting Options'!$D$10*IF(ISNUMBER(K343),K343/3,0)+'Weighting Options'!$D$11*IF(CC343="",0.5,IF(CC343="OK",1,0.25))+'Weighting Options'!$D$12*IF(DK343="",0.5,IF(DK343="Agrees",1,IF(DK343="Opposite",0,0.5)))+'Weighting Options'!$D$13*MIN(N(BG343),3)/3+'Weighting Options'!$D$14*IF(AE343=1,1,0))/SUM('Weighting Options'!$D$7:$D$14),0),""))</f>
        <v/>
      </c>
      <c r="DR343" s="44" t="str">
        <f>IF(AH343="","",IFERROR(INDEX('Weighting Options'!$D$20:$D$27,VALUE(LEFT(TRIM(BU343),1))),1))</f>
        <v/>
      </c>
      <c r="DS343" s="44" t="str">
        <f t="shared" si="167"/>
        <v/>
      </c>
      <c r="DT343" s="42" t="str">
        <f>IF(AH343="","",IF(COUNTIFS($AH$12:AH343,AH343,$AI$12:AI343,AI343,$AM$12:AM343,AM343)=1,1,0))</f>
        <v/>
      </c>
    </row>
    <row r="344" spans="16:124" ht="12.75" customHeight="1" x14ac:dyDescent="0.35">
      <c r="P344" s="41"/>
      <c r="Q344" s="41"/>
      <c r="R344" s="41"/>
      <c r="S344" s="41"/>
      <c r="AH344" s="40"/>
      <c r="AP344" s="40"/>
      <c r="AS344" s="41"/>
      <c r="AT344" s="41"/>
      <c r="AW344" t="str">
        <f t="shared" si="140"/>
        <v/>
      </c>
      <c r="AX344" t="str">
        <f t="shared" si="141"/>
        <v/>
      </c>
      <c r="AY344" t="str">
        <f t="shared" si="142"/>
        <v/>
      </c>
      <c r="AZ344" s="40"/>
      <c r="BL344" s="47" t="str">
        <f t="shared" si="143"/>
        <v/>
      </c>
      <c r="BM344" s="47" t="str">
        <f t="shared" si="144"/>
        <v/>
      </c>
      <c r="BN344" s="47" t="str">
        <f t="shared" si="145"/>
        <v/>
      </c>
      <c r="BO344" s="47" t="str">
        <f t="shared" si="146"/>
        <v/>
      </c>
      <c r="BP344" s="47" t="str">
        <f t="shared" si="147"/>
        <v/>
      </c>
      <c r="BQ344" s="48" t="str">
        <f t="shared" si="148"/>
        <v/>
      </c>
      <c r="BR344" s="48" t="str">
        <f t="shared" si="149"/>
        <v/>
      </c>
      <c r="BS344" s="48" t="str">
        <f t="shared" si="150"/>
        <v/>
      </c>
      <c r="BT344" s="47" t="str">
        <f t="shared" si="151"/>
        <v/>
      </c>
      <c r="CA344" s="47" t="str">
        <f t="shared" si="152"/>
        <v/>
      </c>
      <c r="CB344" s="47" t="str">
        <f t="shared" si="153"/>
        <v/>
      </c>
      <c r="CC344" s="47" t="str">
        <f t="shared" si="154"/>
        <v/>
      </c>
      <c r="CD344" s="47" t="str">
        <f t="shared" si="155"/>
        <v/>
      </c>
      <c r="CE344" s="47" t="str">
        <f>IF(AH344="","",IF(OR(AI344&lt;&gt;'Seasonal Tercile Tally'!$B$3,AM344&lt;&gt;'Seasonal Tercile Tally'!$B$4),"Other site/ season",IF(DT344=0,"Excluded: duplicate (later row)",IF(N344&lt;&gt;1,"Excluded: not sighted",IF(AC344&lt;&gt;1,"Excluded: not confirmed",IF(AD344&lt;&gt;1,"Excluded: not approved",IF(AP344="Contested","Excluded: contested",IF(OR(U344="",U344=0),"Excluded: no tercile",IF(CB344="","Counted (simple tally only — no weight)","Counted")))))))))</f>
        <v/>
      </c>
      <c r="CF344" s="49" t="str">
        <f>IF(AH344="","",IFERROR(INDEX('Prior Multipliers'!$C$6:$C$70,MATCH(LEFT(AH344,10),'Prior Multipliers'!$A$6:$A$70,0)),IFERROR(INDEX('Prior Multipliers'!$C$6:$C$70,MATCH(LEFT(AH344,6),'Prior Multipliers'!$A$6:$A$70,0)),IFERROR(INDEX('Prior Multipliers'!$C$6:$C$70,MATCH(LEFT(AH344,2),'Prior Multipliers'!$A$6:$A$70,0)),1))))</f>
        <v/>
      </c>
      <c r="CG344" s="49" t="str">
        <f>IF(CB344="","",IF(AND('Seasonal Tercile Tally'!$B$5=1,BT344="Rating-based"),CB344*CF344,CB344))</f>
        <v/>
      </c>
      <c r="CH344" s="47">
        <f t="shared" si="156"/>
        <v>0</v>
      </c>
      <c r="CI344" s="45"/>
      <c r="CJ344" s="42" t="str">
        <f t="shared" si="157"/>
        <v/>
      </c>
      <c r="CM344" s="42" t="str">
        <f t="shared" si="158"/>
        <v/>
      </c>
      <c r="CP344" s="46" t="str">
        <f t="shared" si="159"/>
        <v/>
      </c>
      <c r="CS344" s="46" t="str">
        <f t="shared" si="160"/>
        <v/>
      </c>
      <c r="CT344" s="42" t="str">
        <f t="shared" si="161"/>
        <v/>
      </c>
      <c r="CU344" s="42" t="str">
        <f t="shared" si="162"/>
        <v/>
      </c>
      <c r="CV344" s="42" t="str">
        <f t="shared" si="163"/>
        <v/>
      </c>
      <c r="DB344" s="45"/>
      <c r="DH344" s="42" t="str">
        <f t="shared" si="164"/>
        <v/>
      </c>
      <c r="DI344" s="43" t="str">
        <f t="shared" si="165"/>
        <v/>
      </c>
      <c r="DK344" s="46" t="str">
        <f t="shared" si="166"/>
        <v/>
      </c>
      <c r="DQ344" s="42" t="str">
        <f>IF(AH344="","",IFERROR(ROUND(100*('Weighting Options'!$D$7*IF(ISNUMBER(CA344),CA344/3,0)+'Weighting Options'!$D$8*MIN(N(BL344),3)/3+'Weighting Options'!$D$9*IF(AP344="Community/Plenary-endorsed",1,IF(AP344="FGD-validated only",0.75,IF(AP344="Sub-community-specific",0.5,IF(AP344="Provisional/emerging",0.25,0))))+'Weighting Options'!$D$10*IF(ISNUMBER(K344),K344/3,0)+'Weighting Options'!$D$11*IF(CC344="",0.5,IF(CC344="OK",1,0.25))+'Weighting Options'!$D$12*IF(DK344="",0.5,IF(DK344="Agrees",1,IF(DK344="Opposite",0,0.5)))+'Weighting Options'!$D$13*MIN(N(BG344),3)/3+'Weighting Options'!$D$14*IF(AE344=1,1,0))/SUM('Weighting Options'!$D$7:$D$14),0),""))</f>
        <v/>
      </c>
      <c r="DR344" s="44" t="str">
        <f>IF(AH344="","",IFERROR(INDEX('Weighting Options'!$D$20:$D$27,VALUE(LEFT(TRIM(BU344),1))),1))</f>
        <v/>
      </c>
      <c r="DS344" s="44" t="str">
        <f t="shared" si="167"/>
        <v/>
      </c>
      <c r="DT344" s="42" t="str">
        <f>IF(AH344="","",IF(COUNTIFS($AH$12:AH344,AH344,$AI$12:AI344,AI344,$AM$12:AM344,AM344)=1,1,0))</f>
        <v/>
      </c>
    </row>
    <row r="345" spans="16:124" ht="12.75" customHeight="1" x14ac:dyDescent="0.35">
      <c r="P345" s="41"/>
      <c r="Q345" s="41"/>
      <c r="R345" s="41"/>
      <c r="S345" s="41"/>
      <c r="AH345" s="40"/>
      <c r="AP345" s="40"/>
      <c r="AS345" s="41"/>
      <c r="AT345" s="41"/>
      <c r="AW345" t="str">
        <f t="shared" si="140"/>
        <v/>
      </c>
      <c r="AX345" t="str">
        <f t="shared" si="141"/>
        <v/>
      </c>
      <c r="AY345" t="str">
        <f t="shared" si="142"/>
        <v/>
      </c>
      <c r="AZ345" s="40"/>
      <c r="BL345" s="47" t="str">
        <f t="shared" si="143"/>
        <v/>
      </c>
      <c r="BM345" s="47" t="str">
        <f t="shared" si="144"/>
        <v/>
      </c>
      <c r="BN345" s="47" t="str">
        <f t="shared" si="145"/>
        <v/>
      </c>
      <c r="BO345" s="47" t="str">
        <f t="shared" si="146"/>
        <v/>
      </c>
      <c r="BP345" s="47" t="str">
        <f t="shared" si="147"/>
        <v/>
      </c>
      <c r="BQ345" s="48" t="str">
        <f t="shared" si="148"/>
        <v/>
      </c>
      <c r="BR345" s="48" t="str">
        <f t="shared" si="149"/>
        <v/>
      </c>
      <c r="BS345" s="48" t="str">
        <f t="shared" si="150"/>
        <v/>
      </c>
      <c r="BT345" s="47" t="str">
        <f t="shared" si="151"/>
        <v/>
      </c>
      <c r="CA345" s="47" t="str">
        <f t="shared" si="152"/>
        <v/>
      </c>
      <c r="CB345" s="47" t="str">
        <f t="shared" si="153"/>
        <v/>
      </c>
      <c r="CC345" s="47" t="str">
        <f t="shared" si="154"/>
        <v/>
      </c>
      <c r="CD345" s="47" t="str">
        <f t="shared" si="155"/>
        <v/>
      </c>
      <c r="CE345" s="47" t="str">
        <f>IF(AH345="","",IF(OR(AI345&lt;&gt;'Seasonal Tercile Tally'!$B$3,AM345&lt;&gt;'Seasonal Tercile Tally'!$B$4),"Other site/ season",IF(DT345=0,"Excluded: duplicate (later row)",IF(N345&lt;&gt;1,"Excluded: not sighted",IF(AC345&lt;&gt;1,"Excluded: not confirmed",IF(AD345&lt;&gt;1,"Excluded: not approved",IF(AP345="Contested","Excluded: contested",IF(OR(U345="",U345=0),"Excluded: no tercile",IF(CB345="","Counted (simple tally only — no weight)","Counted")))))))))</f>
        <v/>
      </c>
      <c r="CF345" s="49" t="str">
        <f>IF(AH345="","",IFERROR(INDEX('Prior Multipliers'!$C$6:$C$70,MATCH(LEFT(AH345,10),'Prior Multipliers'!$A$6:$A$70,0)),IFERROR(INDEX('Prior Multipliers'!$C$6:$C$70,MATCH(LEFT(AH345,6),'Prior Multipliers'!$A$6:$A$70,0)),IFERROR(INDEX('Prior Multipliers'!$C$6:$C$70,MATCH(LEFT(AH345,2),'Prior Multipliers'!$A$6:$A$70,0)),1))))</f>
        <v/>
      </c>
      <c r="CG345" s="49" t="str">
        <f>IF(CB345="","",IF(AND('Seasonal Tercile Tally'!$B$5=1,BT345="Rating-based"),CB345*CF345,CB345))</f>
        <v/>
      </c>
      <c r="CH345" s="47">
        <f t="shared" si="156"/>
        <v>0</v>
      </c>
      <c r="CI345" s="45"/>
      <c r="CJ345" s="42" t="str">
        <f t="shared" si="157"/>
        <v/>
      </c>
      <c r="CM345" s="42" t="str">
        <f t="shared" si="158"/>
        <v/>
      </c>
      <c r="CP345" s="46" t="str">
        <f t="shared" si="159"/>
        <v/>
      </c>
      <c r="CS345" s="46" t="str">
        <f t="shared" si="160"/>
        <v/>
      </c>
      <c r="CT345" s="42" t="str">
        <f t="shared" si="161"/>
        <v/>
      </c>
      <c r="CU345" s="42" t="str">
        <f t="shared" si="162"/>
        <v/>
      </c>
      <c r="CV345" s="42" t="str">
        <f t="shared" si="163"/>
        <v/>
      </c>
      <c r="DB345" s="45"/>
      <c r="DH345" s="42" t="str">
        <f t="shared" si="164"/>
        <v/>
      </c>
      <c r="DI345" s="43" t="str">
        <f t="shared" si="165"/>
        <v/>
      </c>
      <c r="DK345" s="46" t="str">
        <f t="shared" si="166"/>
        <v/>
      </c>
      <c r="DQ345" s="42" t="str">
        <f>IF(AH345="","",IFERROR(ROUND(100*('Weighting Options'!$D$7*IF(ISNUMBER(CA345),CA345/3,0)+'Weighting Options'!$D$8*MIN(N(BL345),3)/3+'Weighting Options'!$D$9*IF(AP345="Community/Plenary-endorsed",1,IF(AP345="FGD-validated only",0.75,IF(AP345="Sub-community-specific",0.5,IF(AP345="Provisional/emerging",0.25,0))))+'Weighting Options'!$D$10*IF(ISNUMBER(K345),K345/3,0)+'Weighting Options'!$D$11*IF(CC345="",0.5,IF(CC345="OK",1,0.25))+'Weighting Options'!$D$12*IF(DK345="",0.5,IF(DK345="Agrees",1,IF(DK345="Opposite",0,0.5)))+'Weighting Options'!$D$13*MIN(N(BG345),3)/3+'Weighting Options'!$D$14*IF(AE345=1,1,0))/SUM('Weighting Options'!$D$7:$D$14),0),""))</f>
        <v/>
      </c>
      <c r="DR345" s="44" t="str">
        <f>IF(AH345="","",IFERROR(INDEX('Weighting Options'!$D$20:$D$27,VALUE(LEFT(TRIM(BU345),1))),1))</f>
        <v/>
      </c>
      <c r="DS345" s="44" t="str">
        <f t="shared" si="167"/>
        <v/>
      </c>
      <c r="DT345" s="42" t="str">
        <f>IF(AH345="","",IF(COUNTIFS($AH$12:AH345,AH345,$AI$12:AI345,AI345,$AM$12:AM345,AM345)=1,1,0))</f>
        <v/>
      </c>
    </row>
    <row r="346" spans="16:124" ht="12.75" customHeight="1" x14ac:dyDescent="0.35">
      <c r="P346" s="41"/>
      <c r="Q346" s="41"/>
      <c r="R346" s="41"/>
      <c r="S346" s="41"/>
      <c r="AH346" s="40"/>
      <c r="AP346" s="40"/>
      <c r="AS346" s="41"/>
      <c r="AT346" s="41"/>
      <c r="AW346" t="str">
        <f t="shared" si="140"/>
        <v/>
      </c>
      <c r="AX346" t="str">
        <f t="shared" si="141"/>
        <v/>
      </c>
      <c r="AY346" t="str">
        <f t="shared" si="142"/>
        <v/>
      </c>
      <c r="AZ346" s="40"/>
      <c r="BL346" s="47" t="str">
        <f t="shared" si="143"/>
        <v/>
      </c>
      <c r="BM346" s="47" t="str">
        <f t="shared" si="144"/>
        <v/>
      </c>
      <c r="BN346" s="47" t="str">
        <f t="shared" si="145"/>
        <v/>
      </c>
      <c r="BO346" s="47" t="str">
        <f t="shared" si="146"/>
        <v/>
      </c>
      <c r="BP346" s="47" t="str">
        <f t="shared" si="147"/>
        <v/>
      </c>
      <c r="BQ346" s="48" t="str">
        <f t="shared" si="148"/>
        <v/>
      </c>
      <c r="BR346" s="48" t="str">
        <f t="shared" si="149"/>
        <v/>
      </c>
      <c r="BS346" s="48" t="str">
        <f t="shared" si="150"/>
        <v/>
      </c>
      <c r="BT346" s="47" t="str">
        <f t="shared" si="151"/>
        <v/>
      </c>
      <c r="CA346" s="47" t="str">
        <f t="shared" si="152"/>
        <v/>
      </c>
      <c r="CB346" s="47" t="str">
        <f t="shared" si="153"/>
        <v/>
      </c>
      <c r="CC346" s="47" t="str">
        <f t="shared" si="154"/>
        <v/>
      </c>
      <c r="CD346" s="47" t="str">
        <f t="shared" si="155"/>
        <v/>
      </c>
      <c r="CE346" s="47" t="str">
        <f>IF(AH346="","",IF(OR(AI346&lt;&gt;'Seasonal Tercile Tally'!$B$3,AM346&lt;&gt;'Seasonal Tercile Tally'!$B$4),"Other site/ season",IF(DT346=0,"Excluded: duplicate (later row)",IF(N346&lt;&gt;1,"Excluded: not sighted",IF(AC346&lt;&gt;1,"Excluded: not confirmed",IF(AD346&lt;&gt;1,"Excluded: not approved",IF(AP346="Contested","Excluded: contested",IF(OR(U346="",U346=0),"Excluded: no tercile",IF(CB346="","Counted (simple tally only — no weight)","Counted")))))))))</f>
        <v/>
      </c>
      <c r="CF346" s="49" t="str">
        <f>IF(AH346="","",IFERROR(INDEX('Prior Multipliers'!$C$6:$C$70,MATCH(LEFT(AH346,10),'Prior Multipliers'!$A$6:$A$70,0)),IFERROR(INDEX('Prior Multipliers'!$C$6:$C$70,MATCH(LEFT(AH346,6),'Prior Multipliers'!$A$6:$A$70,0)),IFERROR(INDEX('Prior Multipliers'!$C$6:$C$70,MATCH(LEFT(AH346,2),'Prior Multipliers'!$A$6:$A$70,0)),1))))</f>
        <v/>
      </c>
      <c r="CG346" s="49" t="str">
        <f>IF(CB346="","",IF(AND('Seasonal Tercile Tally'!$B$5=1,BT346="Rating-based"),CB346*CF346,CB346))</f>
        <v/>
      </c>
      <c r="CH346" s="47">
        <f t="shared" si="156"/>
        <v>0</v>
      </c>
      <c r="CI346" s="45"/>
      <c r="CJ346" s="42" t="str">
        <f t="shared" si="157"/>
        <v/>
      </c>
      <c r="CM346" s="42" t="str">
        <f t="shared" si="158"/>
        <v/>
      </c>
      <c r="CP346" s="46" t="str">
        <f t="shared" si="159"/>
        <v/>
      </c>
      <c r="CS346" s="46" t="str">
        <f t="shared" si="160"/>
        <v/>
      </c>
      <c r="CT346" s="42" t="str">
        <f t="shared" si="161"/>
        <v/>
      </c>
      <c r="CU346" s="42" t="str">
        <f t="shared" si="162"/>
        <v/>
      </c>
      <c r="CV346" s="42" t="str">
        <f t="shared" si="163"/>
        <v/>
      </c>
      <c r="DB346" s="45"/>
      <c r="DH346" s="42" t="str">
        <f t="shared" si="164"/>
        <v/>
      </c>
      <c r="DI346" s="43" t="str">
        <f t="shared" si="165"/>
        <v/>
      </c>
      <c r="DK346" s="46" t="str">
        <f t="shared" si="166"/>
        <v/>
      </c>
      <c r="DQ346" s="42" t="str">
        <f>IF(AH346="","",IFERROR(ROUND(100*('Weighting Options'!$D$7*IF(ISNUMBER(CA346),CA346/3,0)+'Weighting Options'!$D$8*MIN(N(BL346),3)/3+'Weighting Options'!$D$9*IF(AP346="Community/Plenary-endorsed",1,IF(AP346="FGD-validated only",0.75,IF(AP346="Sub-community-specific",0.5,IF(AP346="Provisional/emerging",0.25,0))))+'Weighting Options'!$D$10*IF(ISNUMBER(K346),K346/3,0)+'Weighting Options'!$D$11*IF(CC346="",0.5,IF(CC346="OK",1,0.25))+'Weighting Options'!$D$12*IF(DK346="",0.5,IF(DK346="Agrees",1,IF(DK346="Opposite",0,0.5)))+'Weighting Options'!$D$13*MIN(N(BG346),3)/3+'Weighting Options'!$D$14*IF(AE346=1,1,0))/SUM('Weighting Options'!$D$7:$D$14),0),""))</f>
        <v/>
      </c>
      <c r="DR346" s="44" t="str">
        <f>IF(AH346="","",IFERROR(INDEX('Weighting Options'!$D$20:$D$27,VALUE(LEFT(TRIM(BU346),1))),1))</f>
        <v/>
      </c>
      <c r="DS346" s="44" t="str">
        <f t="shared" si="167"/>
        <v/>
      </c>
      <c r="DT346" s="42" t="str">
        <f>IF(AH346="","",IF(COUNTIFS($AH$12:AH346,AH346,$AI$12:AI346,AI346,$AM$12:AM346,AM346)=1,1,0))</f>
        <v/>
      </c>
    </row>
    <row r="347" spans="16:124" ht="12.75" customHeight="1" x14ac:dyDescent="0.35">
      <c r="P347" s="41"/>
      <c r="Q347" s="41"/>
      <c r="R347" s="41"/>
      <c r="S347" s="41"/>
      <c r="AH347" s="40"/>
      <c r="AP347" s="40"/>
      <c r="AS347" s="41"/>
      <c r="AT347" s="41"/>
      <c r="AW347" t="str">
        <f t="shared" si="140"/>
        <v/>
      </c>
      <c r="AX347" t="str">
        <f t="shared" si="141"/>
        <v/>
      </c>
      <c r="AY347" t="str">
        <f t="shared" si="142"/>
        <v/>
      </c>
      <c r="AZ347" s="40"/>
      <c r="BL347" s="47" t="str">
        <f t="shared" si="143"/>
        <v/>
      </c>
      <c r="BM347" s="47" t="str">
        <f t="shared" si="144"/>
        <v/>
      </c>
      <c r="BN347" s="47" t="str">
        <f t="shared" si="145"/>
        <v/>
      </c>
      <c r="BO347" s="47" t="str">
        <f t="shared" si="146"/>
        <v/>
      </c>
      <c r="BP347" s="47" t="str">
        <f t="shared" si="147"/>
        <v/>
      </c>
      <c r="BQ347" s="48" t="str">
        <f t="shared" si="148"/>
        <v/>
      </c>
      <c r="BR347" s="48" t="str">
        <f t="shared" si="149"/>
        <v/>
      </c>
      <c r="BS347" s="48" t="str">
        <f t="shared" si="150"/>
        <v/>
      </c>
      <c r="BT347" s="47" t="str">
        <f t="shared" si="151"/>
        <v/>
      </c>
      <c r="CA347" s="47" t="str">
        <f t="shared" si="152"/>
        <v/>
      </c>
      <c r="CB347" s="47" t="str">
        <f t="shared" si="153"/>
        <v/>
      </c>
      <c r="CC347" s="47" t="str">
        <f t="shared" si="154"/>
        <v/>
      </c>
      <c r="CD347" s="47" t="str">
        <f t="shared" si="155"/>
        <v/>
      </c>
      <c r="CE347" s="47" t="str">
        <f>IF(AH347="","",IF(OR(AI347&lt;&gt;'Seasonal Tercile Tally'!$B$3,AM347&lt;&gt;'Seasonal Tercile Tally'!$B$4),"Other site/ season",IF(DT347=0,"Excluded: duplicate (later row)",IF(N347&lt;&gt;1,"Excluded: not sighted",IF(AC347&lt;&gt;1,"Excluded: not confirmed",IF(AD347&lt;&gt;1,"Excluded: not approved",IF(AP347="Contested","Excluded: contested",IF(OR(U347="",U347=0),"Excluded: no tercile",IF(CB347="","Counted (simple tally only — no weight)","Counted")))))))))</f>
        <v/>
      </c>
      <c r="CF347" s="49" t="str">
        <f>IF(AH347="","",IFERROR(INDEX('Prior Multipliers'!$C$6:$C$70,MATCH(LEFT(AH347,10),'Prior Multipliers'!$A$6:$A$70,0)),IFERROR(INDEX('Prior Multipliers'!$C$6:$C$70,MATCH(LEFT(AH347,6),'Prior Multipliers'!$A$6:$A$70,0)),IFERROR(INDEX('Prior Multipliers'!$C$6:$C$70,MATCH(LEFT(AH347,2),'Prior Multipliers'!$A$6:$A$70,0)),1))))</f>
        <v/>
      </c>
      <c r="CG347" s="49" t="str">
        <f>IF(CB347="","",IF(AND('Seasonal Tercile Tally'!$B$5=1,BT347="Rating-based"),CB347*CF347,CB347))</f>
        <v/>
      </c>
      <c r="CH347" s="47">
        <f t="shared" si="156"/>
        <v>0</v>
      </c>
      <c r="CI347" s="45"/>
      <c r="CJ347" s="42" t="str">
        <f t="shared" si="157"/>
        <v/>
      </c>
      <c r="CM347" s="42" t="str">
        <f t="shared" si="158"/>
        <v/>
      </c>
      <c r="CP347" s="46" t="str">
        <f t="shared" si="159"/>
        <v/>
      </c>
      <c r="CS347" s="46" t="str">
        <f t="shared" si="160"/>
        <v/>
      </c>
      <c r="CT347" s="42" t="str">
        <f t="shared" si="161"/>
        <v/>
      </c>
      <c r="CU347" s="42" t="str">
        <f t="shared" si="162"/>
        <v/>
      </c>
      <c r="CV347" s="42" t="str">
        <f t="shared" si="163"/>
        <v/>
      </c>
      <c r="DB347" s="45"/>
      <c r="DH347" s="42" t="str">
        <f t="shared" si="164"/>
        <v/>
      </c>
      <c r="DI347" s="43" t="str">
        <f t="shared" si="165"/>
        <v/>
      </c>
      <c r="DK347" s="46" t="str">
        <f t="shared" si="166"/>
        <v/>
      </c>
      <c r="DQ347" s="42" t="str">
        <f>IF(AH347="","",IFERROR(ROUND(100*('Weighting Options'!$D$7*IF(ISNUMBER(CA347),CA347/3,0)+'Weighting Options'!$D$8*MIN(N(BL347),3)/3+'Weighting Options'!$D$9*IF(AP347="Community/Plenary-endorsed",1,IF(AP347="FGD-validated only",0.75,IF(AP347="Sub-community-specific",0.5,IF(AP347="Provisional/emerging",0.25,0))))+'Weighting Options'!$D$10*IF(ISNUMBER(K347),K347/3,0)+'Weighting Options'!$D$11*IF(CC347="",0.5,IF(CC347="OK",1,0.25))+'Weighting Options'!$D$12*IF(DK347="",0.5,IF(DK347="Agrees",1,IF(DK347="Opposite",0,0.5)))+'Weighting Options'!$D$13*MIN(N(BG347),3)/3+'Weighting Options'!$D$14*IF(AE347=1,1,0))/SUM('Weighting Options'!$D$7:$D$14),0),""))</f>
        <v/>
      </c>
      <c r="DR347" s="44" t="str">
        <f>IF(AH347="","",IFERROR(INDEX('Weighting Options'!$D$20:$D$27,VALUE(LEFT(TRIM(BU347),1))),1))</f>
        <v/>
      </c>
      <c r="DS347" s="44" t="str">
        <f t="shared" si="167"/>
        <v/>
      </c>
      <c r="DT347" s="42" t="str">
        <f>IF(AH347="","",IF(COUNTIFS($AH$12:AH347,AH347,$AI$12:AI347,AI347,$AM$12:AM347,AM347)=1,1,0))</f>
        <v/>
      </c>
    </row>
    <row r="348" spans="16:124" ht="12.75" customHeight="1" x14ac:dyDescent="0.35">
      <c r="P348" s="41"/>
      <c r="Q348" s="41"/>
      <c r="R348" s="41"/>
      <c r="S348" s="41"/>
      <c r="AH348" s="40"/>
      <c r="AP348" s="40"/>
      <c r="AS348" s="41"/>
      <c r="AT348" s="41"/>
      <c r="AW348" t="str">
        <f t="shared" si="140"/>
        <v/>
      </c>
      <c r="AX348" t="str">
        <f t="shared" si="141"/>
        <v/>
      </c>
      <c r="AY348" t="str">
        <f t="shared" si="142"/>
        <v/>
      </c>
      <c r="AZ348" s="40"/>
      <c r="BL348" s="47" t="str">
        <f t="shared" si="143"/>
        <v/>
      </c>
      <c r="BM348" s="47" t="str">
        <f t="shared" si="144"/>
        <v/>
      </c>
      <c r="BN348" s="47" t="str">
        <f t="shared" si="145"/>
        <v/>
      </c>
      <c r="BO348" s="47" t="str">
        <f t="shared" si="146"/>
        <v/>
      </c>
      <c r="BP348" s="47" t="str">
        <f t="shared" si="147"/>
        <v/>
      </c>
      <c r="BQ348" s="48" t="str">
        <f t="shared" si="148"/>
        <v/>
      </c>
      <c r="BR348" s="48" t="str">
        <f t="shared" si="149"/>
        <v/>
      </c>
      <c r="BS348" s="48" t="str">
        <f t="shared" si="150"/>
        <v/>
      </c>
      <c r="BT348" s="47" t="str">
        <f t="shared" si="151"/>
        <v/>
      </c>
      <c r="CA348" s="47" t="str">
        <f t="shared" si="152"/>
        <v/>
      </c>
      <c r="CB348" s="47" t="str">
        <f t="shared" si="153"/>
        <v/>
      </c>
      <c r="CC348" s="47" t="str">
        <f t="shared" si="154"/>
        <v/>
      </c>
      <c r="CD348" s="47" t="str">
        <f t="shared" si="155"/>
        <v/>
      </c>
      <c r="CE348" s="47" t="str">
        <f>IF(AH348="","",IF(OR(AI348&lt;&gt;'Seasonal Tercile Tally'!$B$3,AM348&lt;&gt;'Seasonal Tercile Tally'!$B$4),"Other site/ season",IF(DT348=0,"Excluded: duplicate (later row)",IF(N348&lt;&gt;1,"Excluded: not sighted",IF(AC348&lt;&gt;1,"Excluded: not confirmed",IF(AD348&lt;&gt;1,"Excluded: not approved",IF(AP348="Contested","Excluded: contested",IF(OR(U348="",U348=0),"Excluded: no tercile",IF(CB348="","Counted (simple tally only — no weight)","Counted")))))))))</f>
        <v/>
      </c>
      <c r="CF348" s="49" t="str">
        <f>IF(AH348="","",IFERROR(INDEX('Prior Multipliers'!$C$6:$C$70,MATCH(LEFT(AH348,10),'Prior Multipliers'!$A$6:$A$70,0)),IFERROR(INDEX('Prior Multipliers'!$C$6:$C$70,MATCH(LEFT(AH348,6),'Prior Multipliers'!$A$6:$A$70,0)),IFERROR(INDEX('Prior Multipliers'!$C$6:$C$70,MATCH(LEFT(AH348,2),'Prior Multipliers'!$A$6:$A$70,0)),1))))</f>
        <v/>
      </c>
      <c r="CG348" s="49" t="str">
        <f>IF(CB348="","",IF(AND('Seasonal Tercile Tally'!$B$5=1,BT348="Rating-based"),CB348*CF348,CB348))</f>
        <v/>
      </c>
      <c r="CH348" s="47">
        <f t="shared" si="156"/>
        <v>0</v>
      </c>
      <c r="CI348" s="45"/>
      <c r="CJ348" s="42" t="str">
        <f t="shared" si="157"/>
        <v/>
      </c>
      <c r="CM348" s="42" t="str">
        <f t="shared" si="158"/>
        <v/>
      </c>
      <c r="CP348" s="46" t="str">
        <f t="shared" si="159"/>
        <v/>
      </c>
      <c r="CS348" s="46" t="str">
        <f t="shared" si="160"/>
        <v/>
      </c>
      <c r="CT348" s="42" t="str">
        <f t="shared" si="161"/>
        <v/>
      </c>
      <c r="CU348" s="42" t="str">
        <f t="shared" si="162"/>
        <v/>
      </c>
      <c r="CV348" s="42" t="str">
        <f t="shared" si="163"/>
        <v/>
      </c>
      <c r="DB348" s="45"/>
      <c r="DH348" s="42" t="str">
        <f t="shared" si="164"/>
        <v/>
      </c>
      <c r="DI348" s="43" t="str">
        <f t="shared" si="165"/>
        <v/>
      </c>
      <c r="DK348" s="46" t="str">
        <f t="shared" si="166"/>
        <v/>
      </c>
      <c r="DQ348" s="42" t="str">
        <f>IF(AH348="","",IFERROR(ROUND(100*('Weighting Options'!$D$7*IF(ISNUMBER(CA348),CA348/3,0)+'Weighting Options'!$D$8*MIN(N(BL348),3)/3+'Weighting Options'!$D$9*IF(AP348="Community/Plenary-endorsed",1,IF(AP348="FGD-validated only",0.75,IF(AP348="Sub-community-specific",0.5,IF(AP348="Provisional/emerging",0.25,0))))+'Weighting Options'!$D$10*IF(ISNUMBER(K348),K348/3,0)+'Weighting Options'!$D$11*IF(CC348="",0.5,IF(CC348="OK",1,0.25))+'Weighting Options'!$D$12*IF(DK348="",0.5,IF(DK348="Agrees",1,IF(DK348="Opposite",0,0.5)))+'Weighting Options'!$D$13*MIN(N(BG348),3)/3+'Weighting Options'!$D$14*IF(AE348=1,1,0))/SUM('Weighting Options'!$D$7:$D$14),0),""))</f>
        <v/>
      </c>
      <c r="DR348" s="44" t="str">
        <f>IF(AH348="","",IFERROR(INDEX('Weighting Options'!$D$20:$D$27,VALUE(LEFT(TRIM(BU348),1))),1))</f>
        <v/>
      </c>
      <c r="DS348" s="44" t="str">
        <f t="shared" si="167"/>
        <v/>
      </c>
      <c r="DT348" s="42" t="str">
        <f>IF(AH348="","",IF(COUNTIFS($AH$12:AH348,AH348,$AI$12:AI348,AI348,$AM$12:AM348,AM348)=1,1,0))</f>
        <v/>
      </c>
    </row>
    <row r="349" spans="16:124" ht="12.75" customHeight="1" x14ac:dyDescent="0.35">
      <c r="P349" s="41"/>
      <c r="Q349" s="41"/>
      <c r="R349" s="41"/>
      <c r="S349" s="41"/>
      <c r="AH349" s="40"/>
      <c r="AP349" s="40"/>
      <c r="AS349" s="41"/>
      <c r="AT349" s="41"/>
      <c r="AW349" t="str">
        <f t="shared" si="140"/>
        <v/>
      </c>
      <c r="AX349" t="str">
        <f t="shared" si="141"/>
        <v/>
      </c>
      <c r="AY349" t="str">
        <f t="shared" si="142"/>
        <v/>
      </c>
      <c r="AZ349" s="40"/>
      <c r="BL349" s="47" t="str">
        <f t="shared" si="143"/>
        <v/>
      </c>
      <c r="BM349" s="47" t="str">
        <f t="shared" si="144"/>
        <v/>
      </c>
      <c r="BN349" s="47" t="str">
        <f t="shared" si="145"/>
        <v/>
      </c>
      <c r="BO349" s="47" t="str">
        <f t="shared" si="146"/>
        <v/>
      </c>
      <c r="BP349" s="47" t="str">
        <f t="shared" si="147"/>
        <v/>
      </c>
      <c r="BQ349" s="48" t="str">
        <f t="shared" si="148"/>
        <v/>
      </c>
      <c r="BR349" s="48" t="str">
        <f t="shared" si="149"/>
        <v/>
      </c>
      <c r="BS349" s="48" t="str">
        <f t="shared" si="150"/>
        <v/>
      </c>
      <c r="BT349" s="47" t="str">
        <f t="shared" si="151"/>
        <v/>
      </c>
      <c r="CA349" s="47" t="str">
        <f t="shared" si="152"/>
        <v/>
      </c>
      <c r="CB349" s="47" t="str">
        <f t="shared" si="153"/>
        <v/>
      </c>
      <c r="CC349" s="47" t="str">
        <f t="shared" si="154"/>
        <v/>
      </c>
      <c r="CD349" s="47" t="str">
        <f t="shared" si="155"/>
        <v/>
      </c>
      <c r="CE349" s="47" t="str">
        <f>IF(AH349="","",IF(OR(AI349&lt;&gt;'Seasonal Tercile Tally'!$B$3,AM349&lt;&gt;'Seasonal Tercile Tally'!$B$4),"Other site/ season",IF(DT349=0,"Excluded: duplicate (later row)",IF(N349&lt;&gt;1,"Excluded: not sighted",IF(AC349&lt;&gt;1,"Excluded: not confirmed",IF(AD349&lt;&gt;1,"Excluded: not approved",IF(AP349="Contested","Excluded: contested",IF(OR(U349="",U349=0),"Excluded: no tercile",IF(CB349="","Counted (simple tally only — no weight)","Counted")))))))))</f>
        <v/>
      </c>
      <c r="CF349" s="49" t="str">
        <f>IF(AH349="","",IFERROR(INDEX('Prior Multipliers'!$C$6:$C$70,MATCH(LEFT(AH349,10),'Prior Multipliers'!$A$6:$A$70,0)),IFERROR(INDEX('Prior Multipliers'!$C$6:$C$70,MATCH(LEFT(AH349,6),'Prior Multipliers'!$A$6:$A$70,0)),IFERROR(INDEX('Prior Multipliers'!$C$6:$C$70,MATCH(LEFT(AH349,2),'Prior Multipliers'!$A$6:$A$70,0)),1))))</f>
        <v/>
      </c>
      <c r="CG349" s="49" t="str">
        <f>IF(CB349="","",IF(AND('Seasonal Tercile Tally'!$B$5=1,BT349="Rating-based"),CB349*CF349,CB349))</f>
        <v/>
      </c>
      <c r="CH349" s="47">
        <f t="shared" si="156"/>
        <v>0</v>
      </c>
      <c r="CI349" s="45"/>
      <c r="CJ349" s="42" t="str">
        <f t="shared" si="157"/>
        <v/>
      </c>
      <c r="CM349" s="42" t="str">
        <f t="shared" si="158"/>
        <v/>
      </c>
      <c r="CP349" s="46" t="str">
        <f t="shared" si="159"/>
        <v/>
      </c>
      <c r="CS349" s="46" t="str">
        <f t="shared" si="160"/>
        <v/>
      </c>
      <c r="CT349" s="42" t="str">
        <f t="shared" si="161"/>
        <v/>
      </c>
      <c r="CU349" s="42" t="str">
        <f t="shared" si="162"/>
        <v/>
      </c>
      <c r="CV349" s="42" t="str">
        <f t="shared" si="163"/>
        <v/>
      </c>
      <c r="DB349" s="45"/>
      <c r="DH349" s="42" t="str">
        <f t="shared" si="164"/>
        <v/>
      </c>
      <c r="DI349" s="43" t="str">
        <f t="shared" si="165"/>
        <v/>
      </c>
      <c r="DK349" s="46" t="str">
        <f t="shared" si="166"/>
        <v/>
      </c>
      <c r="DQ349" s="42" t="str">
        <f>IF(AH349="","",IFERROR(ROUND(100*('Weighting Options'!$D$7*IF(ISNUMBER(CA349),CA349/3,0)+'Weighting Options'!$D$8*MIN(N(BL349),3)/3+'Weighting Options'!$D$9*IF(AP349="Community/Plenary-endorsed",1,IF(AP349="FGD-validated only",0.75,IF(AP349="Sub-community-specific",0.5,IF(AP349="Provisional/emerging",0.25,0))))+'Weighting Options'!$D$10*IF(ISNUMBER(K349),K349/3,0)+'Weighting Options'!$D$11*IF(CC349="",0.5,IF(CC349="OK",1,0.25))+'Weighting Options'!$D$12*IF(DK349="",0.5,IF(DK349="Agrees",1,IF(DK349="Opposite",0,0.5)))+'Weighting Options'!$D$13*MIN(N(BG349),3)/3+'Weighting Options'!$D$14*IF(AE349=1,1,0))/SUM('Weighting Options'!$D$7:$D$14),0),""))</f>
        <v/>
      </c>
      <c r="DR349" s="44" t="str">
        <f>IF(AH349="","",IFERROR(INDEX('Weighting Options'!$D$20:$D$27,VALUE(LEFT(TRIM(BU349),1))),1))</f>
        <v/>
      </c>
      <c r="DS349" s="44" t="str">
        <f t="shared" si="167"/>
        <v/>
      </c>
      <c r="DT349" s="42" t="str">
        <f>IF(AH349="","",IF(COUNTIFS($AH$12:AH349,AH349,$AI$12:AI349,AI349,$AM$12:AM349,AM349)=1,1,0))</f>
        <v/>
      </c>
    </row>
    <row r="350" spans="16:124" ht="12.75" customHeight="1" x14ac:dyDescent="0.35">
      <c r="P350" s="41"/>
      <c r="Q350" s="41"/>
      <c r="R350" s="41"/>
      <c r="S350" s="41"/>
      <c r="AH350" s="40"/>
      <c r="AP350" s="40"/>
      <c r="AS350" s="41"/>
      <c r="AT350" s="41"/>
      <c r="AW350" t="str">
        <f t="shared" si="140"/>
        <v/>
      </c>
      <c r="AX350" t="str">
        <f t="shared" si="141"/>
        <v/>
      </c>
      <c r="AY350" t="str">
        <f t="shared" si="142"/>
        <v/>
      </c>
      <c r="AZ350" s="40"/>
      <c r="BL350" s="47" t="str">
        <f t="shared" si="143"/>
        <v/>
      </c>
      <c r="BM350" s="47" t="str">
        <f t="shared" si="144"/>
        <v/>
      </c>
      <c r="BN350" s="47" t="str">
        <f t="shared" si="145"/>
        <v/>
      </c>
      <c r="BO350" s="47" t="str">
        <f t="shared" si="146"/>
        <v/>
      </c>
      <c r="BP350" s="47" t="str">
        <f t="shared" si="147"/>
        <v/>
      </c>
      <c r="BQ350" s="48" t="str">
        <f t="shared" si="148"/>
        <v/>
      </c>
      <c r="BR350" s="48" t="str">
        <f t="shared" si="149"/>
        <v/>
      </c>
      <c r="BS350" s="48" t="str">
        <f t="shared" si="150"/>
        <v/>
      </c>
      <c r="BT350" s="47" t="str">
        <f t="shared" si="151"/>
        <v/>
      </c>
      <c r="CA350" s="47" t="str">
        <f t="shared" si="152"/>
        <v/>
      </c>
      <c r="CB350" s="47" t="str">
        <f t="shared" si="153"/>
        <v/>
      </c>
      <c r="CC350" s="47" t="str">
        <f t="shared" si="154"/>
        <v/>
      </c>
      <c r="CD350" s="47" t="str">
        <f t="shared" si="155"/>
        <v/>
      </c>
      <c r="CE350" s="47" t="str">
        <f>IF(AH350="","",IF(OR(AI350&lt;&gt;'Seasonal Tercile Tally'!$B$3,AM350&lt;&gt;'Seasonal Tercile Tally'!$B$4),"Other site/ season",IF(DT350=0,"Excluded: duplicate (later row)",IF(N350&lt;&gt;1,"Excluded: not sighted",IF(AC350&lt;&gt;1,"Excluded: not confirmed",IF(AD350&lt;&gt;1,"Excluded: not approved",IF(AP350="Contested","Excluded: contested",IF(OR(U350="",U350=0),"Excluded: no tercile",IF(CB350="","Counted (simple tally only — no weight)","Counted")))))))))</f>
        <v/>
      </c>
      <c r="CF350" s="49" t="str">
        <f>IF(AH350="","",IFERROR(INDEX('Prior Multipliers'!$C$6:$C$70,MATCH(LEFT(AH350,10),'Prior Multipliers'!$A$6:$A$70,0)),IFERROR(INDEX('Prior Multipliers'!$C$6:$C$70,MATCH(LEFT(AH350,6),'Prior Multipliers'!$A$6:$A$70,0)),IFERROR(INDEX('Prior Multipliers'!$C$6:$C$70,MATCH(LEFT(AH350,2),'Prior Multipliers'!$A$6:$A$70,0)),1))))</f>
        <v/>
      </c>
      <c r="CG350" s="49" t="str">
        <f>IF(CB350="","",IF(AND('Seasonal Tercile Tally'!$B$5=1,BT350="Rating-based"),CB350*CF350,CB350))</f>
        <v/>
      </c>
      <c r="CH350" s="47">
        <f t="shared" si="156"/>
        <v>0</v>
      </c>
      <c r="CI350" s="45"/>
      <c r="CJ350" s="42" t="str">
        <f t="shared" si="157"/>
        <v/>
      </c>
      <c r="CM350" s="42" t="str">
        <f t="shared" si="158"/>
        <v/>
      </c>
      <c r="CP350" s="46" t="str">
        <f t="shared" si="159"/>
        <v/>
      </c>
      <c r="CS350" s="46" t="str">
        <f t="shared" si="160"/>
        <v/>
      </c>
      <c r="CT350" s="42" t="str">
        <f t="shared" si="161"/>
        <v/>
      </c>
      <c r="CU350" s="42" t="str">
        <f t="shared" si="162"/>
        <v/>
      </c>
      <c r="CV350" s="42" t="str">
        <f t="shared" si="163"/>
        <v/>
      </c>
      <c r="DB350" s="45"/>
      <c r="DH350" s="42" t="str">
        <f t="shared" si="164"/>
        <v/>
      </c>
      <c r="DI350" s="43" t="str">
        <f t="shared" si="165"/>
        <v/>
      </c>
      <c r="DK350" s="46" t="str">
        <f t="shared" si="166"/>
        <v/>
      </c>
      <c r="DQ350" s="42" t="str">
        <f>IF(AH350="","",IFERROR(ROUND(100*('Weighting Options'!$D$7*IF(ISNUMBER(CA350),CA350/3,0)+'Weighting Options'!$D$8*MIN(N(BL350),3)/3+'Weighting Options'!$D$9*IF(AP350="Community/Plenary-endorsed",1,IF(AP350="FGD-validated only",0.75,IF(AP350="Sub-community-specific",0.5,IF(AP350="Provisional/emerging",0.25,0))))+'Weighting Options'!$D$10*IF(ISNUMBER(K350),K350/3,0)+'Weighting Options'!$D$11*IF(CC350="",0.5,IF(CC350="OK",1,0.25))+'Weighting Options'!$D$12*IF(DK350="",0.5,IF(DK350="Agrees",1,IF(DK350="Opposite",0,0.5)))+'Weighting Options'!$D$13*MIN(N(BG350),3)/3+'Weighting Options'!$D$14*IF(AE350=1,1,0))/SUM('Weighting Options'!$D$7:$D$14),0),""))</f>
        <v/>
      </c>
      <c r="DR350" s="44" t="str">
        <f>IF(AH350="","",IFERROR(INDEX('Weighting Options'!$D$20:$D$27,VALUE(LEFT(TRIM(BU350),1))),1))</f>
        <v/>
      </c>
      <c r="DS350" s="44" t="str">
        <f t="shared" si="167"/>
        <v/>
      </c>
      <c r="DT350" s="42" t="str">
        <f>IF(AH350="","",IF(COUNTIFS($AH$12:AH350,AH350,$AI$12:AI350,AI350,$AM$12:AM350,AM350)=1,1,0))</f>
        <v/>
      </c>
    </row>
    <row r="351" spans="16:124" ht="12.75" customHeight="1" x14ac:dyDescent="0.35">
      <c r="P351" s="41"/>
      <c r="Q351" s="41"/>
      <c r="R351" s="41"/>
      <c r="S351" s="41"/>
      <c r="AH351" s="40"/>
      <c r="AP351" s="40"/>
      <c r="AS351" s="41"/>
      <c r="AT351" s="41"/>
      <c r="AW351" t="str">
        <f t="shared" si="140"/>
        <v/>
      </c>
      <c r="AX351" t="str">
        <f t="shared" si="141"/>
        <v/>
      </c>
      <c r="AY351" t="str">
        <f t="shared" si="142"/>
        <v/>
      </c>
      <c r="AZ351" s="40"/>
      <c r="BL351" s="47" t="str">
        <f t="shared" si="143"/>
        <v/>
      </c>
      <c r="BM351" s="47" t="str">
        <f t="shared" si="144"/>
        <v/>
      </c>
      <c r="BN351" s="47" t="str">
        <f t="shared" si="145"/>
        <v/>
      </c>
      <c r="BO351" s="47" t="str">
        <f t="shared" si="146"/>
        <v/>
      </c>
      <c r="BP351" s="47" t="str">
        <f t="shared" si="147"/>
        <v/>
      </c>
      <c r="BQ351" s="48" t="str">
        <f t="shared" si="148"/>
        <v/>
      </c>
      <c r="BR351" s="48" t="str">
        <f t="shared" si="149"/>
        <v/>
      </c>
      <c r="BS351" s="48" t="str">
        <f t="shared" si="150"/>
        <v/>
      </c>
      <c r="BT351" s="47" t="str">
        <f t="shared" si="151"/>
        <v/>
      </c>
      <c r="CA351" s="47" t="str">
        <f t="shared" si="152"/>
        <v/>
      </c>
      <c r="CB351" s="47" t="str">
        <f t="shared" si="153"/>
        <v/>
      </c>
      <c r="CC351" s="47" t="str">
        <f t="shared" si="154"/>
        <v/>
      </c>
      <c r="CD351" s="47" t="str">
        <f t="shared" si="155"/>
        <v/>
      </c>
      <c r="CE351" s="47" t="str">
        <f>IF(AH351="","",IF(OR(AI351&lt;&gt;'Seasonal Tercile Tally'!$B$3,AM351&lt;&gt;'Seasonal Tercile Tally'!$B$4),"Other site/ season",IF(DT351=0,"Excluded: duplicate (later row)",IF(N351&lt;&gt;1,"Excluded: not sighted",IF(AC351&lt;&gt;1,"Excluded: not confirmed",IF(AD351&lt;&gt;1,"Excluded: not approved",IF(AP351="Contested","Excluded: contested",IF(OR(U351="",U351=0),"Excluded: no tercile",IF(CB351="","Counted (simple tally only — no weight)","Counted")))))))))</f>
        <v/>
      </c>
      <c r="CF351" s="49" t="str">
        <f>IF(AH351="","",IFERROR(INDEX('Prior Multipliers'!$C$6:$C$70,MATCH(LEFT(AH351,10),'Prior Multipliers'!$A$6:$A$70,0)),IFERROR(INDEX('Prior Multipliers'!$C$6:$C$70,MATCH(LEFT(AH351,6),'Prior Multipliers'!$A$6:$A$70,0)),IFERROR(INDEX('Prior Multipliers'!$C$6:$C$70,MATCH(LEFT(AH351,2),'Prior Multipliers'!$A$6:$A$70,0)),1))))</f>
        <v/>
      </c>
      <c r="CG351" s="49" t="str">
        <f>IF(CB351="","",IF(AND('Seasonal Tercile Tally'!$B$5=1,BT351="Rating-based"),CB351*CF351,CB351))</f>
        <v/>
      </c>
      <c r="CH351" s="47">
        <f t="shared" si="156"/>
        <v>0</v>
      </c>
      <c r="CI351" s="45"/>
      <c r="CJ351" s="42" t="str">
        <f t="shared" si="157"/>
        <v/>
      </c>
      <c r="CM351" s="42" t="str">
        <f t="shared" si="158"/>
        <v/>
      </c>
      <c r="CP351" s="46" t="str">
        <f t="shared" si="159"/>
        <v/>
      </c>
      <c r="CS351" s="46" t="str">
        <f t="shared" si="160"/>
        <v/>
      </c>
      <c r="CT351" s="42" t="str">
        <f t="shared" si="161"/>
        <v/>
      </c>
      <c r="CU351" s="42" t="str">
        <f t="shared" si="162"/>
        <v/>
      </c>
      <c r="CV351" s="42" t="str">
        <f t="shared" si="163"/>
        <v/>
      </c>
      <c r="DB351" s="45"/>
      <c r="DH351" s="42" t="str">
        <f t="shared" si="164"/>
        <v/>
      </c>
      <c r="DI351" s="43" t="str">
        <f t="shared" si="165"/>
        <v/>
      </c>
      <c r="DK351" s="46" t="str">
        <f t="shared" si="166"/>
        <v/>
      </c>
      <c r="DQ351" s="42" t="str">
        <f>IF(AH351="","",IFERROR(ROUND(100*('Weighting Options'!$D$7*IF(ISNUMBER(CA351),CA351/3,0)+'Weighting Options'!$D$8*MIN(N(BL351),3)/3+'Weighting Options'!$D$9*IF(AP351="Community/Plenary-endorsed",1,IF(AP351="FGD-validated only",0.75,IF(AP351="Sub-community-specific",0.5,IF(AP351="Provisional/emerging",0.25,0))))+'Weighting Options'!$D$10*IF(ISNUMBER(K351),K351/3,0)+'Weighting Options'!$D$11*IF(CC351="",0.5,IF(CC351="OK",1,0.25))+'Weighting Options'!$D$12*IF(DK351="",0.5,IF(DK351="Agrees",1,IF(DK351="Opposite",0,0.5)))+'Weighting Options'!$D$13*MIN(N(BG351),3)/3+'Weighting Options'!$D$14*IF(AE351=1,1,0))/SUM('Weighting Options'!$D$7:$D$14),0),""))</f>
        <v/>
      </c>
      <c r="DR351" s="44" t="str">
        <f>IF(AH351="","",IFERROR(INDEX('Weighting Options'!$D$20:$D$27,VALUE(LEFT(TRIM(BU351),1))),1))</f>
        <v/>
      </c>
      <c r="DS351" s="44" t="str">
        <f t="shared" si="167"/>
        <v/>
      </c>
      <c r="DT351" s="42" t="str">
        <f>IF(AH351="","",IF(COUNTIFS($AH$12:AH351,AH351,$AI$12:AI351,AI351,$AM$12:AM351,AM351)=1,1,0))</f>
        <v/>
      </c>
    </row>
    <row r="352" spans="16:124" ht="12.75" customHeight="1" x14ac:dyDescent="0.35">
      <c r="P352" s="41"/>
      <c r="Q352" s="41"/>
      <c r="R352" s="41"/>
      <c r="S352" s="41"/>
      <c r="AH352" s="40"/>
      <c r="AP352" s="40"/>
      <c r="AS352" s="41"/>
      <c r="AT352" s="41"/>
      <c r="AW352" t="str">
        <f t="shared" si="140"/>
        <v/>
      </c>
      <c r="AX352" t="str">
        <f t="shared" si="141"/>
        <v/>
      </c>
      <c r="AY352" t="str">
        <f t="shared" si="142"/>
        <v/>
      </c>
      <c r="AZ352" s="40"/>
      <c r="BL352" s="47" t="str">
        <f t="shared" si="143"/>
        <v/>
      </c>
      <c r="BM352" s="47" t="str">
        <f t="shared" si="144"/>
        <v/>
      </c>
      <c r="BN352" s="47" t="str">
        <f t="shared" si="145"/>
        <v/>
      </c>
      <c r="BO352" s="47" t="str">
        <f t="shared" si="146"/>
        <v/>
      </c>
      <c r="BP352" s="47" t="str">
        <f t="shared" si="147"/>
        <v/>
      </c>
      <c r="BQ352" s="48" t="str">
        <f t="shared" si="148"/>
        <v/>
      </c>
      <c r="BR352" s="48" t="str">
        <f t="shared" si="149"/>
        <v/>
      </c>
      <c r="BS352" s="48" t="str">
        <f t="shared" si="150"/>
        <v/>
      </c>
      <c r="BT352" s="47" t="str">
        <f t="shared" si="151"/>
        <v/>
      </c>
      <c r="CA352" s="47" t="str">
        <f t="shared" si="152"/>
        <v/>
      </c>
      <c r="CB352" s="47" t="str">
        <f t="shared" si="153"/>
        <v/>
      </c>
      <c r="CC352" s="47" t="str">
        <f t="shared" si="154"/>
        <v/>
      </c>
      <c r="CD352" s="47" t="str">
        <f t="shared" si="155"/>
        <v/>
      </c>
      <c r="CE352" s="47" t="str">
        <f>IF(AH352="","",IF(OR(AI352&lt;&gt;'Seasonal Tercile Tally'!$B$3,AM352&lt;&gt;'Seasonal Tercile Tally'!$B$4),"Other site/ season",IF(DT352=0,"Excluded: duplicate (later row)",IF(N352&lt;&gt;1,"Excluded: not sighted",IF(AC352&lt;&gt;1,"Excluded: not confirmed",IF(AD352&lt;&gt;1,"Excluded: not approved",IF(AP352="Contested","Excluded: contested",IF(OR(U352="",U352=0),"Excluded: no tercile",IF(CB352="","Counted (simple tally only — no weight)","Counted")))))))))</f>
        <v/>
      </c>
      <c r="CF352" s="49" t="str">
        <f>IF(AH352="","",IFERROR(INDEX('Prior Multipliers'!$C$6:$C$70,MATCH(LEFT(AH352,10),'Prior Multipliers'!$A$6:$A$70,0)),IFERROR(INDEX('Prior Multipliers'!$C$6:$C$70,MATCH(LEFT(AH352,6),'Prior Multipliers'!$A$6:$A$70,0)),IFERROR(INDEX('Prior Multipliers'!$C$6:$C$70,MATCH(LEFT(AH352,2),'Prior Multipliers'!$A$6:$A$70,0)),1))))</f>
        <v/>
      </c>
      <c r="CG352" s="49" t="str">
        <f>IF(CB352="","",IF(AND('Seasonal Tercile Tally'!$B$5=1,BT352="Rating-based"),CB352*CF352,CB352))</f>
        <v/>
      </c>
      <c r="CH352" s="47">
        <f t="shared" si="156"/>
        <v>0</v>
      </c>
      <c r="CI352" s="45"/>
      <c r="CJ352" s="42" t="str">
        <f t="shared" si="157"/>
        <v/>
      </c>
      <c r="CM352" s="42" t="str">
        <f t="shared" si="158"/>
        <v/>
      </c>
      <c r="CP352" s="46" t="str">
        <f t="shared" si="159"/>
        <v/>
      </c>
      <c r="CS352" s="46" t="str">
        <f t="shared" si="160"/>
        <v/>
      </c>
      <c r="CT352" s="42" t="str">
        <f t="shared" si="161"/>
        <v/>
      </c>
      <c r="CU352" s="42" t="str">
        <f t="shared" si="162"/>
        <v/>
      </c>
      <c r="CV352" s="42" t="str">
        <f t="shared" si="163"/>
        <v/>
      </c>
      <c r="DB352" s="45"/>
      <c r="DH352" s="42" t="str">
        <f t="shared" si="164"/>
        <v/>
      </c>
      <c r="DI352" s="43" t="str">
        <f t="shared" si="165"/>
        <v/>
      </c>
      <c r="DK352" s="46" t="str">
        <f t="shared" si="166"/>
        <v/>
      </c>
      <c r="DQ352" s="42" t="str">
        <f>IF(AH352="","",IFERROR(ROUND(100*('Weighting Options'!$D$7*IF(ISNUMBER(CA352),CA352/3,0)+'Weighting Options'!$D$8*MIN(N(BL352),3)/3+'Weighting Options'!$D$9*IF(AP352="Community/Plenary-endorsed",1,IF(AP352="FGD-validated only",0.75,IF(AP352="Sub-community-specific",0.5,IF(AP352="Provisional/emerging",0.25,0))))+'Weighting Options'!$D$10*IF(ISNUMBER(K352),K352/3,0)+'Weighting Options'!$D$11*IF(CC352="",0.5,IF(CC352="OK",1,0.25))+'Weighting Options'!$D$12*IF(DK352="",0.5,IF(DK352="Agrees",1,IF(DK352="Opposite",0,0.5)))+'Weighting Options'!$D$13*MIN(N(BG352),3)/3+'Weighting Options'!$D$14*IF(AE352=1,1,0))/SUM('Weighting Options'!$D$7:$D$14),0),""))</f>
        <v/>
      </c>
      <c r="DR352" s="44" t="str">
        <f>IF(AH352="","",IFERROR(INDEX('Weighting Options'!$D$20:$D$27,VALUE(LEFT(TRIM(BU352),1))),1))</f>
        <v/>
      </c>
      <c r="DS352" s="44" t="str">
        <f t="shared" si="167"/>
        <v/>
      </c>
      <c r="DT352" s="42" t="str">
        <f>IF(AH352="","",IF(COUNTIFS($AH$12:AH352,AH352,$AI$12:AI352,AI352,$AM$12:AM352,AM352)=1,1,0))</f>
        <v/>
      </c>
    </row>
    <row r="353" spans="16:124" ht="12.75" customHeight="1" x14ac:dyDescent="0.35">
      <c r="P353" s="41"/>
      <c r="Q353" s="41"/>
      <c r="R353" s="41"/>
      <c r="S353" s="41"/>
      <c r="AH353" s="40"/>
      <c r="AP353" s="40"/>
      <c r="AS353" s="41"/>
      <c r="AT353" s="41"/>
      <c r="AW353" t="str">
        <f t="shared" si="140"/>
        <v/>
      </c>
      <c r="AX353" t="str">
        <f t="shared" si="141"/>
        <v/>
      </c>
      <c r="AY353" t="str">
        <f t="shared" si="142"/>
        <v/>
      </c>
      <c r="AZ353" s="40"/>
      <c r="BL353" s="47" t="str">
        <f t="shared" si="143"/>
        <v/>
      </c>
      <c r="BM353" s="47" t="str">
        <f t="shared" si="144"/>
        <v/>
      </c>
      <c r="BN353" s="47" t="str">
        <f t="shared" si="145"/>
        <v/>
      </c>
      <c r="BO353" s="47" t="str">
        <f t="shared" si="146"/>
        <v/>
      </c>
      <c r="BP353" s="47" t="str">
        <f t="shared" si="147"/>
        <v/>
      </c>
      <c r="BQ353" s="48" t="str">
        <f t="shared" si="148"/>
        <v/>
      </c>
      <c r="BR353" s="48" t="str">
        <f t="shared" si="149"/>
        <v/>
      </c>
      <c r="BS353" s="48" t="str">
        <f t="shared" si="150"/>
        <v/>
      </c>
      <c r="BT353" s="47" t="str">
        <f t="shared" si="151"/>
        <v/>
      </c>
      <c r="CA353" s="47" t="str">
        <f t="shared" si="152"/>
        <v/>
      </c>
      <c r="CB353" s="47" t="str">
        <f t="shared" si="153"/>
        <v/>
      </c>
      <c r="CC353" s="47" t="str">
        <f t="shared" si="154"/>
        <v/>
      </c>
      <c r="CD353" s="47" t="str">
        <f t="shared" si="155"/>
        <v/>
      </c>
      <c r="CE353" s="47" t="str">
        <f>IF(AH353="","",IF(OR(AI353&lt;&gt;'Seasonal Tercile Tally'!$B$3,AM353&lt;&gt;'Seasonal Tercile Tally'!$B$4),"Other site/ season",IF(DT353=0,"Excluded: duplicate (later row)",IF(N353&lt;&gt;1,"Excluded: not sighted",IF(AC353&lt;&gt;1,"Excluded: not confirmed",IF(AD353&lt;&gt;1,"Excluded: not approved",IF(AP353="Contested","Excluded: contested",IF(OR(U353="",U353=0),"Excluded: no tercile",IF(CB353="","Counted (simple tally only — no weight)","Counted")))))))))</f>
        <v/>
      </c>
      <c r="CF353" s="49" t="str">
        <f>IF(AH353="","",IFERROR(INDEX('Prior Multipliers'!$C$6:$C$70,MATCH(LEFT(AH353,10),'Prior Multipliers'!$A$6:$A$70,0)),IFERROR(INDEX('Prior Multipliers'!$C$6:$C$70,MATCH(LEFT(AH353,6),'Prior Multipliers'!$A$6:$A$70,0)),IFERROR(INDEX('Prior Multipliers'!$C$6:$C$70,MATCH(LEFT(AH353,2),'Prior Multipliers'!$A$6:$A$70,0)),1))))</f>
        <v/>
      </c>
      <c r="CG353" s="49" t="str">
        <f>IF(CB353="","",IF(AND('Seasonal Tercile Tally'!$B$5=1,BT353="Rating-based"),CB353*CF353,CB353))</f>
        <v/>
      </c>
      <c r="CH353" s="47">
        <f t="shared" si="156"/>
        <v>0</v>
      </c>
      <c r="CI353" s="45"/>
      <c r="CJ353" s="42" t="str">
        <f t="shared" si="157"/>
        <v/>
      </c>
      <c r="CM353" s="42" t="str">
        <f t="shared" si="158"/>
        <v/>
      </c>
      <c r="CP353" s="46" t="str">
        <f t="shared" si="159"/>
        <v/>
      </c>
      <c r="CS353" s="46" t="str">
        <f t="shared" si="160"/>
        <v/>
      </c>
      <c r="CT353" s="42" t="str">
        <f t="shared" si="161"/>
        <v/>
      </c>
      <c r="CU353" s="42" t="str">
        <f t="shared" si="162"/>
        <v/>
      </c>
      <c r="CV353" s="42" t="str">
        <f t="shared" si="163"/>
        <v/>
      </c>
      <c r="DB353" s="45"/>
      <c r="DH353" s="42" t="str">
        <f t="shared" si="164"/>
        <v/>
      </c>
      <c r="DI353" s="43" t="str">
        <f t="shared" si="165"/>
        <v/>
      </c>
      <c r="DK353" s="46" t="str">
        <f t="shared" si="166"/>
        <v/>
      </c>
      <c r="DQ353" s="42" t="str">
        <f>IF(AH353="","",IFERROR(ROUND(100*('Weighting Options'!$D$7*IF(ISNUMBER(CA353),CA353/3,0)+'Weighting Options'!$D$8*MIN(N(BL353),3)/3+'Weighting Options'!$D$9*IF(AP353="Community/Plenary-endorsed",1,IF(AP353="FGD-validated only",0.75,IF(AP353="Sub-community-specific",0.5,IF(AP353="Provisional/emerging",0.25,0))))+'Weighting Options'!$D$10*IF(ISNUMBER(K353),K353/3,0)+'Weighting Options'!$D$11*IF(CC353="",0.5,IF(CC353="OK",1,0.25))+'Weighting Options'!$D$12*IF(DK353="",0.5,IF(DK353="Agrees",1,IF(DK353="Opposite",0,0.5)))+'Weighting Options'!$D$13*MIN(N(BG353),3)/3+'Weighting Options'!$D$14*IF(AE353=1,1,0))/SUM('Weighting Options'!$D$7:$D$14),0),""))</f>
        <v/>
      </c>
      <c r="DR353" s="44" t="str">
        <f>IF(AH353="","",IFERROR(INDEX('Weighting Options'!$D$20:$D$27,VALUE(LEFT(TRIM(BU353),1))),1))</f>
        <v/>
      </c>
      <c r="DS353" s="44" t="str">
        <f t="shared" si="167"/>
        <v/>
      </c>
      <c r="DT353" s="42" t="str">
        <f>IF(AH353="","",IF(COUNTIFS($AH$12:AH353,AH353,$AI$12:AI353,AI353,$AM$12:AM353,AM353)=1,1,0))</f>
        <v/>
      </c>
    </row>
    <row r="354" spans="16:124" ht="12.75" customHeight="1" x14ac:dyDescent="0.35">
      <c r="P354" s="41"/>
      <c r="Q354" s="41"/>
      <c r="R354" s="41"/>
      <c r="S354" s="41"/>
      <c r="AH354" s="40"/>
      <c r="AP354" s="40"/>
      <c r="AS354" s="41"/>
      <c r="AT354" s="41"/>
      <c r="AW354" t="str">
        <f t="shared" si="140"/>
        <v/>
      </c>
      <c r="AX354" t="str">
        <f t="shared" si="141"/>
        <v/>
      </c>
      <c r="AY354" t="str">
        <f t="shared" si="142"/>
        <v/>
      </c>
      <c r="AZ354" s="40"/>
      <c r="BL354" s="47" t="str">
        <f t="shared" si="143"/>
        <v/>
      </c>
      <c r="BM354" s="47" t="str">
        <f t="shared" si="144"/>
        <v/>
      </c>
      <c r="BN354" s="47" t="str">
        <f t="shared" si="145"/>
        <v/>
      </c>
      <c r="BO354" s="47" t="str">
        <f t="shared" si="146"/>
        <v/>
      </c>
      <c r="BP354" s="47" t="str">
        <f t="shared" si="147"/>
        <v/>
      </c>
      <c r="BQ354" s="48" t="str">
        <f t="shared" si="148"/>
        <v/>
      </c>
      <c r="BR354" s="48" t="str">
        <f t="shared" si="149"/>
        <v/>
      </c>
      <c r="BS354" s="48" t="str">
        <f t="shared" si="150"/>
        <v/>
      </c>
      <c r="BT354" s="47" t="str">
        <f t="shared" si="151"/>
        <v/>
      </c>
      <c r="CA354" s="47" t="str">
        <f t="shared" si="152"/>
        <v/>
      </c>
      <c r="CB354" s="47" t="str">
        <f t="shared" si="153"/>
        <v/>
      </c>
      <c r="CC354" s="47" t="str">
        <f t="shared" si="154"/>
        <v/>
      </c>
      <c r="CD354" s="47" t="str">
        <f t="shared" si="155"/>
        <v/>
      </c>
      <c r="CE354" s="47" t="str">
        <f>IF(AH354="","",IF(OR(AI354&lt;&gt;'Seasonal Tercile Tally'!$B$3,AM354&lt;&gt;'Seasonal Tercile Tally'!$B$4),"Other site/ season",IF(DT354=0,"Excluded: duplicate (later row)",IF(N354&lt;&gt;1,"Excluded: not sighted",IF(AC354&lt;&gt;1,"Excluded: not confirmed",IF(AD354&lt;&gt;1,"Excluded: not approved",IF(AP354="Contested","Excluded: contested",IF(OR(U354="",U354=0),"Excluded: no tercile",IF(CB354="","Counted (simple tally only — no weight)","Counted")))))))))</f>
        <v/>
      </c>
      <c r="CF354" s="49" t="str">
        <f>IF(AH354="","",IFERROR(INDEX('Prior Multipliers'!$C$6:$C$70,MATCH(LEFT(AH354,10),'Prior Multipliers'!$A$6:$A$70,0)),IFERROR(INDEX('Prior Multipliers'!$C$6:$C$70,MATCH(LEFT(AH354,6),'Prior Multipliers'!$A$6:$A$70,0)),IFERROR(INDEX('Prior Multipliers'!$C$6:$C$70,MATCH(LEFT(AH354,2),'Prior Multipliers'!$A$6:$A$70,0)),1))))</f>
        <v/>
      </c>
      <c r="CG354" s="49" t="str">
        <f>IF(CB354="","",IF(AND('Seasonal Tercile Tally'!$B$5=1,BT354="Rating-based"),CB354*CF354,CB354))</f>
        <v/>
      </c>
      <c r="CH354" s="47">
        <f t="shared" si="156"/>
        <v>0</v>
      </c>
      <c r="CI354" s="45"/>
      <c r="CJ354" s="42" t="str">
        <f t="shared" si="157"/>
        <v/>
      </c>
      <c r="CM354" s="42" t="str">
        <f t="shared" si="158"/>
        <v/>
      </c>
      <c r="CP354" s="46" t="str">
        <f t="shared" si="159"/>
        <v/>
      </c>
      <c r="CS354" s="46" t="str">
        <f t="shared" si="160"/>
        <v/>
      </c>
      <c r="CT354" s="42" t="str">
        <f t="shared" si="161"/>
        <v/>
      </c>
      <c r="CU354" s="42" t="str">
        <f t="shared" si="162"/>
        <v/>
      </c>
      <c r="CV354" s="42" t="str">
        <f t="shared" si="163"/>
        <v/>
      </c>
      <c r="DB354" s="45"/>
      <c r="DH354" s="42" t="str">
        <f t="shared" si="164"/>
        <v/>
      </c>
      <c r="DI354" s="43" t="str">
        <f t="shared" si="165"/>
        <v/>
      </c>
      <c r="DK354" s="46" t="str">
        <f t="shared" si="166"/>
        <v/>
      </c>
      <c r="DQ354" s="42" t="str">
        <f>IF(AH354="","",IFERROR(ROUND(100*('Weighting Options'!$D$7*IF(ISNUMBER(CA354),CA354/3,0)+'Weighting Options'!$D$8*MIN(N(BL354),3)/3+'Weighting Options'!$D$9*IF(AP354="Community/Plenary-endorsed",1,IF(AP354="FGD-validated only",0.75,IF(AP354="Sub-community-specific",0.5,IF(AP354="Provisional/emerging",0.25,0))))+'Weighting Options'!$D$10*IF(ISNUMBER(K354),K354/3,0)+'Weighting Options'!$D$11*IF(CC354="",0.5,IF(CC354="OK",1,0.25))+'Weighting Options'!$D$12*IF(DK354="",0.5,IF(DK354="Agrees",1,IF(DK354="Opposite",0,0.5)))+'Weighting Options'!$D$13*MIN(N(BG354),3)/3+'Weighting Options'!$D$14*IF(AE354=1,1,0))/SUM('Weighting Options'!$D$7:$D$14),0),""))</f>
        <v/>
      </c>
      <c r="DR354" s="44" t="str">
        <f>IF(AH354="","",IFERROR(INDEX('Weighting Options'!$D$20:$D$27,VALUE(LEFT(TRIM(BU354),1))),1))</f>
        <v/>
      </c>
      <c r="DS354" s="44" t="str">
        <f t="shared" si="167"/>
        <v/>
      </c>
      <c r="DT354" s="42" t="str">
        <f>IF(AH354="","",IF(COUNTIFS($AH$12:AH354,AH354,$AI$12:AI354,AI354,$AM$12:AM354,AM354)=1,1,0))</f>
        <v/>
      </c>
    </row>
    <row r="355" spans="16:124" ht="12.75" customHeight="1" x14ac:dyDescent="0.35">
      <c r="P355" s="41"/>
      <c r="Q355" s="41"/>
      <c r="R355" s="41"/>
      <c r="S355" s="41"/>
      <c r="AH355" s="40"/>
      <c r="AP355" s="40"/>
      <c r="AS355" s="41"/>
      <c r="AT355" s="41"/>
      <c r="AW355" t="str">
        <f t="shared" si="140"/>
        <v/>
      </c>
      <c r="AX355" t="str">
        <f t="shared" si="141"/>
        <v/>
      </c>
      <c r="AY355" t="str">
        <f t="shared" si="142"/>
        <v/>
      </c>
      <c r="AZ355" s="40"/>
      <c r="BL355" s="47" t="str">
        <f t="shared" si="143"/>
        <v/>
      </c>
      <c r="BM355" s="47" t="str">
        <f t="shared" si="144"/>
        <v/>
      </c>
      <c r="BN355" s="47" t="str">
        <f t="shared" si="145"/>
        <v/>
      </c>
      <c r="BO355" s="47" t="str">
        <f t="shared" si="146"/>
        <v/>
      </c>
      <c r="BP355" s="47" t="str">
        <f t="shared" si="147"/>
        <v/>
      </c>
      <c r="BQ355" s="48" t="str">
        <f t="shared" si="148"/>
        <v/>
      </c>
      <c r="BR355" s="48" t="str">
        <f t="shared" si="149"/>
        <v/>
      </c>
      <c r="BS355" s="48" t="str">
        <f t="shared" si="150"/>
        <v/>
      </c>
      <c r="BT355" s="47" t="str">
        <f t="shared" si="151"/>
        <v/>
      </c>
      <c r="CA355" s="47" t="str">
        <f t="shared" si="152"/>
        <v/>
      </c>
      <c r="CB355" s="47" t="str">
        <f t="shared" si="153"/>
        <v/>
      </c>
      <c r="CC355" s="47" t="str">
        <f t="shared" si="154"/>
        <v/>
      </c>
      <c r="CD355" s="47" t="str">
        <f t="shared" si="155"/>
        <v/>
      </c>
      <c r="CE355" s="47" t="str">
        <f>IF(AH355="","",IF(OR(AI355&lt;&gt;'Seasonal Tercile Tally'!$B$3,AM355&lt;&gt;'Seasonal Tercile Tally'!$B$4),"Other site/ season",IF(DT355=0,"Excluded: duplicate (later row)",IF(N355&lt;&gt;1,"Excluded: not sighted",IF(AC355&lt;&gt;1,"Excluded: not confirmed",IF(AD355&lt;&gt;1,"Excluded: not approved",IF(AP355="Contested","Excluded: contested",IF(OR(U355="",U355=0),"Excluded: no tercile",IF(CB355="","Counted (simple tally only — no weight)","Counted")))))))))</f>
        <v/>
      </c>
      <c r="CF355" s="49" t="str">
        <f>IF(AH355="","",IFERROR(INDEX('Prior Multipliers'!$C$6:$C$70,MATCH(LEFT(AH355,10),'Prior Multipliers'!$A$6:$A$70,0)),IFERROR(INDEX('Prior Multipliers'!$C$6:$C$70,MATCH(LEFT(AH355,6),'Prior Multipliers'!$A$6:$A$70,0)),IFERROR(INDEX('Prior Multipliers'!$C$6:$C$70,MATCH(LEFT(AH355,2),'Prior Multipliers'!$A$6:$A$70,0)),1))))</f>
        <v/>
      </c>
      <c r="CG355" s="49" t="str">
        <f>IF(CB355="","",IF(AND('Seasonal Tercile Tally'!$B$5=1,BT355="Rating-based"),CB355*CF355,CB355))</f>
        <v/>
      </c>
      <c r="CH355" s="47">
        <f t="shared" si="156"/>
        <v>0</v>
      </c>
      <c r="CI355" s="45"/>
      <c r="CJ355" s="42" t="str">
        <f t="shared" si="157"/>
        <v/>
      </c>
      <c r="CM355" s="42" t="str">
        <f t="shared" si="158"/>
        <v/>
      </c>
      <c r="CP355" s="46" t="str">
        <f t="shared" si="159"/>
        <v/>
      </c>
      <c r="CS355" s="46" t="str">
        <f t="shared" si="160"/>
        <v/>
      </c>
      <c r="CT355" s="42" t="str">
        <f t="shared" si="161"/>
        <v/>
      </c>
      <c r="CU355" s="42" t="str">
        <f t="shared" si="162"/>
        <v/>
      </c>
      <c r="CV355" s="42" t="str">
        <f t="shared" si="163"/>
        <v/>
      </c>
      <c r="DB355" s="45"/>
      <c r="DH355" s="42" t="str">
        <f t="shared" si="164"/>
        <v/>
      </c>
      <c r="DI355" s="43" t="str">
        <f t="shared" si="165"/>
        <v/>
      </c>
      <c r="DK355" s="46" t="str">
        <f t="shared" si="166"/>
        <v/>
      </c>
      <c r="DQ355" s="42" t="str">
        <f>IF(AH355="","",IFERROR(ROUND(100*('Weighting Options'!$D$7*IF(ISNUMBER(CA355),CA355/3,0)+'Weighting Options'!$D$8*MIN(N(BL355),3)/3+'Weighting Options'!$D$9*IF(AP355="Community/Plenary-endorsed",1,IF(AP355="FGD-validated only",0.75,IF(AP355="Sub-community-specific",0.5,IF(AP355="Provisional/emerging",0.25,0))))+'Weighting Options'!$D$10*IF(ISNUMBER(K355),K355/3,0)+'Weighting Options'!$D$11*IF(CC355="",0.5,IF(CC355="OK",1,0.25))+'Weighting Options'!$D$12*IF(DK355="",0.5,IF(DK355="Agrees",1,IF(DK355="Opposite",0,0.5)))+'Weighting Options'!$D$13*MIN(N(BG355),3)/3+'Weighting Options'!$D$14*IF(AE355=1,1,0))/SUM('Weighting Options'!$D$7:$D$14),0),""))</f>
        <v/>
      </c>
      <c r="DR355" s="44" t="str">
        <f>IF(AH355="","",IFERROR(INDEX('Weighting Options'!$D$20:$D$27,VALUE(LEFT(TRIM(BU355),1))),1))</f>
        <v/>
      </c>
      <c r="DS355" s="44" t="str">
        <f t="shared" si="167"/>
        <v/>
      </c>
      <c r="DT355" s="42" t="str">
        <f>IF(AH355="","",IF(COUNTIFS($AH$12:AH355,AH355,$AI$12:AI355,AI355,$AM$12:AM355,AM355)=1,1,0))</f>
        <v/>
      </c>
    </row>
    <row r="356" spans="16:124" ht="12.75" customHeight="1" x14ac:dyDescent="0.35">
      <c r="P356" s="41"/>
      <c r="Q356" s="41"/>
      <c r="R356" s="41"/>
      <c r="S356" s="41"/>
      <c r="AH356" s="40"/>
      <c r="AP356" s="40"/>
      <c r="AS356" s="41"/>
      <c r="AT356" s="41"/>
      <c r="AW356" t="str">
        <f t="shared" si="140"/>
        <v/>
      </c>
      <c r="AX356" t="str">
        <f t="shared" si="141"/>
        <v/>
      </c>
      <c r="AY356" t="str">
        <f t="shared" si="142"/>
        <v/>
      </c>
      <c r="AZ356" s="40"/>
      <c r="BL356" s="47" t="str">
        <f t="shared" si="143"/>
        <v/>
      </c>
      <c r="BM356" s="47" t="str">
        <f t="shared" si="144"/>
        <v/>
      </c>
      <c r="BN356" s="47" t="str">
        <f t="shared" si="145"/>
        <v/>
      </c>
      <c r="BO356" s="47" t="str">
        <f t="shared" si="146"/>
        <v/>
      </c>
      <c r="BP356" s="47" t="str">
        <f t="shared" si="147"/>
        <v/>
      </c>
      <c r="BQ356" s="48" t="str">
        <f t="shared" si="148"/>
        <v/>
      </c>
      <c r="BR356" s="48" t="str">
        <f t="shared" si="149"/>
        <v/>
      </c>
      <c r="BS356" s="48" t="str">
        <f t="shared" si="150"/>
        <v/>
      </c>
      <c r="BT356" s="47" t="str">
        <f t="shared" si="151"/>
        <v/>
      </c>
      <c r="CA356" s="47" t="str">
        <f t="shared" si="152"/>
        <v/>
      </c>
      <c r="CB356" s="47" t="str">
        <f t="shared" si="153"/>
        <v/>
      </c>
      <c r="CC356" s="47" t="str">
        <f t="shared" si="154"/>
        <v/>
      </c>
      <c r="CD356" s="47" t="str">
        <f t="shared" si="155"/>
        <v/>
      </c>
      <c r="CE356" s="47" t="str">
        <f>IF(AH356="","",IF(OR(AI356&lt;&gt;'Seasonal Tercile Tally'!$B$3,AM356&lt;&gt;'Seasonal Tercile Tally'!$B$4),"Other site/ season",IF(DT356=0,"Excluded: duplicate (later row)",IF(N356&lt;&gt;1,"Excluded: not sighted",IF(AC356&lt;&gt;1,"Excluded: not confirmed",IF(AD356&lt;&gt;1,"Excluded: not approved",IF(AP356="Contested","Excluded: contested",IF(OR(U356="",U356=0),"Excluded: no tercile",IF(CB356="","Counted (simple tally only — no weight)","Counted")))))))))</f>
        <v/>
      </c>
      <c r="CF356" s="49" t="str">
        <f>IF(AH356="","",IFERROR(INDEX('Prior Multipliers'!$C$6:$C$70,MATCH(LEFT(AH356,10),'Prior Multipliers'!$A$6:$A$70,0)),IFERROR(INDEX('Prior Multipliers'!$C$6:$C$70,MATCH(LEFT(AH356,6),'Prior Multipliers'!$A$6:$A$70,0)),IFERROR(INDEX('Prior Multipliers'!$C$6:$C$70,MATCH(LEFT(AH356,2),'Prior Multipliers'!$A$6:$A$70,0)),1))))</f>
        <v/>
      </c>
      <c r="CG356" s="49" t="str">
        <f>IF(CB356="","",IF(AND('Seasonal Tercile Tally'!$B$5=1,BT356="Rating-based"),CB356*CF356,CB356))</f>
        <v/>
      </c>
      <c r="CH356" s="47">
        <f t="shared" si="156"/>
        <v>0</v>
      </c>
      <c r="CI356" s="45"/>
      <c r="CJ356" s="42" t="str">
        <f t="shared" si="157"/>
        <v/>
      </c>
      <c r="CM356" s="42" t="str">
        <f t="shared" si="158"/>
        <v/>
      </c>
      <c r="CP356" s="46" t="str">
        <f t="shared" si="159"/>
        <v/>
      </c>
      <c r="CS356" s="46" t="str">
        <f t="shared" si="160"/>
        <v/>
      </c>
      <c r="CT356" s="42" t="str">
        <f t="shared" si="161"/>
        <v/>
      </c>
      <c r="CU356" s="42" t="str">
        <f t="shared" si="162"/>
        <v/>
      </c>
      <c r="CV356" s="42" t="str">
        <f t="shared" si="163"/>
        <v/>
      </c>
      <c r="DB356" s="45"/>
      <c r="DH356" s="42" t="str">
        <f t="shared" si="164"/>
        <v/>
      </c>
      <c r="DI356" s="43" t="str">
        <f t="shared" si="165"/>
        <v/>
      </c>
      <c r="DK356" s="46" t="str">
        <f t="shared" si="166"/>
        <v/>
      </c>
      <c r="DQ356" s="42" t="str">
        <f>IF(AH356="","",IFERROR(ROUND(100*('Weighting Options'!$D$7*IF(ISNUMBER(CA356),CA356/3,0)+'Weighting Options'!$D$8*MIN(N(BL356),3)/3+'Weighting Options'!$D$9*IF(AP356="Community/Plenary-endorsed",1,IF(AP356="FGD-validated only",0.75,IF(AP356="Sub-community-specific",0.5,IF(AP356="Provisional/emerging",0.25,0))))+'Weighting Options'!$D$10*IF(ISNUMBER(K356),K356/3,0)+'Weighting Options'!$D$11*IF(CC356="",0.5,IF(CC356="OK",1,0.25))+'Weighting Options'!$D$12*IF(DK356="",0.5,IF(DK356="Agrees",1,IF(DK356="Opposite",0,0.5)))+'Weighting Options'!$D$13*MIN(N(BG356),3)/3+'Weighting Options'!$D$14*IF(AE356=1,1,0))/SUM('Weighting Options'!$D$7:$D$14),0),""))</f>
        <v/>
      </c>
      <c r="DR356" s="44" t="str">
        <f>IF(AH356="","",IFERROR(INDEX('Weighting Options'!$D$20:$D$27,VALUE(LEFT(TRIM(BU356),1))),1))</f>
        <v/>
      </c>
      <c r="DS356" s="44" t="str">
        <f t="shared" si="167"/>
        <v/>
      </c>
      <c r="DT356" s="42" t="str">
        <f>IF(AH356="","",IF(COUNTIFS($AH$12:AH356,AH356,$AI$12:AI356,AI356,$AM$12:AM356,AM356)=1,1,0))</f>
        <v/>
      </c>
    </row>
    <row r="357" spans="16:124" ht="12.75" customHeight="1" x14ac:dyDescent="0.35">
      <c r="P357" s="41"/>
      <c r="Q357" s="41"/>
      <c r="R357" s="41"/>
      <c r="S357" s="41"/>
      <c r="AH357" s="40"/>
      <c r="AP357" s="40"/>
      <c r="AS357" s="41"/>
      <c r="AT357" s="41"/>
      <c r="AW357" t="str">
        <f t="shared" si="140"/>
        <v/>
      </c>
      <c r="AX357" t="str">
        <f t="shared" si="141"/>
        <v/>
      </c>
      <c r="AY357" t="str">
        <f t="shared" si="142"/>
        <v/>
      </c>
      <c r="AZ357" s="40"/>
      <c r="BL357" s="47" t="str">
        <f t="shared" si="143"/>
        <v/>
      </c>
      <c r="BM357" s="47" t="str">
        <f t="shared" si="144"/>
        <v/>
      </c>
      <c r="BN357" s="47" t="str">
        <f t="shared" si="145"/>
        <v/>
      </c>
      <c r="BO357" s="47" t="str">
        <f t="shared" si="146"/>
        <v/>
      </c>
      <c r="BP357" s="47" t="str">
        <f t="shared" si="147"/>
        <v/>
      </c>
      <c r="BQ357" s="48" t="str">
        <f t="shared" si="148"/>
        <v/>
      </c>
      <c r="BR357" s="48" t="str">
        <f t="shared" si="149"/>
        <v/>
      </c>
      <c r="BS357" s="48" t="str">
        <f t="shared" si="150"/>
        <v/>
      </c>
      <c r="BT357" s="47" t="str">
        <f t="shared" si="151"/>
        <v/>
      </c>
      <c r="CA357" s="47" t="str">
        <f t="shared" si="152"/>
        <v/>
      </c>
      <c r="CB357" s="47" t="str">
        <f t="shared" si="153"/>
        <v/>
      </c>
      <c r="CC357" s="47" t="str">
        <f t="shared" si="154"/>
        <v/>
      </c>
      <c r="CD357" s="47" t="str">
        <f t="shared" si="155"/>
        <v/>
      </c>
      <c r="CE357" s="47" t="str">
        <f>IF(AH357="","",IF(OR(AI357&lt;&gt;'Seasonal Tercile Tally'!$B$3,AM357&lt;&gt;'Seasonal Tercile Tally'!$B$4),"Other site/ season",IF(DT357=0,"Excluded: duplicate (later row)",IF(N357&lt;&gt;1,"Excluded: not sighted",IF(AC357&lt;&gt;1,"Excluded: not confirmed",IF(AD357&lt;&gt;1,"Excluded: not approved",IF(AP357="Contested","Excluded: contested",IF(OR(U357="",U357=0),"Excluded: no tercile",IF(CB357="","Counted (simple tally only — no weight)","Counted")))))))))</f>
        <v/>
      </c>
      <c r="CF357" s="49" t="str">
        <f>IF(AH357="","",IFERROR(INDEX('Prior Multipliers'!$C$6:$C$70,MATCH(LEFT(AH357,10),'Prior Multipliers'!$A$6:$A$70,0)),IFERROR(INDEX('Prior Multipliers'!$C$6:$C$70,MATCH(LEFT(AH357,6),'Prior Multipliers'!$A$6:$A$70,0)),IFERROR(INDEX('Prior Multipliers'!$C$6:$C$70,MATCH(LEFT(AH357,2),'Prior Multipliers'!$A$6:$A$70,0)),1))))</f>
        <v/>
      </c>
      <c r="CG357" s="49" t="str">
        <f>IF(CB357="","",IF(AND('Seasonal Tercile Tally'!$B$5=1,BT357="Rating-based"),CB357*CF357,CB357))</f>
        <v/>
      </c>
      <c r="CH357" s="47">
        <f t="shared" si="156"/>
        <v>0</v>
      </c>
      <c r="CI357" s="45"/>
      <c r="CJ357" s="42" t="str">
        <f t="shared" si="157"/>
        <v/>
      </c>
      <c r="CM357" s="42" t="str">
        <f t="shared" si="158"/>
        <v/>
      </c>
      <c r="CP357" s="46" t="str">
        <f t="shared" si="159"/>
        <v/>
      </c>
      <c r="CS357" s="46" t="str">
        <f t="shared" si="160"/>
        <v/>
      </c>
      <c r="CT357" s="42" t="str">
        <f t="shared" si="161"/>
        <v/>
      </c>
      <c r="CU357" s="42" t="str">
        <f t="shared" si="162"/>
        <v/>
      </c>
      <c r="CV357" s="42" t="str">
        <f t="shared" si="163"/>
        <v/>
      </c>
      <c r="DB357" s="45"/>
      <c r="DH357" s="42" t="str">
        <f t="shared" si="164"/>
        <v/>
      </c>
      <c r="DI357" s="43" t="str">
        <f t="shared" si="165"/>
        <v/>
      </c>
      <c r="DK357" s="46" t="str">
        <f t="shared" si="166"/>
        <v/>
      </c>
      <c r="DQ357" s="42" t="str">
        <f>IF(AH357="","",IFERROR(ROUND(100*('Weighting Options'!$D$7*IF(ISNUMBER(CA357),CA357/3,0)+'Weighting Options'!$D$8*MIN(N(BL357),3)/3+'Weighting Options'!$D$9*IF(AP357="Community/Plenary-endorsed",1,IF(AP357="FGD-validated only",0.75,IF(AP357="Sub-community-specific",0.5,IF(AP357="Provisional/emerging",0.25,0))))+'Weighting Options'!$D$10*IF(ISNUMBER(K357),K357/3,0)+'Weighting Options'!$D$11*IF(CC357="",0.5,IF(CC357="OK",1,0.25))+'Weighting Options'!$D$12*IF(DK357="",0.5,IF(DK357="Agrees",1,IF(DK357="Opposite",0,0.5)))+'Weighting Options'!$D$13*MIN(N(BG357),3)/3+'Weighting Options'!$D$14*IF(AE357=1,1,0))/SUM('Weighting Options'!$D$7:$D$14),0),""))</f>
        <v/>
      </c>
      <c r="DR357" s="44" t="str">
        <f>IF(AH357="","",IFERROR(INDEX('Weighting Options'!$D$20:$D$27,VALUE(LEFT(TRIM(BU357),1))),1))</f>
        <v/>
      </c>
      <c r="DS357" s="44" t="str">
        <f t="shared" si="167"/>
        <v/>
      </c>
      <c r="DT357" s="42" t="str">
        <f>IF(AH357="","",IF(COUNTIFS($AH$12:AH357,AH357,$AI$12:AI357,AI357,$AM$12:AM357,AM357)=1,1,0))</f>
        <v/>
      </c>
    </row>
    <row r="358" spans="16:124" ht="12.75" customHeight="1" x14ac:dyDescent="0.35">
      <c r="P358" s="41"/>
      <c r="Q358" s="41"/>
      <c r="R358" s="41"/>
      <c r="S358" s="41"/>
      <c r="AH358" s="40"/>
      <c r="AP358" s="40"/>
      <c r="AS358" s="41"/>
      <c r="AT358" s="41"/>
      <c r="AW358" t="str">
        <f t="shared" si="140"/>
        <v/>
      </c>
      <c r="AX358" t="str">
        <f t="shared" si="141"/>
        <v/>
      </c>
      <c r="AY358" t="str">
        <f t="shared" si="142"/>
        <v/>
      </c>
      <c r="AZ358" s="40"/>
      <c r="BL358" s="47" t="str">
        <f t="shared" si="143"/>
        <v/>
      </c>
      <c r="BM358" s="47" t="str">
        <f t="shared" si="144"/>
        <v/>
      </c>
      <c r="BN358" s="47" t="str">
        <f t="shared" si="145"/>
        <v/>
      </c>
      <c r="BO358" s="47" t="str">
        <f t="shared" si="146"/>
        <v/>
      </c>
      <c r="BP358" s="47" t="str">
        <f t="shared" si="147"/>
        <v/>
      </c>
      <c r="BQ358" s="48" t="str">
        <f t="shared" si="148"/>
        <v/>
      </c>
      <c r="BR358" s="48" t="str">
        <f t="shared" si="149"/>
        <v/>
      </c>
      <c r="BS358" s="48" t="str">
        <f t="shared" si="150"/>
        <v/>
      </c>
      <c r="BT358" s="47" t="str">
        <f t="shared" si="151"/>
        <v/>
      </c>
      <c r="CA358" s="47" t="str">
        <f t="shared" si="152"/>
        <v/>
      </c>
      <c r="CB358" s="47" t="str">
        <f t="shared" si="153"/>
        <v/>
      </c>
      <c r="CC358" s="47" t="str">
        <f t="shared" si="154"/>
        <v/>
      </c>
      <c r="CD358" s="47" t="str">
        <f t="shared" si="155"/>
        <v/>
      </c>
      <c r="CE358" s="47" t="str">
        <f>IF(AH358="","",IF(OR(AI358&lt;&gt;'Seasonal Tercile Tally'!$B$3,AM358&lt;&gt;'Seasonal Tercile Tally'!$B$4),"Other site/ season",IF(DT358=0,"Excluded: duplicate (later row)",IF(N358&lt;&gt;1,"Excluded: not sighted",IF(AC358&lt;&gt;1,"Excluded: not confirmed",IF(AD358&lt;&gt;1,"Excluded: not approved",IF(AP358="Contested","Excluded: contested",IF(OR(U358="",U358=0),"Excluded: no tercile",IF(CB358="","Counted (simple tally only — no weight)","Counted")))))))))</f>
        <v/>
      </c>
      <c r="CF358" s="49" t="str">
        <f>IF(AH358="","",IFERROR(INDEX('Prior Multipliers'!$C$6:$C$70,MATCH(LEFT(AH358,10),'Prior Multipliers'!$A$6:$A$70,0)),IFERROR(INDEX('Prior Multipliers'!$C$6:$C$70,MATCH(LEFT(AH358,6),'Prior Multipliers'!$A$6:$A$70,0)),IFERROR(INDEX('Prior Multipliers'!$C$6:$C$70,MATCH(LEFT(AH358,2),'Prior Multipliers'!$A$6:$A$70,0)),1))))</f>
        <v/>
      </c>
      <c r="CG358" s="49" t="str">
        <f>IF(CB358="","",IF(AND('Seasonal Tercile Tally'!$B$5=1,BT358="Rating-based"),CB358*CF358,CB358))</f>
        <v/>
      </c>
      <c r="CH358" s="47">
        <f t="shared" si="156"/>
        <v>0</v>
      </c>
      <c r="CI358" s="45"/>
      <c r="CJ358" s="42" t="str">
        <f t="shared" si="157"/>
        <v/>
      </c>
      <c r="CM358" s="42" t="str">
        <f t="shared" si="158"/>
        <v/>
      </c>
      <c r="CP358" s="46" t="str">
        <f t="shared" si="159"/>
        <v/>
      </c>
      <c r="CS358" s="46" t="str">
        <f t="shared" si="160"/>
        <v/>
      </c>
      <c r="CT358" s="42" t="str">
        <f t="shared" si="161"/>
        <v/>
      </c>
      <c r="CU358" s="42" t="str">
        <f t="shared" si="162"/>
        <v/>
      </c>
      <c r="CV358" s="42" t="str">
        <f t="shared" si="163"/>
        <v/>
      </c>
      <c r="DB358" s="45"/>
      <c r="DH358" s="42" t="str">
        <f t="shared" si="164"/>
        <v/>
      </c>
      <c r="DI358" s="43" t="str">
        <f t="shared" si="165"/>
        <v/>
      </c>
      <c r="DK358" s="46" t="str">
        <f t="shared" si="166"/>
        <v/>
      </c>
      <c r="DQ358" s="42" t="str">
        <f>IF(AH358="","",IFERROR(ROUND(100*('Weighting Options'!$D$7*IF(ISNUMBER(CA358),CA358/3,0)+'Weighting Options'!$D$8*MIN(N(BL358),3)/3+'Weighting Options'!$D$9*IF(AP358="Community/Plenary-endorsed",1,IF(AP358="FGD-validated only",0.75,IF(AP358="Sub-community-specific",0.5,IF(AP358="Provisional/emerging",0.25,0))))+'Weighting Options'!$D$10*IF(ISNUMBER(K358),K358/3,0)+'Weighting Options'!$D$11*IF(CC358="",0.5,IF(CC358="OK",1,0.25))+'Weighting Options'!$D$12*IF(DK358="",0.5,IF(DK358="Agrees",1,IF(DK358="Opposite",0,0.5)))+'Weighting Options'!$D$13*MIN(N(BG358),3)/3+'Weighting Options'!$D$14*IF(AE358=1,1,0))/SUM('Weighting Options'!$D$7:$D$14),0),""))</f>
        <v/>
      </c>
      <c r="DR358" s="44" t="str">
        <f>IF(AH358="","",IFERROR(INDEX('Weighting Options'!$D$20:$D$27,VALUE(LEFT(TRIM(BU358),1))),1))</f>
        <v/>
      </c>
      <c r="DS358" s="44" t="str">
        <f t="shared" si="167"/>
        <v/>
      </c>
      <c r="DT358" s="42" t="str">
        <f>IF(AH358="","",IF(COUNTIFS($AH$12:AH358,AH358,$AI$12:AI358,AI358,$AM$12:AM358,AM358)=1,1,0))</f>
        <v/>
      </c>
    </row>
    <row r="359" spans="16:124" ht="12.75" customHeight="1" x14ac:dyDescent="0.35">
      <c r="P359" s="41"/>
      <c r="Q359" s="41"/>
      <c r="R359" s="41"/>
      <c r="S359" s="41"/>
      <c r="AH359" s="40"/>
      <c r="AP359" s="40"/>
      <c r="AS359" s="41"/>
      <c r="AT359" s="41"/>
      <c r="AW359" t="str">
        <f t="shared" si="140"/>
        <v/>
      </c>
      <c r="AX359" t="str">
        <f t="shared" si="141"/>
        <v/>
      </c>
      <c r="AY359" t="str">
        <f t="shared" si="142"/>
        <v/>
      </c>
      <c r="AZ359" s="40"/>
      <c r="BL359" s="47" t="str">
        <f t="shared" si="143"/>
        <v/>
      </c>
      <c r="BM359" s="47" t="str">
        <f t="shared" si="144"/>
        <v/>
      </c>
      <c r="BN359" s="47" t="str">
        <f t="shared" si="145"/>
        <v/>
      </c>
      <c r="BO359" s="47" t="str">
        <f t="shared" si="146"/>
        <v/>
      </c>
      <c r="BP359" s="47" t="str">
        <f t="shared" si="147"/>
        <v/>
      </c>
      <c r="BQ359" s="48" t="str">
        <f t="shared" si="148"/>
        <v/>
      </c>
      <c r="BR359" s="48" t="str">
        <f t="shared" si="149"/>
        <v/>
      </c>
      <c r="BS359" s="48" t="str">
        <f t="shared" si="150"/>
        <v/>
      </c>
      <c r="BT359" s="47" t="str">
        <f t="shared" si="151"/>
        <v/>
      </c>
      <c r="CA359" s="47" t="str">
        <f t="shared" si="152"/>
        <v/>
      </c>
      <c r="CB359" s="47" t="str">
        <f t="shared" si="153"/>
        <v/>
      </c>
      <c r="CC359" s="47" t="str">
        <f t="shared" si="154"/>
        <v/>
      </c>
      <c r="CD359" s="47" t="str">
        <f t="shared" si="155"/>
        <v/>
      </c>
      <c r="CE359" s="47" t="str">
        <f>IF(AH359="","",IF(OR(AI359&lt;&gt;'Seasonal Tercile Tally'!$B$3,AM359&lt;&gt;'Seasonal Tercile Tally'!$B$4),"Other site/ season",IF(DT359=0,"Excluded: duplicate (later row)",IF(N359&lt;&gt;1,"Excluded: not sighted",IF(AC359&lt;&gt;1,"Excluded: not confirmed",IF(AD359&lt;&gt;1,"Excluded: not approved",IF(AP359="Contested","Excluded: contested",IF(OR(U359="",U359=0),"Excluded: no tercile",IF(CB359="","Counted (simple tally only — no weight)","Counted")))))))))</f>
        <v/>
      </c>
      <c r="CF359" s="49" t="str">
        <f>IF(AH359="","",IFERROR(INDEX('Prior Multipliers'!$C$6:$C$70,MATCH(LEFT(AH359,10),'Prior Multipliers'!$A$6:$A$70,0)),IFERROR(INDEX('Prior Multipliers'!$C$6:$C$70,MATCH(LEFT(AH359,6),'Prior Multipliers'!$A$6:$A$70,0)),IFERROR(INDEX('Prior Multipliers'!$C$6:$C$70,MATCH(LEFT(AH359,2),'Prior Multipliers'!$A$6:$A$70,0)),1))))</f>
        <v/>
      </c>
      <c r="CG359" s="49" t="str">
        <f>IF(CB359="","",IF(AND('Seasonal Tercile Tally'!$B$5=1,BT359="Rating-based"),CB359*CF359,CB359))</f>
        <v/>
      </c>
      <c r="CH359" s="47">
        <f t="shared" si="156"/>
        <v>0</v>
      </c>
      <c r="CI359" s="45"/>
      <c r="CJ359" s="42" t="str">
        <f t="shared" si="157"/>
        <v/>
      </c>
      <c r="CM359" s="42" t="str">
        <f t="shared" si="158"/>
        <v/>
      </c>
      <c r="CP359" s="46" t="str">
        <f t="shared" si="159"/>
        <v/>
      </c>
      <c r="CS359" s="46" t="str">
        <f t="shared" si="160"/>
        <v/>
      </c>
      <c r="CT359" s="42" t="str">
        <f t="shared" si="161"/>
        <v/>
      </c>
      <c r="CU359" s="42" t="str">
        <f t="shared" si="162"/>
        <v/>
      </c>
      <c r="CV359" s="42" t="str">
        <f t="shared" si="163"/>
        <v/>
      </c>
      <c r="DB359" s="45"/>
      <c r="DH359" s="42" t="str">
        <f t="shared" si="164"/>
        <v/>
      </c>
      <c r="DI359" s="43" t="str">
        <f t="shared" si="165"/>
        <v/>
      </c>
      <c r="DK359" s="46" t="str">
        <f t="shared" si="166"/>
        <v/>
      </c>
      <c r="DQ359" s="42" t="str">
        <f>IF(AH359="","",IFERROR(ROUND(100*('Weighting Options'!$D$7*IF(ISNUMBER(CA359),CA359/3,0)+'Weighting Options'!$D$8*MIN(N(BL359),3)/3+'Weighting Options'!$D$9*IF(AP359="Community/Plenary-endorsed",1,IF(AP359="FGD-validated only",0.75,IF(AP359="Sub-community-specific",0.5,IF(AP359="Provisional/emerging",0.25,0))))+'Weighting Options'!$D$10*IF(ISNUMBER(K359),K359/3,0)+'Weighting Options'!$D$11*IF(CC359="",0.5,IF(CC359="OK",1,0.25))+'Weighting Options'!$D$12*IF(DK359="",0.5,IF(DK359="Agrees",1,IF(DK359="Opposite",0,0.5)))+'Weighting Options'!$D$13*MIN(N(BG359),3)/3+'Weighting Options'!$D$14*IF(AE359=1,1,0))/SUM('Weighting Options'!$D$7:$D$14),0),""))</f>
        <v/>
      </c>
      <c r="DR359" s="44" t="str">
        <f>IF(AH359="","",IFERROR(INDEX('Weighting Options'!$D$20:$D$27,VALUE(LEFT(TRIM(BU359),1))),1))</f>
        <v/>
      </c>
      <c r="DS359" s="44" t="str">
        <f t="shared" si="167"/>
        <v/>
      </c>
      <c r="DT359" s="42" t="str">
        <f>IF(AH359="","",IF(COUNTIFS($AH$12:AH359,AH359,$AI$12:AI359,AI359,$AM$12:AM359,AM359)=1,1,0))</f>
        <v/>
      </c>
    </row>
    <row r="360" spans="16:124" ht="12.75" customHeight="1" x14ac:dyDescent="0.35">
      <c r="P360" s="41"/>
      <c r="Q360" s="41"/>
      <c r="R360" s="41"/>
      <c r="S360" s="41"/>
      <c r="AH360" s="40"/>
      <c r="AP360" s="40"/>
      <c r="AS360" s="41"/>
      <c r="AT360" s="41"/>
      <c r="AW360" t="str">
        <f t="shared" si="140"/>
        <v/>
      </c>
      <c r="AX360" t="str">
        <f t="shared" si="141"/>
        <v/>
      </c>
      <c r="AY360" t="str">
        <f t="shared" si="142"/>
        <v/>
      </c>
      <c r="AZ360" s="40"/>
      <c r="BL360" s="47" t="str">
        <f t="shared" si="143"/>
        <v/>
      </c>
      <c r="BM360" s="47" t="str">
        <f t="shared" si="144"/>
        <v/>
      </c>
      <c r="BN360" s="47" t="str">
        <f t="shared" si="145"/>
        <v/>
      </c>
      <c r="BO360" s="47" t="str">
        <f t="shared" si="146"/>
        <v/>
      </c>
      <c r="BP360" s="47" t="str">
        <f t="shared" si="147"/>
        <v/>
      </c>
      <c r="BQ360" s="48" t="str">
        <f t="shared" si="148"/>
        <v/>
      </c>
      <c r="BR360" s="48" t="str">
        <f t="shared" si="149"/>
        <v/>
      </c>
      <c r="BS360" s="48" t="str">
        <f t="shared" si="150"/>
        <v/>
      </c>
      <c r="BT360" s="47" t="str">
        <f t="shared" si="151"/>
        <v/>
      </c>
      <c r="CA360" s="47" t="str">
        <f t="shared" si="152"/>
        <v/>
      </c>
      <c r="CB360" s="47" t="str">
        <f t="shared" si="153"/>
        <v/>
      </c>
      <c r="CC360" s="47" t="str">
        <f t="shared" si="154"/>
        <v/>
      </c>
      <c r="CD360" s="47" t="str">
        <f t="shared" si="155"/>
        <v/>
      </c>
      <c r="CE360" s="47" t="str">
        <f>IF(AH360="","",IF(OR(AI360&lt;&gt;'Seasonal Tercile Tally'!$B$3,AM360&lt;&gt;'Seasonal Tercile Tally'!$B$4),"Other site/ season",IF(DT360=0,"Excluded: duplicate (later row)",IF(N360&lt;&gt;1,"Excluded: not sighted",IF(AC360&lt;&gt;1,"Excluded: not confirmed",IF(AD360&lt;&gt;1,"Excluded: not approved",IF(AP360="Contested","Excluded: contested",IF(OR(U360="",U360=0),"Excluded: no tercile",IF(CB360="","Counted (simple tally only — no weight)","Counted")))))))))</f>
        <v/>
      </c>
      <c r="CF360" s="49" t="str">
        <f>IF(AH360="","",IFERROR(INDEX('Prior Multipliers'!$C$6:$C$70,MATCH(LEFT(AH360,10),'Prior Multipliers'!$A$6:$A$70,0)),IFERROR(INDEX('Prior Multipliers'!$C$6:$C$70,MATCH(LEFT(AH360,6),'Prior Multipliers'!$A$6:$A$70,0)),IFERROR(INDEX('Prior Multipliers'!$C$6:$C$70,MATCH(LEFT(AH360,2),'Prior Multipliers'!$A$6:$A$70,0)),1))))</f>
        <v/>
      </c>
      <c r="CG360" s="49" t="str">
        <f>IF(CB360="","",IF(AND('Seasonal Tercile Tally'!$B$5=1,BT360="Rating-based"),CB360*CF360,CB360))</f>
        <v/>
      </c>
      <c r="CH360" s="47">
        <f t="shared" si="156"/>
        <v>0</v>
      </c>
      <c r="CI360" s="45"/>
      <c r="CJ360" s="42" t="str">
        <f t="shared" si="157"/>
        <v/>
      </c>
      <c r="CM360" s="42" t="str">
        <f t="shared" si="158"/>
        <v/>
      </c>
      <c r="CP360" s="46" t="str">
        <f t="shared" si="159"/>
        <v/>
      </c>
      <c r="CS360" s="46" t="str">
        <f t="shared" si="160"/>
        <v/>
      </c>
      <c r="CT360" s="42" t="str">
        <f t="shared" si="161"/>
        <v/>
      </c>
      <c r="CU360" s="42" t="str">
        <f t="shared" si="162"/>
        <v/>
      </c>
      <c r="CV360" s="42" t="str">
        <f t="shared" si="163"/>
        <v/>
      </c>
      <c r="DB360" s="45"/>
      <c r="DH360" s="42" t="str">
        <f t="shared" si="164"/>
        <v/>
      </c>
      <c r="DI360" s="43" t="str">
        <f t="shared" si="165"/>
        <v/>
      </c>
      <c r="DK360" s="46" t="str">
        <f t="shared" si="166"/>
        <v/>
      </c>
      <c r="DQ360" s="42" t="str">
        <f>IF(AH360="","",IFERROR(ROUND(100*('Weighting Options'!$D$7*IF(ISNUMBER(CA360),CA360/3,0)+'Weighting Options'!$D$8*MIN(N(BL360),3)/3+'Weighting Options'!$D$9*IF(AP360="Community/Plenary-endorsed",1,IF(AP360="FGD-validated only",0.75,IF(AP360="Sub-community-specific",0.5,IF(AP360="Provisional/emerging",0.25,0))))+'Weighting Options'!$D$10*IF(ISNUMBER(K360),K360/3,0)+'Weighting Options'!$D$11*IF(CC360="",0.5,IF(CC360="OK",1,0.25))+'Weighting Options'!$D$12*IF(DK360="",0.5,IF(DK360="Agrees",1,IF(DK360="Opposite",0,0.5)))+'Weighting Options'!$D$13*MIN(N(BG360),3)/3+'Weighting Options'!$D$14*IF(AE360=1,1,0))/SUM('Weighting Options'!$D$7:$D$14),0),""))</f>
        <v/>
      </c>
      <c r="DR360" s="44" t="str">
        <f>IF(AH360="","",IFERROR(INDEX('Weighting Options'!$D$20:$D$27,VALUE(LEFT(TRIM(BU360),1))),1))</f>
        <v/>
      </c>
      <c r="DS360" s="44" t="str">
        <f t="shared" si="167"/>
        <v/>
      </c>
      <c r="DT360" s="42" t="str">
        <f>IF(AH360="","",IF(COUNTIFS($AH$12:AH360,AH360,$AI$12:AI360,AI360,$AM$12:AM360,AM360)=1,1,0))</f>
        <v/>
      </c>
    </row>
    <row r="361" spans="16:124" ht="12.75" customHeight="1" x14ac:dyDescent="0.35">
      <c r="P361" s="41"/>
      <c r="Q361" s="41"/>
      <c r="R361" s="41"/>
      <c r="S361" s="41"/>
      <c r="AH361" s="40"/>
      <c r="AP361" s="40"/>
      <c r="AS361" s="41"/>
      <c r="AT361" s="41"/>
      <c r="AW361" t="str">
        <f t="shared" si="140"/>
        <v/>
      </c>
      <c r="AX361" t="str">
        <f t="shared" si="141"/>
        <v/>
      </c>
      <c r="AY361" t="str">
        <f t="shared" si="142"/>
        <v/>
      </c>
      <c r="AZ361" s="40"/>
      <c r="BL361" s="47" t="str">
        <f t="shared" si="143"/>
        <v/>
      </c>
      <c r="BM361" s="47" t="str">
        <f t="shared" si="144"/>
        <v/>
      </c>
      <c r="BN361" s="47" t="str">
        <f t="shared" si="145"/>
        <v/>
      </c>
      <c r="BO361" s="47" t="str">
        <f t="shared" si="146"/>
        <v/>
      </c>
      <c r="BP361" s="47" t="str">
        <f t="shared" si="147"/>
        <v/>
      </c>
      <c r="BQ361" s="48" t="str">
        <f t="shared" si="148"/>
        <v/>
      </c>
      <c r="BR361" s="48" t="str">
        <f t="shared" si="149"/>
        <v/>
      </c>
      <c r="BS361" s="48" t="str">
        <f t="shared" si="150"/>
        <v/>
      </c>
      <c r="BT361" s="47" t="str">
        <f t="shared" si="151"/>
        <v/>
      </c>
      <c r="CA361" s="47" t="str">
        <f t="shared" si="152"/>
        <v/>
      </c>
      <c r="CB361" s="47" t="str">
        <f t="shared" si="153"/>
        <v/>
      </c>
      <c r="CC361" s="47" t="str">
        <f t="shared" si="154"/>
        <v/>
      </c>
      <c r="CD361" s="47" t="str">
        <f t="shared" si="155"/>
        <v/>
      </c>
      <c r="CE361" s="47" t="str">
        <f>IF(AH361="","",IF(OR(AI361&lt;&gt;'Seasonal Tercile Tally'!$B$3,AM361&lt;&gt;'Seasonal Tercile Tally'!$B$4),"Other site/ season",IF(DT361=0,"Excluded: duplicate (later row)",IF(N361&lt;&gt;1,"Excluded: not sighted",IF(AC361&lt;&gt;1,"Excluded: not confirmed",IF(AD361&lt;&gt;1,"Excluded: not approved",IF(AP361="Contested","Excluded: contested",IF(OR(U361="",U361=0),"Excluded: no tercile",IF(CB361="","Counted (simple tally only — no weight)","Counted")))))))))</f>
        <v/>
      </c>
      <c r="CF361" s="49" t="str">
        <f>IF(AH361="","",IFERROR(INDEX('Prior Multipliers'!$C$6:$C$70,MATCH(LEFT(AH361,10),'Prior Multipliers'!$A$6:$A$70,0)),IFERROR(INDEX('Prior Multipliers'!$C$6:$C$70,MATCH(LEFT(AH361,6),'Prior Multipliers'!$A$6:$A$70,0)),IFERROR(INDEX('Prior Multipliers'!$C$6:$C$70,MATCH(LEFT(AH361,2),'Prior Multipliers'!$A$6:$A$70,0)),1))))</f>
        <v/>
      </c>
      <c r="CG361" s="49" t="str">
        <f>IF(CB361="","",IF(AND('Seasonal Tercile Tally'!$B$5=1,BT361="Rating-based"),CB361*CF361,CB361))</f>
        <v/>
      </c>
      <c r="CH361" s="47">
        <f t="shared" si="156"/>
        <v>0</v>
      </c>
      <c r="CI361" s="45"/>
      <c r="CJ361" s="42" t="str">
        <f t="shared" si="157"/>
        <v/>
      </c>
      <c r="CM361" s="42" t="str">
        <f t="shared" si="158"/>
        <v/>
      </c>
      <c r="CP361" s="46" t="str">
        <f t="shared" si="159"/>
        <v/>
      </c>
      <c r="CS361" s="46" t="str">
        <f t="shared" si="160"/>
        <v/>
      </c>
      <c r="CT361" s="42" t="str">
        <f t="shared" si="161"/>
        <v/>
      </c>
      <c r="CU361" s="42" t="str">
        <f t="shared" si="162"/>
        <v/>
      </c>
      <c r="CV361" s="42" t="str">
        <f t="shared" si="163"/>
        <v/>
      </c>
      <c r="DB361" s="45"/>
      <c r="DH361" s="42" t="str">
        <f t="shared" si="164"/>
        <v/>
      </c>
      <c r="DI361" s="43" t="str">
        <f t="shared" si="165"/>
        <v/>
      </c>
      <c r="DK361" s="46" t="str">
        <f t="shared" si="166"/>
        <v/>
      </c>
      <c r="DQ361" s="42" t="str">
        <f>IF(AH361="","",IFERROR(ROUND(100*('Weighting Options'!$D$7*IF(ISNUMBER(CA361),CA361/3,0)+'Weighting Options'!$D$8*MIN(N(BL361),3)/3+'Weighting Options'!$D$9*IF(AP361="Community/Plenary-endorsed",1,IF(AP361="FGD-validated only",0.75,IF(AP361="Sub-community-specific",0.5,IF(AP361="Provisional/emerging",0.25,0))))+'Weighting Options'!$D$10*IF(ISNUMBER(K361),K361/3,0)+'Weighting Options'!$D$11*IF(CC361="",0.5,IF(CC361="OK",1,0.25))+'Weighting Options'!$D$12*IF(DK361="",0.5,IF(DK361="Agrees",1,IF(DK361="Opposite",0,0.5)))+'Weighting Options'!$D$13*MIN(N(BG361),3)/3+'Weighting Options'!$D$14*IF(AE361=1,1,0))/SUM('Weighting Options'!$D$7:$D$14),0),""))</f>
        <v/>
      </c>
      <c r="DR361" s="44" t="str">
        <f>IF(AH361="","",IFERROR(INDEX('Weighting Options'!$D$20:$D$27,VALUE(LEFT(TRIM(BU361),1))),1))</f>
        <v/>
      </c>
      <c r="DS361" s="44" t="str">
        <f t="shared" si="167"/>
        <v/>
      </c>
      <c r="DT361" s="42" t="str">
        <f>IF(AH361="","",IF(COUNTIFS($AH$12:AH361,AH361,$AI$12:AI361,AI361,$AM$12:AM361,AM361)=1,1,0))</f>
        <v/>
      </c>
    </row>
    <row r="362" spans="16:124" ht="12.75" customHeight="1" x14ac:dyDescent="0.35">
      <c r="P362" s="41"/>
      <c r="Q362" s="41"/>
      <c r="R362" s="41"/>
      <c r="S362" s="41"/>
      <c r="AH362" s="40"/>
      <c r="AP362" s="40"/>
      <c r="AS362" s="41"/>
      <c r="AT362" s="41"/>
      <c r="AW362" t="str">
        <f t="shared" si="140"/>
        <v/>
      </c>
      <c r="AX362" t="str">
        <f t="shared" si="141"/>
        <v/>
      </c>
      <c r="AY362" t="str">
        <f t="shared" si="142"/>
        <v/>
      </c>
      <c r="AZ362" s="40"/>
      <c r="BL362" s="47" t="str">
        <f t="shared" si="143"/>
        <v/>
      </c>
      <c r="BM362" s="47" t="str">
        <f t="shared" si="144"/>
        <v/>
      </c>
      <c r="BN362" s="47" t="str">
        <f t="shared" si="145"/>
        <v/>
      </c>
      <c r="BO362" s="47" t="str">
        <f t="shared" si="146"/>
        <v/>
      </c>
      <c r="BP362" s="47" t="str">
        <f t="shared" si="147"/>
        <v/>
      </c>
      <c r="BQ362" s="48" t="str">
        <f t="shared" si="148"/>
        <v/>
      </c>
      <c r="BR362" s="48" t="str">
        <f t="shared" si="149"/>
        <v/>
      </c>
      <c r="BS362" s="48" t="str">
        <f t="shared" si="150"/>
        <v/>
      </c>
      <c r="BT362" s="47" t="str">
        <f t="shared" si="151"/>
        <v/>
      </c>
      <c r="CA362" s="47" t="str">
        <f t="shared" si="152"/>
        <v/>
      </c>
      <c r="CB362" s="47" t="str">
        <f t="shared" si="153"/>
        <v/>
      </c>
      <c r="CC362" s="47" t="str">
        <f t="shared" si="154"/>
        <v/>
      </c>
      <c r="CD362" s="47" t="str">
        <f t="shared" si="155"/>
        <v/>
      </c>
      <c r="CE362" s="47" t="str">
        <f>IF(AH362="","",IF(OR(AI362&lt;&gt;'Seasonal Tercile Tally'!$B$3,AM362&lt;&gt;'Seasonal Tercile Tally'!$B$4),"Other site/ season",IF(DT362=0,"Excluded: duplicate (later row)",IF(N362&lt;&gt;1,"Excluded: not sighted",IF(AC362&lt;&gt;1,"Excluded: not confirmed",IF(AD362&lt;&gt;1,"Excluded: not approved",IF(AP362="Contested","Excluded: contested",IF(OR(U362="",U362=0),"Excluded: no tercile",IF(CB362="","Counted (simple tally only — no weight)","Counted")))))))))</f>
        <v/>
      </c>
      <c r="CF362" s="49" t="str">
        <f>IF(AH362="","",IFERROR(INDEX('Prior Multipliers'!$C$6:$C$70,MATCH(LEFT(AH362,10),'Prior Multipliers'!$A$6:$A$70,0)),IFERROR(INDEX('Prior Multipliers'!$C$6:$C$70,MATCH(LEFT(AH362,6),'Prior Multipliers'!$A$6:$A$70,0)),IFERROR(INDEX('Prior Multipliers'!$C$6:$C$70,MATCH(LEFT(AH362,2),'Prior Multipliers'!$A$6:$A$70,0)),1))))</f>
        <v/>
      </c>
      <c r="CG362" s="49" t="str">
        <f>IF(CB362="","",IF(AND('Seasonal Tercile Tally'!$B$5=1,BT362="Rating-based"),CB362*CF362,CB362))</f>
        <v/>
      </c>
      <c r="CH362" s="47">
        <f t="shared" si="156"/>
        <v>0</v>
      </c>
      <c r="CI362" s="45"/>
      <c r="CJ362" s="42" t="str">
        <f t="shared" si="157"/>
        <v/>
      </c>
      <c r="CM362" s="42" t="str">
        <f t="shared" si="158"/>
        <v/>
      </c>
      <c r="CP362" s="46" t="str">
        <f t="shared" si="159"/>
        <v/>
      </c>
      <c r="CS362" s="46" t="str">
        <f t="shared" si="160"/>
        <v/>
      </c>
      <c r="CT362" s="42" t="str">
        <f t="shared" si="161"/>
        <v/>
      </c>
      <c r="CU362" s="42" t="str">
        <f t="shared" si="162"/>
        <v/>
      </c>
      <c r="CV362" s="42" t="str">
        <f t="shared" si="163"/>
        <v/>
      </c>
      <c r="DB362" s="45"/>
      <c r="DH362" s="42" t="str">
        <f t="shared" si="164"/>
        <v/>
      </c>
      <c r="DI362" s="43" t="str">
        <f t="shared" si="165"/>
        <v/>
      </c>
      <c r="DK362" s="46" t="str">
        <f t="shared" si="166"/>
        <v/>
      </c>
      <c r="DQ362" s="42" t="str">
        <f>IF(AH362="","",IFERROR(ROUND(100*('Weighting Options'!$D$7*IF(ISNUMBER(CA362),CA362/3,0)+'Weighting Options'!$D$8*MIN(N(BL362),3)/3+'Weighting Options'!$D$9*IF(AP362="Community/Plenary-endorsed",1,IF(AP362="FGD-validated only",0.75,IF(AP362="Sub-community-specific",0.5,IF(AP362="Provisional/emerging",0.25,0))))+'Weighting Options'!$D$10*IF(ISNUMBER(K362),K362/3,0)+'Weighting Options'!$D$11*IF(CC362="",0.5,IF(CC362="OK",1,0.25))+'Weighting Options'!$D$12*IF(DK362="",0.5,IF(DK362="Agrees",1,IF(DK362="Opposite",0,0.5)))+'Weighting Options'!$D$13*MIN(N(BG362),3)/3+'Weighting Options'!$D$14*IF(AE362=1,1,0))/SUM('Weighting Options'!$D$7:$D$14),0),""))</f>
        <v/>
      </c>
      <c r="DR362" s="44" t="str">
        <f>IF(AH362="","",IFERROR(INDEX('Weighting Options'!$D$20:$D$27,VALUE(LEFT(TRIM(BU362),1))),1))</f>
        <v/>
      </c>
      <c r="DS362" s="44" t="str">
        <f t="shared" si="167"/>
        <v/>
      </c>
      <c r="DT362" s="42" t="str">
        <f>IF(AH362="","",IF(COUNTIFS($AH$12:AH362,AH362,$AI$12:AI362,AI362,$AM$12:AM362,AM362)=1,1,0))</f>
        <v/>
      </c>
    </row>
    <row r="363" spans="16:124" ht="12.75" customHeight="1" x14ac:dyDescent="0.35">
      <c r="P363" s="41"/>
      <c r="Q363" s="41"/>
      <c r="R363" s="41"/>
      <c r="S363" s="41"/>
      <c r="AH363" s="40"/>
      <c r="AP363" s="40"/>
      <c r="AS363" s="41"/>
      <c r="AT363" s="41"/>
      <c r="AW363" t="str">
        <f t="shared" si="140"/>
        <v/>
      </c>
      <c r="AX363" t="str">
        <f t="shared" si="141"/>
        <v/>
      </c>
      <c r="AY363" t="str">
        <f t="shared" si="142"/>
        <v/>
      </c>
      <c r="AZ363" s="40"/>
      <c r="BL363" s="47" t="str">
        <f t="shared" si="143"/>
        <v/>
      </c>
      <c r="BM363" s="47" t="str">
        <f t="shared" si="144"/>
        <v/>
      </c>
      <c r="BN363" s="47" t="str">
        <f t="shared" si="145"/>
        <v/>
      </c>
      <c r="BO363" s="47" t="str">
        <f t="shared" si="146"/>
        <v/>
      </c>
      <c r="BP363" s="47" t="str">
        <f t="shared" si="147"/>
        <v/>
      </c>
      <c r="BQ363" s="48" t="str">
        <f t="shared" si="148"/>
        <v/>
      </c>
      <c r="BR363" s="48" t="str">
        <f t="shared" si="149"/>
        <v/>
      </c>
      <c r="BS363" s="48" t="str">
        <f t="shared" si="150"/>
        <v/>
      </c>
      <c r="BT363" s="47" t="str">
        <f t="shared" si="151"/>
        <v/>
      </c>
      <c r="CA363" s="47" t="str">
        <f t="shared" si="152"/>
        <v/>
      </c>
      <c r="CB363" s="47" t="str">
        <f t="shared" si="153"/>
        <v/>
      </c>
      <c r="CC363" s="47" t="str">
        <f t="shared" si="154"/>
        <v/>
      </c>
      <c r="CD363" s="47" t="str">
        <f t="shared" si="155"/>
        <v/>
      </c>
      <c r="CE363" s="47" t="str">
        <f>IF(AH363="","",IF(OR(AI363&lt;&gt;'Seasonal Tercile Tally'!$B$3,AM363&lt;&gt;'Seasonal Tercile Tally'!$B$4),"Other site/ season",IF(DT363=0,"Excluded: duplicate (later row)",IF(N363&lt;&gt;1,"Excluded: not sighted",IF(AC363&lt;&gt;1,"Excluded: not confirmed",IF(AD363&lt;&gt;1,"Excluded: not approved",IF(AP363="Contested","Excluded: contested",IF(OR(U363="",U363=0),"Excluded: no tercile",IF(CB363="","Counted (simple tally only — no weight)","Counted")))))))))</f>
        <v/>
      </c>
      <c r="CF363" s="49" t="str">
        <f>IF(AH363="","",IFERROR(INDEX('Prior Multipliers'!$C$6:$C$70,MATCH(LEFT(AH363,10),'Prior Multipliers'!$A$6:$A$70,0)),IFERROR(INDEX('Prior Multipliers'!$C$6:$C$70,MATCH(LEFT(AH363,6),'Prior Multipliers'!$A$6:$A$70,0)),IFERROR(INDEX('Prior Multipliers'!$C$6:$C$70,MATCH(LEFT(AH363,2),'Prior Multipliers'!$A$6:$A$70,0)),1))))</f>
        <v/>
      </c>
      <c r="CG363" s="49" t="str">
        <f>IF(CB363="","",IF(AND('Seasonal Tercile Tally'!$B$5=1,BT363="Rating-based"),CB363*CF363,CB363))</f>
        <v/>
      </c>
      <c r="CH363" s="47">
        <f t="shared" si="156"/>
        <v>0</v>
      </c>
      <c r="CI363" s="45"/>
      <c r="CJ363" s="42" t="str">
        <f t="shared" si="157"/>
        <v/>
      </c>
      <c r="CM363" s="42" t="str">
        <f t="shared" si="158"/>
        <v/>
      </c>
      <c r="CP363" s="46" t="str">
        <f t="shared" si="159"/>
        <v/>
      </c>
      <c r="CS363" s="46" t="str">
        <f t="shared" si="160"/>
        <v/>
      </c>
      <c r="CT363" s="42" t="str">
        <f t="shared" si="161"/>
        <v/>
      </c>
      <c r="CU363" s="42" t="str">
        <f t="shared" si="162"/>
        <v/>
      </c>
      <c r="CV363" s="42" t="str">
        <f t="shared" si="163"/>
        <v/>
      </c>
      <c r="DB363" s="45"/>
      <c r="DH363" s="42" t="str">
        <f t="shared" si="164"/>
        <v/>
      </c>
      <c r="DI363" s="43" t="str">
        <f t="shared" si="165"/>
        <v/>
      </c>
      <c r="DK363" s="46" t="str">
        <f t="shared" si="166"/>
        <v/>
      </c>
      <c r="DQ363" s="42" t="str">
        <f>IF(AH363="","",IFERROR(ROUND(100*('Weighting Options'!$D$7*IF(ISNUMBER(CA363),CA363/3,0)+'Weighting Options'!$D$8*MIN(N(BL363),3)/3+'Weighting Options'!$D$9*IF(AP363="Community/Plenary-endorsed",1,IF(AP363="FGD-validated only",0.75,IF(AP363="Sub-community-specific",0.5,IF(AP363="Provisional/emerging",0.25,0))))+'Weighting Options'!$D$10*IF(ISNUMBER(K363),K363/3,0)+'Weighting Options'!$D$11*IF(CC363="",0.5,IF(CC363="OK",1,0.25))+'Weighting Options'!$D$12*IF(DK363="",0.5,IF(DK363="Agrees",1,IF(DK363="Opposite",0,0.5)))+'Weighting Options'!$D$13*MIN(N(BG363),3)/3+'Weighting Options'!$D$14*IF(AE363=1,1,0))/SUM('Weighting Options'!$D$7:$D$14),0),""))</f>
        <v/>
      </c>
      <c r="DR363" s="44" t="str">
        <f>IF(AH363="","",IFERROR(INDEX('Weighting Options'!$D$20:$D$27,VALUE(LEFT(TRIM(BU363),1))),1))</f>
        <v/>
      </c>
      <c r="DS363" s="44" t="str">
        <f t="shared" si="167"/>
        <v/>
      </c>
      <c r="DT363" s="42" t="str">
        <f>IF(AH363="","",IF(COUNTIFS($AH$12:AH363,AH363,$AI$12:AI363,AI363,$AM$12:AM363,AM363)=1,1,0))</f>
        <v/>
      </c>
    </row>
    <row r="364" spans="16:124" ht="12.75" customHeight="1" x14ac:dyDescent="0.35">
      <c r="P364" s="41"/>
      <c r="Q364" s="41"/>
      <c r="R364" s="41"/>
      <c r="S364" s="41"/>
      <c r="AH364" s="40"/>
      <c r="AP364" s="40"/>
      <c r="AS364" s="41"/>
      <c r="AT364" s="41"/>
      <c r="AW364" t="str">
        <f t="shared" si="140"/>
        <v/>
      </c>
      <c r="AX364" t="str">
        <f t="shared" si="141"/>
        <v/>
      </c>
      <c r="AY364" t="str">
        <f t="shared" si="142"/>
        <v/>
      </c>
      <c r="AZ364" s="40"/>
      <c r="BL364" s="47" t="str">
        <f t="shared" si="143"/>
        <v/>
      </c>
      <c r="BM364" s="47" t="str">
        <f t="shared" si="144"/>
        <v/>
      </c>
      <c r="BN364" s="47" t="str">
        <f t="shared" si="145"/>
        <v/>
      </c>
      <c r="BO364" s="47" t="str">
        <f t="shared" si="146"/>
        <v/>
      </c>
      <c r="BP364" s="47" t="str">
        <f t="shared" si="147"/>
        <v/>
      </c>
      <c r="BQ364" s="48" t="str">
        <f t="shared" si="148"/>
        <v/>
      </c>
      <c r="BR364" s="48" t="str">
        <f t="shared" si="149"/>
        <v/>
      </c>
      <c r="BS364" s="48" t="str">
        <f t="shared" si="150"/>
        <v/>
      </c>
      <c r="BT364" s="47" t="str">
        <f t="shared" si="151"/>
        <v/>
      </c>
      <c r="CA364" s="47" t="str">
        <f t="shared" si="152"/>
        <v/>
      </c>
      <c r="CB364" s="47" t="str">
        <f t="shared" si="153"/>
        <v/>
      </c>
      <c r="CC364" s="47" t="str">
        <f t="shared" si="154"/>
        <v/>
      </c>
      <c r="CD364" s="47" t="str">
        <f t="shared" si="155"/>
        <v/>
      </c>
      <c r="CE364" s="47" t="str">
        <f>IF(AH364="","",IF(OR(AI364&lt;&gt;'Seasonal Tercile Tally'!$B$3,AM364&lt;&gt;'Seasonal Tercile Tally'!$B$4),"Other site/ season",IF(DT364=0,"Excluded: duplicate (later row)",IF(N364&lt;&gt;1,"Excluded: not sighted",IF(AC364&lt;&gt;1,"Excluded: not confirmed",IF(AD364&lt;&gt;1,"Excluded: not approved",IF(AP364="Contested","Excluded: contested",IF(OR(U364="",U364=0),"Excluded: no tercile",IF(CB364="","Counted (simple tally only — no weight)","Counted")))))))))</f>
        <v/>
      </c>
      <c r="CF364" s="49" t="str">
        <f>IF(AH364="","",IFERROR(INDEX('Prior Multipliers'!$C$6:$C$70,MATCH(LEFT(AH364,10),'Prior Multipliers'!$A$6:$A$70,0)),IFERROR(INDEX('Prior Multipliers'!$C$6:$C$70,MATCH(LEFT(AH364,6),'Prior Multipliers'!$A$6:$A$70,0)),IFERROR(INDEX('Prior Multipliers'!$C$6:$C$70,MATCH(LEFT(AH364,2),'Prior Multipliers'!$A$6:$A$70,0)),1))))</f>
        <v/>
      </c>
      <c r="CG364" s="49" t="str">
        <f>IF(CB364="","",IF(AND('Seasonal Tercile Tally'!$B$5=1,BT364="Rating-based"),CB364*CF364,CB364))</f>
        <v/>
      </c>
      <c r="CH364" s="47">
        <f t="shared" si="156"/>
        <v>0</v>
      </c>
      <c r="CI364" s="45"/>
      <c r="CJ364" s="42" t="str">
        <f t="shared" si="157"/>
        <v/>
      </c>
      <c r="CM364" s="42" t="str">
        <f t="shared" si="158"/>
        <v/>
      </c>
      <c r="CP364" s="46" t="str">
        <f t="shared" si="159"/>
        <v/>
      </c>
      <c r="CS364" s="46" t="str">
        <f t="shared" si="160"/>
        <v/>
      </c>
      <c r="CT364" s="42" t="str">
        <f t="shared" si="161"/>
        <v/>
      </c>
      <c r="CU364" s="42" t="str">
        <f t="shared" si="162"/>
        <v/>
      </c>
      <c r="CV364" s="42" t="str">
        <f t="shared" si="163"/>
        <v/>
      </c>
      <c r="DB364" s="45"/>
      <c r="DH364" s="42" t="str">
        <f t="shared" si="164"/>
        <v/>
      </c>
      <c r="DI364" s="43" t="str">
        <f t="shared" si="165"/>
        <v/>
      </c>
      <c r="DK364" s="46" t="str">
        <f t="shared" si="166"/>
        <v/>
      </c>
      <c r="DQ364" s="42" t="str">
        <f>IF(AH364="","",IFERROR(ROUND(100*('Weighting Options'!$D$7*IF(ISNUMBER(CA364),CA364/3,0)+'Weighting Options'!$D$8*MIN(N(BL364),3)/3+'Weighting Options'!$D$9*IF(AP364="Community/Plenary-endorsed",1,IF(AP364="FGD-validated only",0.75,IF(AP364="Sub-community-specific",0.5,IF(AP364="Provisional/emerging",0.25,0))))+'Weighting Options'!$D$10*IF(ISNUMBER(K364),K364/3,0)+'Weighting Options'!$D$11*IF(CC364="",0.5,IF(CC364="OK",1,0.25))+'Weighting Options'!$D$12*IF(DK364="",0.5,IF(DK364="Agrees",1,IF(DK364="Opposite",0,0.5)))+'Weighting Options'!$D$13*MIN(N(BG364),3)/3+'Weighting Options'!$D$14*IF(AE364=1,1,0))/SUM('Weighting Options'!$D$7:$D$14),0),""))</f>
        <v/>
      </c>
      <c r="DR364" s="44" t="str">
        <f>IF(AH364="","",IFERROR(INDEX('Weighting Options'!$D$20:$D$27,VALUE(LEFT(TRIM(BU364),1))),1))</f>
        <v/>
      </c>
      <c r="DS364" s="44" t="str">
        <f t="shared" si="167"/>
        <v/>
      </c>
      <c r="DT364" s="42" t="str">
        <f>IF(AH364="","",IF(COUNTIFS($AH$12:AH364,AH364,$AI$12:AI364,AI364,$AM$12:AM364,AM364)=1,1,0))</f>
        <v/>
      </c>
    </row>
    <row r="365" spans="16:124" ht="12.75" customHeight="1" x14ac:dyDescent="0.35">
      <c r="P365" s="41"/>
      <c r="Q365" s="41"/>
      <c r="R365" s="41"/>
      <c r="S365" s="41"/>
      <c r="AH365" s="40"/>
      <c r="AP365" s="40"/>
      <c r="AS365" s="41"/>
      <c r="AT365" s="41"/>
      <c r="AW365" t="str">
        <f t="shared" si="140"/>
        <v/>
      </c>
      <c r="AX365" t="str">
        <f t="shared" si="141"/>
        <v/>
      </c>
      <c r="AY365" t="str">
        <f t="shared" si="142"/>
        <v/>
      </c>
      <c r="AZ365" s="40"/>
      <c r="BL365" s="47" t="str">
        <f t="shared" si="143"/>
        <v/>
      </c>
      <c r="BM365" s="47" t="str">
        <f t="shared" si="144"/>
        <v/>
      </c>
      <c r="BN365" s="47" t="str">
        <f t="shared" si="145"/>
        <v/>
      </c>
      <c r="BO365" s="47" t="str">
        <f t="shared" si="146"/>
        <v/>
      </c>
      <c r="BP365" s="47" t="str">
        <f t="shared" si="147"/>
        <v/>
      </c>
      <c r="BQ365" s="48" t="str">
        <f t="shared" si="148"/>
        <v/>
      </c>
      <c r="BR365" s="48" t="str">
        <f t="shared" si="149"/>
        <v/>
      </c>
      <c r="BS365" s="48" t="str">
        <f t="shared" si="150"/>
        <v/>
      </c>
      <c r="BT365" s="47" t="str">
        <f t="shared" si="151"/>
        <v/>
      </c>
      <c r="CA365" s="47" t="str">
        <f t="shared" si="152"/>
        <v/>
      </c>
      <c r="CB365" s="47" t="str">
        <f t="shared" si="153"/>
        <v/>
      </c>
      <c r="CC365" s="47" t="str">
        <f t="shared" si="154"/>
        <v/>
      </c>
      <c r="CD365" s="47" t="str">
        <f t="shared" si="155"/>
        <v/>
      </c>
      <c r="CE365" s="47" t="str">
        <f>IF(AH365="","",IF(OR(AI365&lt;&gt;'Seasonal Tercile Tally'!$B$3,AM365&lt;&gt;'Seasonal Tercile Tally'!$B$4),"Other site/ season",IF(DT365=0,"Excluded: duplicate (later row)",IF(N365&lt;&gt;1,"Excluded: not sighted",IF(AC365&lt;&gt;1,"Excluded: not confirmed",IF(AD365&lt;&gt;1,"Excluded: not approved",IF(AP365="Contested","Excluded: contested",IF(OR(U365="",U365=0),"Excluded: no tercile",IF(CB365="","Counted (simple tally only — no weight)","Counted")))))))))</f>
        <v/>
      </c>
      <c r="CF365" s="49" t="str">
        <f>IF(AH365="","",IFERROR(INDEX('Prior Multipliers'!$C$6:$C$70,MATCH(LEFT(AH365,10),'Prior Multipliers'!$A$6:$A$70,0)),IFERROR(INDEX('Prior Multipliers'!$C$6:$C$70,MATCH(LEFT(AH365,6),'Prior Multipliers'!$A$6:$A$70,0)),IFERROR(INDEX('Prior Multipliers'!$C$6:$C$70,MATCH(LEFT(AH365,2),'Prior Multipliers'!$A$6:$A$70,0)),1))))</f>
        <v/>
      </c>
      <c r="CG365" s="49" t="str">
        <f>IF(CB365="","",IF(AND('Seasonal Tercile Tally'!$B$5=1,BT365="Rating-based"),CB365*CF365,CB365))</f>
        <v/>
      </c>
      <c r="CH365" s="47">
        <f t="shared" si="156"/>
        <v>0</v>
      </c>
      <c r="CI365" s="45"/>
      <c r="CJ365" s="42" t="str">
        <f t="shared" si="157"/>
        <v/>
      </c>
      <c r="CM365" s="42" t="str">
        <f t="shared" si="158"/>
        <v/>
      </c>
      <c r="CP365" s="46" t="str">
        <f t="shared" si="159"/>
        <v/>
      </c>
      <c r="CS365" s="46" t="str">
        <f t="shared" si="160"/>
        <v/>
      </c>
      <c r="CT365" s="42" t="str">
        <f t="shared" si="161"/>
        <v/>
      </c>
      <c r="CU365" s="42" t="str">
        <f t="shared" si="162"/>
        <v/>
      </c>
      <c r="CV365" s="42" t="str">
        <f t="shared" si="163"/>
        <v/>
      </c>
      <c r="DB365" s="45"/>
      <c r="DH365" s="42" t="str">
        <f t="shared" si="164"/>
        <v/>
      </c>
      <c r="DI365" s="43" t="str">
        <f t="shared" si="165"/>
        <v/>
      </c>
      <c r="DK365" s="46" t="str">
        <f t="shared" si="166"/>
        <v/>
      </c>
      <c r="DQ365" s="42" t="str">
        <f>IF(AH365="","",IFERROR(ROUND(100*('Weighting Options'!$D$7*IF(ISNUMBER(CA365),CA365/3,0)+'Weighting Options'!$D$8*MIN(N(BL365),3)/3+'Weighting Options'!$D$9*IF(AP365="Community/Plenary-endorsed",1,IF(AP365="FGD-validated only",0.75,IF(AP365="Sub-community-specific",0.5,IF(AP365="Provisional/emerging",0.25,0))))+'Weighting Options'!$D$10*IF(ISNUMBER(K365),K365/3,0)+'Weighting Options'!$D$11*IF(CC365="",0.5,IF(CC365="OK",1,0.25))+'Weighting Options'!$D$12*IF(DK365="",0.5,IF(DK365="Agrees",1,IF(DK365="Opposite",0,0.5)))+'Weighting Options'!$D$13*MIN(N(BG365),3)/3+'Weighting Options'!$D$14*IF(AE365=1,1,0))/SUM('Weighting Options'!$D$7:$D$14),0),""))</f>
        <v/>
      </c>
      <c r="DR365" s="44" t="str">
        <f>IF(AH365="","",IFERROR(INDEX('Weighting Options'!$D$20:$D$27,VALUE(LEFT(TRIM(BU365),1))),1))</f>
        <v/>
      </c>
      <c r="DS365" s="44" t="str">
        <f t="shared" si="167"/>
        <v/>
      </c>
      <c r="DT365" s="42" t="str">
        <f>IF(AH365="","",IF(COUNTIFS($AH$12:AH365,AH365,$AI$12:AI365,AI365,$AM$12:AM365,AM365)=1,1,0))</f>
        <v/>
      </c>
    </row>
    <row r="366" spans="16:124" ht="12.75" customHeight="1" x14ac:dyDescent="0.35">
      <c r="P366" s="41"/>
      <c r="Q366" s="41"/>
      <c r="R366" s="41"/>
      <c r="S366" s="41"/>
      <c r="AH366" s="40"/>
      <c r="AP366" s="40"/>
      <c r="AS366" s="41"/>
      <c r="AT366" s="41"/>
      <c r="AW366" t="str">
        <f t="shared" si="140"/>
        <v/>
      </c>
      <c r="AX366" t="str">
        <f t="shared" si="141"/>
        <v/>
      </c>
      <c r="AY366" t="str">
        <f t="shared" si="142"/>
        <v/>
      </c>
      <c r="AZ366" s="40"/>
      <c r="BL366" s="47" t="str">
        <f t="shared" si="143"/>
        <v/>
      </c>
      <c r="BM366" s="47" t="str">
        <f t="shared" si="144"/>
        <v/>
      </c>
      <c r="BN366" s="47" t="str">
        <f t="shared" si="145"/>
        <v/>
      </c>
      <c r="BO366" s="47" t="str">
        <f t="shared" si="146"/>
        <v/>
      </c>
      <c r="BP366" s="47" t="str">
        <f t="shared" si="147"/>
        <v/>
      </c>
      <c r="BQ366" s="48" t="str">
        <f t="shared" si="148"/>
        <v/>
      </c>
      <c r="BR366" s="48" t="str">
        <f t="shared" si="149"/>
        <v/>
      </c>
      <c r="BS366" s="48" t="str">
        <f t="shared" si="150"/>
        <v/>
      </c>
      <c r="BT366" s="47" t="str">
        <f t="shared" si="151"/>
        <v/>
      </c>
      <c r="CA366" s="47" t="str">
        <f t="shared" si="152"/>
        <v/>
      </c>
      <c r="CB366" s="47" t="str">
        <f t="shared" si="153"/>
        <v/>
      </c>
      <c r="CC366" s="47" t="str">
        <f t="shared" si="154"/>
        <v/>
      </c>
      <c r="CD366" s="47" t="str">
        <f t="shared" si="155"/>
        <v/>
      </c>
      <c r="CE366" s="47" t="str">
        <f>IF(AH366="","",IF(OR(AI366&lt;&gt;'Seasonal Tercile Tally'!$B$3,AM366&lt;&gt;'Seasonal Tercile Tally'!$B$4),"Other site/ season",IF(DT366=0,"Excluded: duplicate (later row)",IF(N366&lt;&gt;1,"Excluded: not sighted",IF(AC366&lt;&gt;1,"Excluded: not confirmed",IF(AD366&lt;&gt;1,"Excluded: not approved",IF(AP366="Contested","Excluded: contested",IF(OR(U366="",U366=0),"Excluded: no tercile",IF(CB366="","Counted (simple tally only — no weight)","Counted")))))))))</f>
        <v/>
      </c>
      <c r="CF366" s="49" t="str">
        <f>IF(AH366="","",IFERROR(INDEX('Prior Multipliers'!$C$6:$C$70,MATCH(LEFT(AH366,10),'Prior Multipliers'!$A$6:$A$70,0)),IFERROR(INDEX('Prior Multipliers'!$C$6:$C$70,MATCH(LEFT(AH366,6),'Prior Multipliers'!$A$6:$A$70,0)),IFERROR(INDEX('Prior Multipliers'!$C$6:$C$70,MATCH(LEFT(AH366,2),'Prior Multipliers'!$A$6:$A$70,0)),1))))</f>
        <v/>
      </c>
      <c r="CG366" s="49" t="str">
        <f>IF(CB366="","",IF(AND('Seasonal Tercile Tally'!$B$5=1,BT366="Rating-based"),CB366*CF366,CB366))</f>
        <v/>
      </c>
      <c r="CH366" s="47">
        <f t="shared" si="156"/>
        <v>0</v>
      </c>
      <c r="CI366" s="45"/>
      <c r="CJ366" s="42" t="str">
        <f t="shared" si="157"/>
        <v/>
      </c>
      <c r="CM366" s="42" t="str">
        <f t="shared" si="158"/>
        <v/>
      </c>
      <c r="CP366" s="46" t="str">
        <f t="shared" si="159"/>
        <v/>
      </c>
      <c r="CS366" s="46" t="str">
        <f t="shared" si="160"/>
        <v/>
      </c>
      <c r="CT366" s="42" t="str">
        <f t="shared" si="161"/>
        <v/>
      </c>
      <c r="CU366" s="42" t="str">
        <f t="shared" si="162"/>
        <v/>
      </c>
      <c r="CV366" s="42" t="str">
        <f t="shared" si="163"/>
        <v/>
      </c>
      <c r="DB366" s="45"/>
      <c r="DH366" s="42" t="str">
        <f t="shared" si="164"/>
        <v/>
      </c>
      <c r="DI366" s="43" t="str">
        <f t="shared" si="165"/>
        <v/>
      </c>
      <c r="DK366" s="46" t="str">
        <f t="shared" si="166"/>
        <v/>
      </c>
      <c r="DQ366" s="42" t="str">
        <f>IF(AH366="","",IFERROR(ROUND(100*('Weighting Options'!$D$7*IF(ISNUMBER(CA366),CA366/3,0)+'Weighting Options'!$D$8*MIN(N(BL366),3)/3+'Weighting Options'!$D$9*IF(AP366="Community/Plenary-endorsed",1,IF(AP366="FGD-validated only",0.75,IF(AP366="Sub-community-specific",0.5,IF(AP366="Provisional/emerging",0.25,0))))+'Weighting Options'!$D$10*IF(ISNUMBER(K366),K366/3,0)+'Weighting Options'!$D$11*IF(CC366="",0.5,IF(CC366="OK",1,0.25))+'Weighting Options'!$D$12*IF(DK366="",0.5,IF(DK366="Agrees",1,IF(DK366="Opposite",0,0.5)))+'Weighting Options'!$D$13*MIN(N(BG366),3)/3+'Weighting Options'!$D$14*IF(AE366=1,1,0))/SUM('Weighting Options'!$D$7:$D$14),0),""))</f>
        <v/>
      </c>
      <c r="DR366" s="44" t="str">
        <f>IF(AH366="","",IFERROR(INDEX('Weighting Options'!$D$20:$D$27,VALUE(LEFT(TRIM(BU366),1))),1))</f>
        <v/>
      </c>
      <c r="DS366" s="44" t="str">
        <f t="shared" si="167"/>
        <v/>
      </c>
      <c r="DT366" s="42" t="str">
        <f>IF(AH366="","",IF(COUNTIFS($AH$12:AH366,AH366,$AI$12:AI366,AI366,$AM$12:AM366,AM366)=1,1,0))</f>
        <v/>
      </c>
    </row>
    <row r="367" spans="16:124" ht="12.75" customHeight="1" x14ac:dyDescent="0.35">
      <c r="P367" s="41"/>
      <c r="Q367" s="41"/>
      <c r="R367" s="41"/>
      <c r="S367" s="41"/>
      <c r="AH367" s="40"/>
      <c r="AP367" s="40"/>
      <c r="AS367" s="41"/>
      <c r="AT367" s="41"/>
      <c r="AW367" t="str">
        <f t="shared" si="140"/>
        <v/>
      </c>
      <c r="AX367" t="str">
        <f t="shared" si="141"/>
        <v/>
      </c>
      <c r="AY367" t="str">
        <f t="shared" si="142"/>
        <v/>
      </c>
      <c r="AZ367" s="40"/>
      <c r="BL367" s="47" t="str">
        <f t="shared" si="143"/>
        <v/>
      </c>
      <c r="BM367" s="47" t="str">
        <f t="shared" si="144"/>
        <v/>
      </c>
      <c r="BN367" s="47" t="str">
        <f t="shared" si="145"/>
        <v/>
      </c>
      <c r="BO367" s="47" t="str">
        <f t="shared" si="146"/>
        <v/>
      </c>
      <c r="BP367" s="47" t="str">
        <f t="shared" si="147"/>
        <v/>
      </c>
      <c r="BQ367" s="48" t="str">
        <f t="shared" si="148"/>
        <v/>
      </c>
      <c r="BR367" s="48" t="str">
        <f t="shared" si="149"/>
        <v/>
      </c>
      <c r="BS367" s="48" t="str">
        <f t="shared" si="150"/>
        <v/>
      </c>
      <c r="BT367" s="47" t="str">
        <f t="shared" si="151"/>
        <v/>
      </c>
      <c r="CA367" s="47" t="str">
        <f t="shared" si="152"/>
        <v/>
      </c>
      <c r="CB367" s="47" t="str">
        <f t="shared" si="153"/>
        <v/>
      </c>
      <c r="CC367" s="47" t="str">
        <f t="shared" si="154"/>
        <v/>
      </c>
      <c r="CD367" s="47" t="str">
        <f t="shared" si="155"/>
        <v/>
      </c>
      <c r="CE367" s="47" t="str">
        <f>IF(AH367="","",IF(OR(AI367&lt;&gt;'Seasonal Tercile Tally'!$B$3,AM367&lt;&gt;'Seasonal Tercile Tally'!$B$4),"Other site/ season",IF(DT367=0,"Excluded: duplicate (later row)",IF(N367&lt;&gt;1,"Excluded: not sighted",IF(AC367&lt;&gt;1,"Excluded: not confirmed",IF(AD367&lt;&gt;1,"Excluded: not approved",IF(AP367="Contested","Excluded: contested",IF(OR(U367="",U367=0),"Excluded: no tercile",IF(CB367="","Counted (simple tally only — no weight)","Counted")))))))))</f>
        <v/>
      </c>
      <c r="CF367" s="49" t="str">
        <f>IF(AH367="","",IFERROR(INDEX('Prior Multipliers'!$C$6:$C$70,MATCH(LEFT(AH367,10),'Prior Multipliers'!$A$6:$A$70,0)),IFERROR(INDEX('Prior Multipliers'!$C$6:$C$70,MATCH(LEFT(AH367,6),'Prior Multipliers'!$A$6:$A$70,0)),IFERROR(INDEX('Prior Multipliers'!$C$6:$C$70,MATCH(LEFT(AH367,2),'Prior Multipliers'!$A$6:$A$70,0)),1))))</f>
        <v/>
      </c>
      <c r="CG367" s="49" t="str">
        <f>IF(CB367="","",IF(AND('Seasonal Tercile Tally'!$B$5=1,BT367="Rating-based"),CB367*CF367,CB367))</f>
        <v/>
      </c>
      <c r="CH367" s="47">
        <f t="shared" si="156"/>
        <v>0</v>
      </c>
      <c r="CI367" s="45"/>
      <c r="CJ367" s="42" t="str">
        <f t="shared" si="157"/>
        <v/>
      </c>
      <c r="CM367" s="42" t="str">
        <f t="shared" si="158"/>
        <v/>
      </c>
      <c r="CP367" s="46" t="str">
        <f t="shared" si="159"/>
        <v/>
      </c>
      <c r="CS367" s="46" t="str">
        <f t="shared" si="160"/>
        <v/>
      </c>
      <c r="CT367" s="42" t="str">
        <f t="shared" si="161"/>
        <v/>
      </c>
      <c r="CU367" s="42" t="str">
        <f t="shared" si="162"/>
        <v/>
      </c>
      <c r="CV367" s="42" t="str">
        <f t="shared" si="163"/>
        <v/>
      </c>
      <c r="DB367" s="45"/>
      <c r="DH367" s="42" t="str">
        <f t="shared" si="164"/>
        <v/>
      </c>
      <c r="DI367" s="43" t="str">
        <f t="shared" si="165"/>
        <v/>
      </c>
      <c r="DK367" s="46" t="str">
        <f t="shared" si="166"/>
        <v/>
      </c>
      <c r="DQ367" s="42" t="str">
        <f>IF(AH367="","",IFERROR(ROUND(100*('Weighting Options'!$D$7*IF(ISNUMBER(CA367),CA367/3,0)+'Weighting Options'!$D$8*MIN(N(BL367),3)/3+'Weighting Options'!$D$9*IF(AP367="Community/Plenary-endorsed",1,IF(AP367="FGD-validated only",0.75,IF(AP367="Sub-community-specific",0.5,IF(AP367="Provisional/emerging",0.25,0))))+'Weighting Options'!$D$10*IF(ISNUMBER(K367),K367/3,0)+'Weighting Options'!$D$11*IF(CC367="",0.5,IF(CC367="OK",1,0.25))+'Weighting Options'!$D$12*IF(DK367="",0.5,IF(DK367="Agrees",1,IF(DK367="Opposite",0,0.5)))+'Weighting Options'!$D$13*MIN(N(BG367),3)/3+'Weighting Options'!$D$14*IF(AE367=1,1,0))/SUM('Weighting Options'!$D$7:$D$14),0),""))</f>
        <v/>
      </c>
      <c r="DR367" s="44" t="str">
        <f>IF(AH367="","",IFERROR(INDEX('Weighting Options'!$D$20:$D$27,VALUE(LEFT(TRIM(BU367),1))),1))</f>
        <v/>
      </c>
      <c r="DS367" s="44" t="str">
        <f t="shared" si="167"/>
        <v/>
      </c>
      <c r="DT367" s="42" t="str">
        <f>IF(AH367="","",IF(COUNTIFS($AH$12:AH367,AH367,$AI$12:AI367,AI367,$AM$12:AM367,AM367)=1,1,0))</f>
        <v/>
      </c>
    </row>
    <row r="368" spans="16:124" ht="12.75" customHeight="1" x14ac:dyDescent="0.35">
      <c r="P368" s="41"/>
      <c r="Q368" s="41"/>
      <c r="R368" s="41"/>
      <c r="S368" s="41"/>
      <c r="AH368" s="40"/>
      <c r="AP368" s="40"/>
      <c r="AS368" s="41"/>
      <c r="AT368" s="41"/>
      <c r="AW368" t="str">
        <f t="shared" si="140"/>
        <v/>
      </c>
      <c r="AX368" t="str">
        <f t="shared" si="141"/>
        <v/>
      </c>
      <c r="AY368" t="str">
        <f t="shared" si="142"/>
        <v/>
      </c>
      <c r="AZ368" s="40"/>
      <c r="BL368" s="47" t="str">
        <f t="shared" si="143"/>
        <v/>
      </c>
      <c r="BM368" s="47" t="str">
        <f t="shared" si="144"/>
        <v/>
      </c>
      <c r="BN368" s="47" t="str">
        <f t="shared" si="145"/>
        <v/>
      </c>
      <c r="BO368" s="47" t="str">
        <f t="shared" si="146"/>
        <v/>
      </c>
      <c r="BP368" s="47" t="str">
        <f t="shared" si="147"/>
        <v/>
      </c>
      <c r="BQ368" s="48" t="str">
        <f t="shared" si="148"/>
        <v/>
      </c>
      <c r="BR368" s="48" t="str">
        <f t="shared" si="149"/>
        <v/>
      </c>
      <c r="BS368" s="48" t="str">
        <f t="shared" si="150"/>
        <v/>
      </c>
      <c r="BT368" s="47" t="str">
        <f t="shared" si="151"/>
        <v/>
      </c>
      <c r="CA368" s="47" t="str">
        <f t="shared" si="152"/>
        <v/>
      </c>
      <c r="CB368" s="47" t="str">
        <f t="shared" si="153"/>
        <v/>
      </c>
      <c r="CC368" s="47" t="str">
        <f t="shared" si="154"/>
        <v/>
      </c>
      <c r="CD368" s="47" t="str">
        <f t="shared" si="155"/>
        <v/>
      </c>
      <c r="CE368" s="47" t="str">
        <f>IF(AH368="","",IF(OR(AI368&lt;&gt;'Seasonal Tercile Tally'!$B$3,AM368&lt;&gt;'Seasonal Tercile Tally'!$B$4),"Other site/ season",IF(DT368=0,"Excluded: duplicate (later row)",IF(N368&lt;&gt;1,"Excluded: not sighted",IF(AC368&lt;&gt;1,"Excluded: not confirmed",IF(AD368&lt;&gt;1,"Excluded: not approved",IF(AP368="Contested","Excluded: contested",IF(OR(U368="",U368=0),"Excluded: no tercile",IF(CB368="","Counted (simple tally only — no weight)","Counted")))))))))</f>
        <v/>
      </c>
      <c r="CF368" s="49" t="str">
        <f>IF(AH368="","",IFERROR(INDEX('Prior Multipliers'!$C$6:$C$70,MATCH(LEFT(AH368,10),'Prior Multipliers'!$A$6:$A$70,0)),IFERROR(INDEX('Prior Multipliers'!$C$6:$C$70,MATCH(LEFT(AH368,6),'Prior Multipliers'!$A$6:$A$70,0)),IFERROR(INDEX('Prior Multipliers'!$C$6:$C$70,MATCH(LEFT(AH368,2),'Prior Multipliers'!$A$6:$A$70,0)),1))))</f>
        <v/>
      </c>
      <c r="CG368" s="49" t="str">
        <f>IF(CB368="","",IF(AND('Seasonal Tercile Tally'!$B$5=1,BT368="Rating-based"),CB368*CF368,CB368))</f>
        <v/>
      </c>
      <c r="CH368" s="47">
        <f t="shared" si="156"/>
        <v>0</v>
      </c>
      <c r="CI368" s="45"/>
      <c r="CJ368" s="42" t="str">
        <f t="shared" si="157"/>
        <v/>
      </c>
      <c r="CM368" s="42" t="str">
        <f t="shared" si="158"/>
        <v/>
      </c>
      <c r="CP368" s="46" t="str">
        <f t="shared" si="159"/>
        <v/>
      </c>
      <c r="CS368" s="46" t="str">
        <f t="shared" si="160"/>
        <v/>
      </c>
      <c r="CT368" s="42" t="str">
        <f t="shared" si="161"/>
        <v/>
      </c>
      <c r="CU368" s="42" t="str">
        <f t="shared" si="162"/>
        <v/>
      </c>
      <c r="CV368" s="42" t="str">
        <f t="shared" si="163"/>
        <v/>
      </c>
      <c r="DB368" s="45"/>
      <c r="DH368" s="42" t="str">
        <f t="shared" si="164"/>
        <v/>
      </c>
      <c r="DI368" s="43" t="str">
        <f t="shared" si="165"/>
        <v/>
      </c>
      <c r="DK368" s="46" t="str">
        <f t="shared" si="166"/>
        <v/>
      </c>
      <c r="DQ368" s="42" t="str">
        <f>IF(AH368="","",IFERROR(ROUND(100*('Weighting Options'!$D$7*IF(ISNUMBER(CA368),CA368/3,0)+'Weighting Options'!$D$8*MIN(N(BL368),3)/3+'Weighting Options'!$D$9*IF(AP368="Community/Plenary-endorsed",1,IF(AP368="FGD-validated only",0.75,IF(AP368="Sub-community-specific",0.5,IF(AP368="Provisional/emerging",0.25,0))))+'Weighting Options'!$D$10*IF(ISNUMBER(K368),K368/3,0)+'Weighting Options'!$D$11*IF(CC368="",0.5,IF(CC368="OK",1,0.25))+'Weighting Options'!$D$12*IF(DK368="",0.5,IF(DK368="Agrees",1,IF(DK368="Opposite",0,0.5)))+'Weighting Options'!$D$13*MIN(N(BG368),3)/3+'Weighting Options'!$D$14*IF(AE368=1,1,0))/SUM('Weighting Options'!$D$7:$D$14),0),""))</f>
        <v/>
      </c>
      <c r="DR368" s="44" t="str">
        <f>IF(AH368="","",IFERROR(INDEX('Weighting Options'!$D$20:$D$27,VALUE(LEFT(TRIM(BU368),1))),1))</f>
        <v/>
      </c>
      <c r="DS368" s="44" t="str">
        <f t="shared" si="167"/>
        <v/>
      </c>
      <c r="DT368" s="42" t="str">
        <f>IF(AH368="","",IF(COUNTIFS($AH$12:AH368,AH368,$AI$12:AI368,AI368,$AM$12:AM368,AM368)=1,1,0))</f>
        <v/>
      </c>
    </row>
    <row r="369" spans="16:124" ht="12.75" customHeight="1" x14ac:dyDescent="0.35">
      <c r="P369" s="41"/>
      <c r="Q369" s="41"/>
      <c r="R369" s="41"/>
      <c r="S369" s="41"/>
      <c r="AH369" s="40"/>
      <c r="AP369" s="40"/>
      <c r="AS369" s="41"/>
      <c r="AT369" s="41"/>
      <c r="AW369" t="str">
        <f t="shared" si="140"/>
        <v/>
      </c>
      <c r="AX369" t="str">
        <f t="shared" si="141"/>
        <v/>
      </c>
      <c r="AY369" t="str">
        <f t="shared" si="142"/>
        <v/>
      </c>
      <c r="AZ369" s="40"/>
      <c r="BL369" s="47" t="str">
        <f t="shared" si="143"/>
        <v/>
      </c>
      <c r="BM369" s="47" t="str">
        <f t="shared" si="144"/>
        <v/>
      </c>
      <c r="BN369" s="47" t="str">
        <f t="shared" si="145"/>
        <v/>
      </c>
      <c r="BO369" s="47" t="str">
        <f t="shared" si="146"/>
        <v/>
      </c>
      <c r="BP369" s="47" t="str">
        <f t="shared" si="147"/>
        <v/>
      </c>
      <c r="BQ369" s="48" t="str">
        <f t="shared" si="148"/>
        <v/>
      </c>
      <c r="BR369" s="48" t="str">
        <f t="shared" si="149"/>
        <v/>
      </c>
      <c r="BS369" s="48" t="str">
        <f t="shared" si="150"/>
        <v/>
      </c>
      <c r="BT369" s="47" t="str">
        <f t="shared" si="151"/>
        <v/>
      </c>
      <c r="CA369" s="47" t="str">
        <f t="shared" si="152"/>
        <v/>
      </c>
      <c r="CB369" s="47" t="str">
        <f t="shared" si="153"/>
        <v/>
      </c>
      <c r="CC369" s="47" t="str">
        <f t="shared" si="154"/>
        <v/>
      </c>
      <c r="CD369" s="47" t="str">
        <f t="shared" si="155"/>
        <v/>
      </c>
      <c r="CE369" s="47" t="str">
        <f>IF(AH369="","",IF(OR(AI369&lt;&gt;'Seasonal Tercile Tally'!$B$3,AM369&lt;&gt;'Seasonal Tercile Tally'!$B$4),"Other site/ season",IF(DT369=0,"Excluded: duplicate (later row)",IF(N369&lt;&gt;1,"Excluded: not sighted",IF(AC369&lt;&gt;1,"Excluded: not confirmed",IF(AD369&lt;&gt;1,"Excluded: not approved",IF(AP369="Contested","Excluded: contested",IF(OR(U369="",U369=0),"Excluded: no tercile",IF(CB369="","Counted (simple tally only — no weight)","Counted")))))))))</f>
        <v/>
      </c>
      <c r="CF369" s="49" t="str">
        <f>IF(AH369="","",IFERROR(INDEX('Prior Multipliers'!$C$6:$C$70,MATCH(LEFT(AH369,10),'Prior Multipliers'!$A$6:$A$70,0)),IFERROR(INDEX('Prior Multipliers'!$C$6:$C$70,MATCH(LEFT(AH369,6),'Prior Multipliers'!$A$6:$A$70,0)),IFERROR(INDEX('Prior Multipliers'!$C$6:$C$70,MATCH(LEFT(AH369,2),'Prior Multipliers'!$A$6:$A$70,0)),1))))</f>
        <v/>
      </c>
      <c r="CG369" s="49" t="str">
        <f>IF(CB369="","",IF(AND('Seasonal Tercile Tally'!$B$5=1,BT369="Rating-based"),CB369*CF369,CB369))</f>
        <v/>
      </c>
      <c r="CH369" s="47">
        <f t="shared" si="156"/>
        <v>0</v>
      </c>
      <c r="CI369" s="45"/>
      <c r="CJ369" s="42" t="str">
        <f t="shared" si="157"/>
        <v/>
      </c>
      <c r="CM369" s="42" t="str">
        <f t="shared" si="158"/>
        <v/>
      </c>
      <c r="CP369" s="46" t="str">
        <f t="shared" si="159"/>
        <v/>
      </c>
      <c r="CS369" s="46" t="str">
        <f t="shared" si="160"/>
        <v/>
      </c>
      <c r="CT369" s="42" t="str">
        <f t="shared" si="161"/>
        <v/>
      </c>
      <c r="CU369" s="42" t="str">
        <f t="shared" si="162"/>
        <v/>
      </c>
      <c r="CV369" s="42" t="str">
        <f t="shared" si="163"/>
        <v/>
      </c>
      <c r="DB369" s="45"/>
      <c r="DH369" s="42" t="str">
        <f t="shared" si="164"/>
        <v/>
      </c>
      <c r="DI369" s="43" t="str">
        <f t="shared" si="165"/>
        <v/>
      </c>
      <c r="DK369" s="46" t="str">
        <f t="shared" si="166"/>
        <v/>
      </c>
      <c r="DQ369" s="42" t="str">
        <f>IF(AH369="","",IFERROR(ROUND(100*('Weighting Options'!$D$7*IF(ISNUMBER(CA369),CA369/3,0)+'Weighting Options'!$D$8*MIN(N(BL369),3)/3+'Weighting Options'!$D$9*IF(AP369="Community/Plenary-endorsed",1,IF(AP369="FGD-validated only",0.75,IF(AP369="Sub-community-specific",0.5,IF(AP369="Provisional/emerging",0.25,0))))+'Weighting Options'!$D$10*IF(ISNUMBER(K369),K369/3,0)+'Weighting Options'!$D$11*IF(CC369="",0.5,IF(CC369="OK",1,0.25))+'Weighting Options'!$D$12*IF(DK369="",0.5,IF(DK369="Agrees",1,IF(DK369="Opposite",0,0.5)))+'Weighting Options'!$D$13*MIN(N(BG369),3)/3+'Weighting Options'!$D$14*IF(AE369=1,1,0))/SUM('Weighting Options'!$D$7:$D$14),0),""))</f>
        <v/>
      </c>
      <c r="DR369" s="44" t="str">
        <f>IF(AH369="","",IFERROR(INDEX('Weighting Options'!$D$20:$D$27,VALUE(LEFT(TRIM(BU369),1))),1))</f>
        <v/>
      </c>
      <c r="DS369" s="44" t="str">
        <f t="shared" si="167"/>
        <v/>
      </c>
      <c r="DT369" s="42" t="str">
        <f>IF(AH369="","",IF(COUNTIFS($AH$12:AH369,AH369,$AI$12:AI369,AI369,$AM$12:AM369,AM369)=1,1,0))</f>
        <v/>
      </c>
    </row>
    <row r="370" spans="16:124" ht="12.75" customHeight="1" x14ac:dyDescent="0.35">
      <c r="P370" s="41"/>
      <c r="Q370" s="41"/>
      <c r="R370" s="41"/>
      <c r="S370" s="41"/>
      <c r="AH370" s="40"/>
      <c r="AP370" s="40"/>
      <c r="AS370" s="41"/>
      <c r="AT370" s="41"/>
      <c r="AW370" t="str">
        <f t="shared" si="140"/>
        <v/>
      </c>
      <c r="AX370" t="str">
        <f t="shared" si="141"/>
        <v/>
      </c>
      <c r="AY370" t="str">
        <f t="shared" si="142"/>
        <v/>
      </c>
      <c r="AZ370" s="40"/>
      <c r="BL370" s="47" t="str">
        <f t="shared" si="143"/>
        <v/>
      </c>
      <c r="BM370" s="47" t="str">
        <f t="shared" si="144"/>
        <v/>
      </c>
      <c r="BN370" s="47" t="str">
        <f t="shared" si="145"/>
        <v/>
      </c>
      <c r="BO370" s="47" t="str">
        <f t="shared" si="146"/>
        <v/>
      </c>
      <c r="BP370" s="47" t="str">
        <f t="shared" si="147"/>
        <v/>
      </c>
      <c r="BQ370" s="48" t="str">
        <f t="shared" si="148"/>
        <v/>
      </c>
      <c r="BR370" s="48" t="str">
        <f t="shared" si="149"/>
        <v/>
      </c>
      <c r="BS370" s="48" t="str">
        <f t="shared" si="150"/>
        <v/>
      </c>
      <c r="BT370" s="47" t="str">
        <f t="shared" si="151"/>
        <v/>
      </c>
      <c r="CA370" s="47" t="str">
        <f t="shared" si="152"/>
        <v/>
      </c>
      <c r="CB370" s="47" t="str">
        <f t="shared" si="153"/>
        <v/>
      </c>
      <c r="CC370" s="47" t="str">
        <f t="shared" si="154"/>
        <v/>
      </c>
      <c r="CD370" s="47" t="str">
        <f t="shared" si="155"/>
        <v/>
      </c>
      <c r="CE370" s="47" t="str">
        <f>IF(AH370="","",IF(OR(AI370&lt;&gt;'Seasonal Tercile Tally'!$B$3,AM370&lt;&gt;'Seasonal Tercile Tally'!$B$4),"Other site/ season",IF(DT370=0,"Excluded: duplicate (later row)",IF(N370&lt;&gt;1,"Excluded: not sighted",IF(AC370&lt;&gt;1,"Excluded: not confirmed",IF(AD370&lt;&gt;1,"Excluded: not approved",IF(AP370="Contested","Excluded: contested",IF(OR(U370="",U370=0),"Excluded: no tercile",IF(CB370="","Counted (simple tally only — no weight)","Counted")))))))))</f>
        <v/>
      </c>
      <c r="CF370" s="49" t="str">
        <f>IF(AH370="","",IFERROR(INDEX('Prior Multipliers'!$C$6:$C$70,MATCH(LEFT(AH370,10),'Prior Multipliers'!$A$6:$A$70,0)),IFERROR(INDEX('Prior Multipliers'!$C$6:$C$70,MATCH(LEFT(AH370,6),'Prior Multipliers'!$A$6:$A$70,0)),IFERROR(INDEX('Prior Multipliers'!$C$6:$C$70,MATCH(LEFT(AH370,2),'Prior Multipliers'!$A$6:$A$70,0)),1))))</f>
        <v/>
      </c>
      <c r="CG370" s="49" t="str">
        <f>IF(CB370="","",IF(AND('Seasonal Tercile Tally'!$B$5=1,BT370="Rating-based"),CB370*CF370,CB370))</f>
        <v/>
      </c>
      <c r="CH370" s="47">
        <f t="shared" si="156"/>
        <v>0</v>
      </c>
      <c r="CI370" s="45"/>
      <c r="CJ370" s="42" t="str">
        <f t="shared" si="157"/>
        <v/>
      </c>
      <c r="CM370" s="42" t="str">
        <f t="shared" si="158"/>
        <v/>
      </c>
      <c r="CP370" s="46" t="str">
        <f t="shared" si="159"/>
        <v/>
      </c>
      <c r="CS370" s="46" t="str">
        <f t="shared" si="160"/>
        <v/>
      </c>
      <c r="CT370" s="42" t="str">
        <f t="shared" si="161"/>
        <v/>
      </c>
      <c r="CU370" s="42" t="str">
        <f t="shared" si="162"/>
        <v/>
      </c>
      <c r="CV370" s="42" t="str">
        <f t="shared" si="163"/>
        <v/>
      </c>
      <c r="DB370" s="45"/>
      <c r="DH370" s="42" t="str">
        <f t="shared" si="164"/>
        <v/>
      </c>
      <c r="DI370" s="43" t="str">
        <f t="shared" si="165"/>
        <v/>
      </c>
      <c r="DK370" s="46" t="str">
        <f t="shared" si="166"/>
        <v/>
      </c>
      <c r="DQ370" s="42" t="str">
        <f>IF(AH370="","",IFERROR(ROUND(100*('Weighting Options'!$D$7*IF(ISNUMBER(CA370),CA370/3,0)+'Weighting Options'!$D$8*MIN(N(BL370),3)/3+'Weighting Options'!$D$9*IF(AP370="Community/Plenary-endorsed",1,IF(AP370="FGD-validated only",0.75,IF(AP370="Sub-community-specific",0.5,IF(AP370="Provisional/emerging",0.25,0))))+'Weighting Options'!$D$10*IF(ISNUMBER(K370),K370/3,0)+'Weighting Options'!$D$11*IF(CC370="",0.5,IF(CC370="OK",1,0.25))+'Weighting Options'!$D$12*IF(DK370="",0.5,IF(DK370="Agrees",1,IF(DK370="Opposite",0,0.5)))+'Weighting Options'!$D$13*MIN(N(BG370),3)/3+'Weighting Options'!$D$14*IF(AE370=1,1,0))/SUM('Weighting Options'!$D$7:$D$14),0),""))</f>
        <v/>
      </c>
      <c r="DR370" s="44" t="str">
        <f>IF(AH370="","",IFERROR(INDEX('Weighting Options'!$D$20:$D$27,VALUE(LEFT(TRIM(BU370),1))),1))</f>
        <v/>
      </c>
      <c r="DS370" s="44" t="str">
        <f t="shared" si="167"/>
        <v/>
      </c>
      <c r="DT370" s="42" t="str">
        <f>IF(AH370="","",IF(COUNTIFS($AH$12:AH370,AH370,$AI$12:AI370,AI370,$AM$12:AM370,AM370)=1,1,0))</f>
        <v/>
      </c>
    </row>
    <row r="371" spans="16:124" ht="12.75" customHeight="1" x14ac:dyDescent="0.35">
      <c r="P371" s="41"/>
      <c r="Q371" s="41"/>
      <c r="R371" s="41"/>
      <c r="S371" s="41"/>
      <c r="AH371" s="40"/>
      <c r="AP371" s="40"/>
      <c r="AS371" s="41"/>
      <c r="AT371" s="41"/>
      <c r="AW371" t="str">
        <f t="shared" si="140"/>
        <v/>
      </c>
      <c r="AX371" t="str">
        <f t="shared" si="141"/>
        <v/>
      </c>
      <c r="AY371" t="str">
        <f t="shared" si="142"/>
        <v/>
      </c>
      <c r="AZ371" s="40"/>
      <c r="BL371" s="47" t="str">
        <f t="shared" si="143"/>
        <v/>
      </c>
      <c r="BM371" s="47" t="str">
        <f t="shared" si="144"/>
        <v/>
      </c>
      <c r="BN371" s="47" t="str">
        <f t="shared" si="145"/>
        <v/>
      </c>
      <c r="BO371" s="47" t="str">
        <f t="shared" si="146"/>
        <v/>
      </c>
      <c r="BP371" s="47" t="str">
        <f t="shared" si="147"/>
        <v/>
      </c>
      <c r="BQ371" s="48" t="str">
        <f t="shared" si="148"/>
        <v/>
      </c>
      <c r="BR371" s="48" t="str">
        <f t="shared" si="149"/>
        <v/>
      </c>
      <c r="BS371" s="48" t="str">
        <f t="shared" si="150"/>
        <v/>
      </c>
      <c r="BT371" s="47" t="str">
        <f t="shared" si="151"/>
        <v/>
      </c>
      <c r="CA371" s="47" t="str">
        <f t="shared" si="152"/>
        <v/>
      </c>
      <c r="CB371" s="47" t="str">
        <f t="shared" si="153"/>
        <v/>
      </c>
      <c r="CC371" s="47" t="str">
        <f t="shared" si="154"/>
        <v/>
      </c>
      <c r="CD371" s="47" t="str">
        <f t="shared" si="155"/>
        <v/>
      </c>
      <c r="CE371" s="47" t="str">
        <f>IF(AH371="","",IF(OR(AI371&lt;&gt;'Seasonal Tercile Tally'!$B$3,AM371&lt;&gt;'Seasonal Tercile Tally'!$B$4),"Other site/ season",IF(DT371=0,"Excluded: duplicate (later row)",IF(N371&lt;&gt;1,"Excluded: not sighted",IF(AC371&lt;&gt;1,"Excluded: not confirmed",IF(AD371&lt;&gt;1,"Excluded: not approved",IF(AP371="Contested","Excluded: contested",IF(OR(U371="",U371=0),"Excluded: no tercile",IF(CB371="","Counted (simple tally only — no weight)","Counted")))))))))</f>
        <v/>
      </c>
      <c r="CF371" s="49" t="str">
        <f>IF(AH371="","",IFERROR(INDEX('Prior Multipliers'!$C$6:$C$70,MATCH(LEFT(AH371,10),'Prior Multipliers'!$A$6:$A$70,0)),IFERROR(INDEX('Prior Multipliers'!$C$6:$C$70,MATCH(LEFT(AH371,6),'Prior Multipliers'!$A$6:$A$70,0)),IFERROR(INDEX('Prior Multipliers'!$C$6:$C$70,MATCH(LEFT(AH371,2),'Prior Multipliers'!$A$6:$A$70,0)),1))))</f>
        <v/>
      </c>
      <c r="CG371" s="49" t="str">
        <f>IF(CB371="","",IF(AND('Seasonal Tercile Tally'!$B$5=1,BT371="Rating-based"),CB371*CF371,CB371))</f>
        <v/>
      </c>
      <c r="CH371" s="47">
        <f t="shared" si="156"/>
        <v>0</v>
      </c>
      <c r="CI371" s="45"/>
      <c r="CJ371" s="42" t="str">
        <f t="shared" si="157"/>
        <v/>
      </c>
      <c r="CM371" s="42" t="str">
        <f t="shared" si="158"/>
        <v/>
      </c>
      <c r="CP371" s="46" t="str">
        <f t="shared" si="159"/>
        <v/>
      </c>
      <c r="CS371" s="46" t="str">
        <f t="shared" si="160"/>
        <v/>
      </c>
      <c r="CT371" s="42" t="str">
        <f t="shared" si="161"/>
        <v/>
      </c>
      <c r="CU371" s="42" t="str">
        <f t="shared" si="162"/>
        <v/>
      </c>
      <c r="CV371" s="42" t="str">
        <f t="shared" si="163"/>
        <v/>
      </c>
      <c r="DB371" s="45"/>
      <c r="DH371" s="42" t="str">
        <f t="shared" si="164"/>
        <v/>
      </c>
      <c r="DI371" s="43" t="str">
        <f t="shared" si="165"/>
        <v/>
      </c>
      <c r="DK371" s="46" t="str">
        <f t="shared" si="166"/>
        <v/>
      </c>
      <c r="DQ371" s="42" t="str">
        <f>IF(AH371="","",IFERROR(ROUND(100*('Weighting Options'!$D$7*IF(ISNUMBER(CA371),CA371/3,0)+'Weighting Options'!$D$8*MIN(N(BL371),3)/3+'Weighting Options'!$D$9*IF(AP371="Community/Plenary-endorsed",1,IF(AP371="FGD-validated only",0.75,IF(AP371="Sub-community-specific",0.5,IF(AP371="Provisional/emerging",0.25,0))))+'Weighting Options'!$D$10*IF(ISNUMBER(K371),K371/3,0)+'Weighting Options'!$D$11*IF(CC371="",0.5,IF(CC371="OK",1,0.25))+'Weighting Options'!$D$12*IF(DK371="",0.5,IF(DK371="Agrees",1,IF(DK371="Opposite",0,0.5)))+'Weighting Options'!$D$13*MIN(N(BG371),3)/3+'Weighting Options'!$D$14*IF(AE371=1,1,0))/SUM('Weighting Options'!$D$7:$D$14),0),""))</f>
        <v/>
      </c>
      <c r="DR371" s="44" t="str">
        <f>IF(AH371="","",IFERROR(INDEX('Weighting Options'!$D$20:$D$27,VALUE(LEFT(TRIM(BU371),1))),1))</f>
        <v/>
      </c>
      <c r="DS371" s="44" t="str">
        <f t="shared" si="167"/>
        <v/>
      </c>
      <c r="DT371" s="42" t="str">
        <f>IF(AH371="","",IF(COUNTIFS($AH$12:AH371,AH371,$AI$12:AI371,AI371,$AM$12:AM371,AM371)=1,1,0))</f>
        <v/>
      </c>
    </row>
    <row r="372" spans="16:124" ht="12.75" customHeight="1" x14ac:dyDescent="0.35">
      <c r="P372" s="41"/>
      <c r="Q372" s="41"/>
      <c r="R372" s="41"/>
      <c r="S372" s="41"/>
      <c r="AH372" s="40"/>
      <c r="AP372" s="40"/>
      <c r="AS372" s="41"/>
      <c r="AT372" s="41"/>
      <c r="AW372" t="str">
        <f t="shared" si="140"/>
        <v/>
      </c>
      <c r="AX372" t="str">
        <f t="shared" si="141"/>
        <v/>
      </c>
      <c r="AY372" t="str">
        <f t="shared" si="142"/>
        <v/>
      </c>
      <c r="AZ372" s="40"/>
      <c r="BL372" s="47" t="str">
        <f t="shared" si="143"/>
        <v/>
      </c>
      <c r="BM372" s="47" t="str">
        <f t="shared" si="144"/>
        <v/>
      </c>
      <c r="BN372" s="47" t="str">
        <f t="shared" si="145"/>
        <v/>
      </c>
      <c r="BO372" s="47" t="str">
        <f t="shared" si="146"/>
        <v/>
      </c>
      <c r="BP372" s="47" t="str">
        <f t="shared" si="147"/>
        <v/>
      </c>
      <c r="BQ372" s="48" t="str">
        <f t="shared" si="148"/>
        <v/>
      </c>
      <c r="BR372" s="48" t="str">
        <f t="shared" si="149"/>
        <v/>
      </c>
      <c r="BS372" s="48" t="str">
        <f t="shared" si="150"/>
        <v/>
      </c>
      <c r="BT372" s="47" t="str">
        <f t="shared" si="151"/>
        <v/>
      </c>
      <c r="CA372" s="47" t="str">
        <f t="shared" si="152"/>
        <v/>
      </c>
      <c r="CB372" s="47" t="str">
        <f t="shared" si="153"/>
        <v/>
      </c>
      <c r="CC372" s="47" t="str">
        <f t="shared" si="154"/>
        <v/>
      </c>
      <c r="CD372" s="47" t="str">
        <f t="shared" si="155"/>
        <v/>
      </c>
      <c r="CE372" s="47" t="str">
        <f>IF(AH372="","",IF(OR(AI372&lt;&gt;'Seasonal Tercile Tally'!$B$3,AM372&lt;&gt;'Seasonal Tercile Tally'!$B$4),"Other site/ season",IF(DT372=0,"Excluded: duplicate (later row)",IF(N372&lt;&gt;1,"Excluded: not sighted",IF(AC372&lt;&gt;1,"Excluded: not confirmed",IF(AD372&lt;&gt;1,"Excluded: not approved",IF(AP372="Contested","Excluded: contested",IF(OR(U372="",U372=0),"Excluded: no tercile",IF(CB372="","Counted (simple tally only — no weight)","Counted")))))))))</f>
        <v/>
      </c>
      <c r="CF372" s="49" t="str">
        <f>IF(AH372="","",IFERROR(INDEX('Prior Multipliers'!$C$6:$C$70,MATCH(LEFT(AH372,10),'Prior Multipliers'!$A$6:$A$70,0)),IFERROR(INDEX('Prior Multipliers'!$C$6:$C$70,MATCH(LEFT(AH372,6),'Prior Multipliers'!$A$6:$A$70,0)),IFERROR(INDEX('Prior Multipliers'!$C$6:$C$70,MATCH(LEFT(AH372,2),'Prior Multipliers'!$A$6:$A$70,0)),1))))</f>
        <v/>
      </c>
      <c r="CG372" s="49" t="str">
        <f>IF(CB372="","",IF(AND('Seasonal Tercile Tally'!$B$5=1,BT372="Rating-based"),CB372*CF372,CB372))</f>
        <v/>
      </c>
      <c r="CH372" s="47">
        <f t="shared" si="156"/>
        <v>0</v>
      </c>
      <c r="CI372" s="45"/>
      <c r="CJ372" s="42" t="str">
        <f t="shared" si="157"/>
        <v/>
      </c>
      <c r="CM372" s="42" t="str">
        <f t="shared" si="158"/>
        <v/>
      </c>
      <c r="CP372" s="46" t="str">
        <f t="shared" si="159"/>
        <v/>
      </c>
      <c r="CS372" s="46" t="str">
        <f t="shared" si="160"/>
        <v/>
      </c>
      <c r="CT372" s="42" t="str">
        <f t="shared" si="161"/>
        <v/>
      </c>
      <c r="CU372" s="42" t="str">
        <f t="shared" si="162"/>
        <v/>
      </c>
      <c r="CV372" s="42" t="str">
        <f t="shared" si="163"/>
        <v/>
      </c>
      <c r="DB372" s="45"/>
      <c r="DH372" s="42" t="str">
        <f t="shared" si="164"/>
        <v/>
      </c>
      <c r="DI372" s="43" t="str">
        <f t="shared" si="165"/>
        <v/>
      </c>
      <c r="DK372" s="46" t="str">
        <f t="shared" si="166"/>
        <v/>
      </c>
      <c r="DQ372" s="42" t="str">
        <f>IF(AH372="","",IFERROR(ROUND(100*('Weighting Options'!$D$7*IF(ISNUMBER(CA372),CA372/3,0)+'Weighting Options'!$D$8*MIN(N(BL372),3)/3+'Weighting Options'!$D$9*IF(AP372="Community/Plenary-endorsed",1,IF(AP372="FGD-validated only",0.75,IF(AP372="Sub-community-specific",0.5,IF(AP372="Provisional/emerging",0.25,0))))+'Weighting Options'!$D$10*IF(ISNUMBER(K372),K372/3,0)+'Weighting Options'!$D$11*IF(CC372="",0.5,IF(CC372="OK",1,0.25))+'Weighting Options'!$D$12*IF(DK372="",0.5,IF(DK372="Agrees",1,IF(DK372="Opposite",0,0.5)))+'Weighting Options'!$D$13*MIN(N(BG372),3)/3+'Weighting Options'!$D$14*IF(AE372=1,1,0))/SUM('Weighting Options'!$D$7:$D$14),0),""))</f>
        <v/>
      </c>
      <c r="DR372" s="44" t="str">
        <f>IF(AH372="","",IFERROR(INDEX('Weighting Options'!$D$20:$D$27,VALUE(LEFT(TRIM(BU372),1))),1))</f>
        <v/>
      </c>
      <c r="DS372" s="44" t="str">
        <f t="shared" si="167"/>
        <v/>
      </c>
      <c r="DT372" s="42" t="str">
        <f>IF(AH372="","",IF(COUNTIFS($AH$12:AH372,AH372,$AI$12:AI372,AI372,$AM$12:AM372,AM372)=1,1,0))</f>
        <v/>
      </c>
    </row>
    <row r="373" spans="16:124" ht="12.75" customHeight="1" x14ac:dyDescent="0.35">
      <c r="P373" s="41"/>
      <c r="Q373" s="41"/>
      <c r="R373" s="41"/>
      <c r="S373" s="41"/>
      <c r="AH373" s="40"/>
      <c r="AP373" s="40"/>
      <c r="AS373" s="41"/>
      <c r="AT373" s="41"/>
      <c r="AW373" t="str">
        <f t="shared" si="140"/>
        <v/>
      </c>
      <c r="AX373" t="str">
        <f t="shared" si="141"/>
        <v/>
      </c>
      <c r="AY373" t="str">
        <f t="shared" si="142"/>
        <v/>
      </c>
      <c r="AZ373" s="40"/>
      <c r="BL373" s="47" t="str">
        <f t="shared" si="143"/>
        <v/>
      </c>
      <c r="BM373" s="47" t="str">
        <f t="shared" si="144"/>
        <v/>
      </c>
      <c r="BN373" s="47" t="str">
        <f t="shared" si="145"/>
        <v/>
      </c>
      <c r="BO373" s="47" t="str">
        <f t="shared" si="146"/>
        <v/>
      </c>
      <c r="BP373" s="47" t="str">
        <f t="shared" si="147"/>
        <v/>
      </c>
      <c r="BQ373" s="48" t="str">
        <f t="shared" si="148"/>
        <v/>
      </c>
      <c r="BR373" s="48" t="str">
        <f t="shared" si="149"/>
        <v/>
      </c>
      <c r="BS373" s="48" t="str">
        <f t="shared" si="150"/>
        <v/>
      </c>
      <c r="BT373" s="47" t="str">
        <f t="shared" si="151"/>
        <v/>
      </c>
      <c r="CA373" s="47" t="str">
        <f t="shared" si="152"/>
        <v/>
      </c>
      <c r="CB373" s="47" t="str">
        <f t="shared" si="153"/>
        <v/>
      </c>
      <c r="CC373" s="47" t="str">
        <f t="shared" si="154"/>
        <v/>
      </c>
      <c r="CD373" s="47" t="str">
        <f t="shared" si="155"/>
        <v/>
      </c>
      <c r="CE373" s="47" t="str">
        <f>IF(AH373="","",IF(OR(AI373&lt;&gt;'Seasonal Tercile Tally'!$B$3,AM373&lt;&gt;'Seasonal Tercile Tally'!$B$4),"Other site/ season",IF(DT373=0,"Excluded: duplicate (later row)",IF(N373&lt;&gt;1,"Excluded: not sighted",IF(AC373&lt;&gt;1,"Excluded: not confirmed",IF(AD373&lt;&gt;1,"Excluded: not approved",IF(AP373="Contested","Excluded: contested",IF(OR(U373="",U373=0),"Excluded: no tercile",IF(CB373="","Counted (simple tally only — no weight)","Counted")))))))))</f>
        <v/>
      </c>
      <c r="CF373" s="49" t="str">
        <f>IF(AH373="","",IFERROR(INDEX('Prior Multipliers'!$C$6:$C$70,MATCH(LEFT(AH373,10),'Prior Multipliers'!$A$6:$A$70,0)),IFERROR(INDEX('Prior Multipliers'!$C$6:$C$70,MATCH(LEFT(AH373,6),'Prior Multipliers'!$A$6:$A$70,0)),IFERROR(INDEX('Prior Multipliers'!$C$6:$C$70,MATCH(LEFT(AH373,2),'Prior Multipliers'!$A$6:$A$70,0)),1))))</f>
        <v/>
      </c>
      <c r="CG373" s="49" t="str">
        <f>IF(CB373="","",IF(AND('Seasonal Tercile Tally'!$B$5=1,BT373="Rating-based"),CB373*CF373,CB373))</f>
        <v/>
      </c>
      <c r="CH373" s="47">
        <f t="shared" si="156"/>
        <v>0</v>
      </c>
      <c r="CI373" s="45"/>
      <c r="CJ373" s="42" t="str">
        <f t="shared" si="157"/>
        <v/>
      </c>
      <c r="CM373" s="42" t="str">
        <f t="shared" si="158"/>
        <v/>
      </c>
      <c r="CP373" s="46" t="str">
        <f t="shared" si="159"/>
        <v/>
      </c>
      <c r="CS373" s="46" t="str">
        <f t="shared" si="160"/>
        <v/>
      </c>
      <c r="CT373" s="42" t="str">
        <f t="shared" si="161"/>
        <v/>
      </c>
      <c r="CU373" s="42" t="str">
        <f t="shared" si="162"/>
        <v/>
      </c>
      <c r="CV373" s="42" t="str">
        <f t="shared" si="163"/>
        <v/>
      </c>
      <c r="DB373" s="45"/>
      <c r="DH373" s="42" t="str">
        <f t="shared" si="164"/>
        <v/>
      </c>
      <c r="DI373" s="43" t="str">
        <f t="shared" si="165"/>
        <v/>
      </c>
      <c r="DK373" s="46" t="str">
        <f t="shared" si="166"/>
        <v/>
      </c>
      <c r="DQ373" s="42" t="str">
        <f>IF(AH373="","",IFERROR(ROUND(100*('Weighting Options'!$D$7*IF(ISNUMBER(CA373),CA373/3,0)+'Weighting Options'!$D$8*MIN(N(BL373),3)/3+'Weighting Options'!$D$9*IF(AP373="Community/Plenary-endorsed",1,IF(AP373="FGD-validated only",0.75,IF(AP373="Sub-community-specific",0.5,IF(AP373="Provisional/emerging",0.25,0))))+'Weighting Options'!$D$10*IF(ISNUMBER(K373),K373/3,0)+'Weighting Options'!$D$11*IF(CC373="",0.5,IF(CC373="OK",1,0.25))+'Weighting Options'!$D$12*IF(DK373="",0.5,IF(DK373="Agrees",1,IF(DK373="Opposite",0,0.5)))+'Weighting Options'!$D$13*MIN(N(BG373),3)/3+'Weighting Options'!$D$14*IF(AE373=1,1,0))/SUM('Weighting Options'!$D$7:$D$14),0),""))</f>
        <v/>
      </c>
      <c r="DR373" s="44" t="str">
        <f>IF(AH373="","",IFERROR(INDEX('Weighting Options'!$D$20:$D$27,VALUE(LEFT(TRIM(BU373),1))),1))</f>
        <v/>
      </c>
      <c r="DS373" s="44" t="str">
        <f t="shared" si="167"/>
        <v/>
      </c>
      <c r="DT373" s="42" t="str">
        <f>IF(AH373="","",IF(COUNTIFS($AH$12:AH373,AH373,$AI$12:AI373,AI373,$AM$12:AM373,AM373)=1,1,0))</f>
        <v/>
      </c>
    </row>
    <row r="374" spans="16:124" ht="12.75" customHeight="1" x14ac:dyDescent="0.35">
      <c r="P374" s="41"/>
      <c r="Q374" s="41"/>
      <c r="R374" s="41"/>
      <c r="S374" s="41"/>
      <c r="AH374" s="40"/>
      <c r="AP374" s="40"/>
      <c r="AS374" s="41"/>
      <c r="AT374" s="41"/>
      <c r="AW374" t="str">
        <f t="shared" si="140"/>
        <v/>
      </c>
      <c r="AX374" t="str">
        <f t="shared" si="141"/>
        <v/>
      </c>
      <c r="AY374" t="str">
        <f t="shared" si="142"/>
        <v/>
      </c>
      <c r="AZ374" s="40"/>
      <c r="BL374" s="47" t="str">
        <f t="shared" si="143"/>
        <v/>
      </c>
      <c r="BM374" s="47" t="str">
        <f t="shared" si="144"/>
        <v/>
      </c>
      <c r="BN374" s="47" t="str">
        <f t="shared" si="145"/>
        <v/>
      </c>
      <c r="BO374" s="47" t="str">
        <f t="shared" si="146"/>
        <v/>
      </c>
      <c r="BP374" s="47" t="str">
        <f t="shared" si="147"/>
        <v/>
      </c>
      <c r="BQ374" s="48" t="str">
        <f t="shared" si="148"/>
        <v/>
      </c>
      <c r="BR374" s="48" t="str">
        <f t="shared" si="149"/>
        <v/>
      </c>
      <c r="BS374" s="48" t="str">
        <f t="shared" si="150"/>
        <v/>
      </c>
      <c r="BT374" s="47" t="str">
        <f t="shared" si="151"/>
        <v/>
      </c>
      <c r="CA374" s="47" t="str">
        <f t="shared" si="152"/>
        <v/>
      </c>
      <c r="CB374" s="47" t="str">
        <f t="shared" si="153"/>
        <v/>
      </c>
      <c r="CC374" s="47" t="str">
        <f t="shared" si="154"/>
        <v/>
      </c>
      <c r="CD374" s="47" t="str">
        <f t="shared" si="155"/>
        <v/>
      </c>
      <c r="CE374" s="47" t="str">
        <f>IF(AH374="","",IF(OR(AI374&lt;&gt;'Seasonal Tercile Tally'!$B$3,AM374&lt;&gt;'Seasonal Tercile Tally'!$B$4),"Other site/ season",IF(DT374=0,"Excluded: duplicate (later row)",IF(N374&lt;&gt;1,"Excluded: not sighted",IF(AC374&lt;&gt;1,"Excluded: not confirmed",IF(AD374&lt;&gt;1,"Excluded: not approved",IF(AP374="Contested","Excluded: contested",IF(OR(U374="",U374=0),"Excluded: no tercile",IF(CB374="","Counted (simple tally only — no weight)","Counted")))))))))</f>
        <v/>
      </c>
      <c r="CF374" s="49" t="str">
        <f>IF(AH374="","",IFERROR(INDEX('Prior Multipliers'!$C$6:$C$70,MATCH(LEFT(AH374,10),'Prior Multipliers'!$A$6:$A$70,0)),IFERROR(INDEX('Prior Multipliers'!$C$6:$C$70,MATCH(LEFT(AH374,6),'Prior Multipliers'!$A$6:$A$70,0)),IFERROR(INDEX('Prior Multipliers'!$C$6:$C$70,MATCH(LEFT(AH374,2),'Prior Multipliers'!$A$6:$A$70,0)),1))))</f>
        <v/>
      </c>
      <c r="CG374" s="49" t="str">
        <f>IF(CB374="","",IF(AND('Seasonal Tercile Tally'!$B$5=1,BT374="Rating-based"),CB374*CF374,CB374))</f>
        <v/>
      </c>
      <c r="CH374" s="47">
        <f t="shared" si="156"/>
        <v>0</v>
      </c>
      <c r="CI374" s="45"/>
      <c r="CJ374" s="42" t="str">
        <f t="shared" si="157"/>
        <v/>
      </c>
      <c r="CM374" s="42" t="str">
        <f t="shared" si="158"/>
        <v/>
      </c>
      <c r="CP374" s="46" t="str">
        <f t="shared" si="159"/>
        <v/>
      </c>
      <c r="CS374" s="46" t="str">
        <f t="shared" si="160"/>
        <v/>
      </c>
      <c r="CT374" s="42" t="str">
        <f t="shared" si="161"/>
        <v/>
      </c>
      <c r="CU374" s="42" t="str">
        <f t="shared" si="162"/>
        <v/>
      </c>
      <c r="CV374" s="42" t="str">
        <f t="shared" si="163"/>
        <v/>
      </c>
      <c r="DB374" s="45"/>
      <c r="DH374" s="42" t="str">
        <f t="shared" si="164"/>
        <v/>
      </c>
      <c r="DI374" s="43" t="str">
        <f t="shared" si="165"/>
        <v/>
      </c>
      <c r="DK374" s="46" t="str">
        <f t="shared" si="166"/>
        <v/>
      </c>
      <c r="DQ374" s="42" t="str">
        <f>IF(AH374="","",IFERROR(ROUND(100*('Weighting Options'!$D$7*IF(ISNUMBER(CA374),CA374/3,0)+'Weighting Options'!$D$8*MIN(N(BL374),3)/3+'Weighting Options'!$D$9*IF(AP374="Community/Plenary-endorsed",1,IF(AP374="FGD-validated only",0.75,IF(AP374="Sub-community-specific",0.5,IF(AP374="Provisional/emerging",0.25,0))))+'Weighting Options'!$D$10*IF(ISNUMBER(K374),K374/3,0)+'Weighting Options'!$D$11*IF(CC374="",0.5,IF(CC374="OK",1,0.25))+'Weighting Options'!$D$12*IF(DK374="",0.5,IF(DK374="Agrees",1,IF(DK374="Opposite",0,0.5)))+'Weighting Options'!$D$13*MIN(N(BG374),3)/3+'Weighting Options'!$D$14*IF(AE374=1,1,0))/SUM('Weighting Options'!$D$7:$D$14),0),""))</f>
        <v/>
      </c>
      <c r="DR374" s="44" t="str">
        <f>IF(AH374="","",IFERROR(INDEX('Weighting Options'!$D$20:$D$27,VALUE(LEFT(TRIM(BU374),1))),1))</f>
        <v/>
      </c>
      <c r="DS374" s="44" t="str">
        <f t="shared" si="167"/>
        <v/>
      </c>
      <c r="DT374" s="42" t="str">
        <f>IF(AH374="","",IF(COUNTIFS($AH$12:AH374,AH374,$AI$12:AI374,AI374,$AM$12:AM374,AM374)=1,1,0))</f>
        <v/>
      </c>
    </row>
    <row r="375" spans="16:124" ht="12.75" customHeight="1" x14ac:dyDescent="0.35">
      <c r="P375" s="41"/>
      <c r="Q375" s="41"/>
      <c r="R375" s="41"/>
      <c r="S375" s="41"/>
      <c r="AH375" s="40"/>
      <c r="AP375" s="40"/>
      <c r="AS375" s="41"/>
      <c r="AT375" s="41"/>
      <c r="AW375" t="str">
        <f t="shared" si="140"/>
        <v/>
      </c>
      <c r="AX375" t="str">
        <f t="shared" si="141"/>
        <v/>
      </c>
      <c r="AY375" t="str">
        <f t="shared" si="142"/>
        <v/>
      </c>
      <c r="AZ375" s="40"/>
      <c r="BL375" s="47" t="str">
        <f t="shared" si="143"/>
        <v/>
      </c>
      <c r="BM375" s="47" t="str">
        <f t="shared" si="144"/>
        <v/>
      </c>
      <c r="BN375" s="47" t="str">
        <f t="shared" si="145"/>
        <v/>
      </c>
      <c r="BO375" s="47" t="str">
        <f t="shared" si="146"/>
        <v/>
      </c>
      <c r="BP375" s="47" t="str">
        <f t="shared" si="147"/>
        <v/>
      </c>
      <c r="BQ375" s="48" t="str">
        <f t="shared" si="148"/>
        <v/>
      </c>
      <c r="BR375" s="48" t="str">
        <f t="shared" si="149"/>
        <v/>
      </c>
      <c r="BS375" s="48" t="str">
        <f t="shared" si="150"/>
        <v/>
      </c>
      <c r="BT375" s="47" t="str">
        <f t="shared" si="151"/>
        <v/>
      </c>
      <c r="CA375" s="47" t="str">
        <f t="shared" si="152"/>
        <v/>
      </c>
      <c r="CB375" s="47" t="str">
        <f t="shared" si="153"/>
        <v/>
      </c>
      <c r="CC375" s="47" t="str">
        <f t="shared" si="154"/>
        <v/>
      </c>
      <c r="CD375" s="47" t="str">
        <f t="shared" si="155"/>
        <v/>
      </c>
      <c r="CE375" s="47" t="str">
        <f>IF(AH375="","",IF(OR(AI375&lt;&gt;'Seasonal Tercile Tally'!$B$3,AM375&lt;&gt;'Seasonal Tercile Tally'!$B$4),"Other site/ season",IF(DT375=0,"Excluded: duplicate (later row)",IF(N375&lt;&gt;1,"Excluded: not sighted",IF(AC375&lt;&gt;1,"Excluded: not confirmed",IF(AD375&lt;&gt;1,"Excluded: not approved",IF(AP375="Contested","Excluded: contested",IF(OR(U375="",U375=0),"Excluded: no tercile",IF(CB375="","Counted (simple tally only — no weight)","Counted")))))))))</f>
        <v/>
      </c>
      <c r="CF375" s="49" t="str">
        <f>IF(AH375="","",IFERROR(INDEX('Prior Multipliers'!$C$6:$C$70,MATCH(LEFT(AH375,10),'Prior Multipliers'!$A$6:$A$70,0)),IFERROR(INDEX('Prior Multipliers'!$C$6:$C$70,MATCH(LEFT(AH375,6),'Prior Multipliers'!$A$6:$A$70,0)),IFERROR(INDEX('Prior Multipliers'!$C$6:$C$70,MATCH(LEFT(AH375,2),'Prior Multipliers'!$A$6:$A$70,0)),1))))</f>
        <v/>
      </c>
      <c r="CG375" s="49" t="str">
        <f>IF(CB375="","",IF(AND('Seasonal Tercile Tally'!$B$5=1,BT375="Rating-based"),CB375*CF375,CB375))</f>
        <v/>
      </c>
      <c r="CH375" s="47">
        <f t="shared" si="156"/>
        <v>0</v>
      </c>
      <c r="CI375" s="45"/>
      <c r="CJ375" s="42" t="str">
        <f t="shared" si="157"/>
        <v/>
      </c>
      <c r="CM375" s="42" t="str">
        <f t="shared" si="158"/>
        <v/>
      </c>
      <c r="CP375" s="46" t="str">
        <f t="shared" si="159"/>
        <v/>
      </c>
      <c r="CS375" s="46" t="str">
        <f t="shared" si="160"/>
        <v/>
      </c>
      <c r="CT375" s="42" t="str">
        <f t="shared" si="161"/>
        <v/>
      </c>
      <c r="CU375" s="42" t="str">
        <f t="shared" si="162"/>
        <v/>
      </c>
      <c r="CV375" s="42" t="str">
        <f t="shared" si="163"/>
        <v/>
      </c>
      <c r="DB375" s="45"/>
      <c r="DH375" s="42" t="str">
        <f t="shared" si="164"/>
        <v/>
      </c>
      <c r="DI375" s="43" t="str">
        <f t="shared" si="165"/>
        <v/>
      </c>
      <c r="DK375" s="46" t="str">
        <f t="shared" si="166"/>
        <v/>
      </c>
      <c r="DQ375" s="42" t="str">
        <f>IF(AH375="","",IFERROR(ROUND(100*('Weighting Options'!$D$7*IF(ISNUMBER(CA375),CA375/3,0)+'Weighting Options'!$D$8*MIN(N(BL375),3)/3+'Weighting Options'!$D$9*IF(AP375="Community/Plenary-endorsed",1,IF(AP375="FGD-validated only",0.75,IF(AP375="Sub-community-specific",0.5,IF(AP375="Provisional/emerging",0.25,0))))+'Weighting Options'!$D$10*IF(ISNUMBER(K375),K375/3,0)+'Weighting Options'!$D$11*IF(CC375="",0.5,IF(CC375="OK",1,0.25))+'Weighting Options'!$D$12*IF(DK375="",0.5,IF(DK375="Agrees",1,IF(DK375="Opposite",0,0.5)))+'Weighting Options'!$D$13*MIN(N(BG375),3)/3+'Weighting Options'!$D$14*IF(AE375=1,1,0))/SUM('Weighting Options'!$D$7:$D$14),0),""))</f>
        <v/>
      </c>
      <c r="DR375" s="44" t="str">
        <f>IF(AH375="","",IFERROR(INDEX('Weighting Options'!$D$20:$D$27,VALUE(LEFT(TRIM(BU375),1))),1))</f>
        <v/>
      </c>
      <c r="DS375" s="44" t="str">
        <f t="shared" si="167"/>
        <v/>
      </c>
      <c r="DT375" s="42" t="str">
        <f>IF(AH375="","",IF(COUNTIFS($AH$12:AH375,AH375,$AI$12:AI375,AI375,$AM$12:AM375,AM375)=1,1,0))</f>
        <v/>
      </c>
    </row>
    <row r="376" spans="16:124" ht="12.75" customHeight="1" x14ac:dyDescent="0.35">
      <c r="P376" s="41"/>
      <c r="Q376" s="41"/>
      <c r="R376" s="41"/>
      <c r="S376" s="41"/>
      <c r="AH376" s="40"/>
      <c r="AP376" s="40"/>
      <c r="AS376" s="41"/>
      <c r="AT376" s="41"/>
      <c r="AW376" t="str">
        <f t="shared" si="140"/>
        <v/>
      </c>
      <c r="AX376" t="str">
        <f t="shared" si="141"/>
        <v/>
      </c>
      <c r="AY376" t="str">
        <f t="shared" si="142"/>
        <v/>
      </c>
      <c r="AZ376" s="40"/>
      <c r="BL376" s="47" t="str">
        <f t="shared" si="143"/>
        <v/>
      </c>
      <c r="BM376" s="47" t="str">
        <f t="shared" si="144"/>
        <v/>
      </c>
      <c r="BN376" s="47" t="str">
        <f t="shared" si="145"/>
        <v/>
      </c>
      <c r="BO376" s="47" t="str">
        <f t="shared" si="146"/>
        <v/>
      </c>
      <c r="BP376" s="47" t="str">
        <f t="shared" si="147"/>
        <v/>
      </c>
      <c r="BQ376" s="48" t="str">
        <f t="shared" si="148"/>
        <v/>
      </c>
      <c r="BR376" s="48" t="str">
        <f t="shared" si="149"/>
        <v/>
      </c>
      <c r="BS376" s="48" t="str">
        <f t="shared" si="150"/>
        <v/>
      </c>
      <c r="BT376" s="47" t="str">
        <f t="shared" si="151"/>
        <v/>
      </c>
      <c r="CA376" s="47" t="str">
        <f t="shared" si="152"/>
        <v/>
      </c>
      <c r="CB376" s="47" t="str">
        <f t="shared" si="153"/>
        <v/>
      </c>
      <c r="CC376" s="47" t="str">
        <f t="shared" si="154"/>
        <v/>
      </c>
      <c r="CD376" s="47" t="str">
        <f t="shared" si="155"/>
        <v/>
      </c>
      <c r="CE376" s="47" t="str">
        <f>IF(AH376="","",IF(OR(AI376&lt;&gt;'Seasonal Tercile Tally'!$B$3,AM376&lt;&gt;'Seasonal Tercile Tally'!$B$4),"Other site/ season",IF(DT376=0,"Excluded: duplicate (later row)",IF(N376&lt;&gt;1,"Excluded: not sighted",IF(AC376&lt;&gt;1,"Excluded: not confirmed",IF(AD376&lt;&gt;1,"Excluded: not approved",IF(AP376="Contested","Excluded: contested",IF(OR(U376="",U376=0),"Excluded: no tercile",IF(CB376="","Counted (simple tally only — no weight)","Counted")))))))))</f>
        <v/>
      </c>
      <c r="CF376" s="49" t="str">
        <f>IF(AH376="","",IFERROR(INDEX('Prior Multipliers'!$C$6:$C$70,MATCH(LEFT(AH376,10),'Prior Multipliers'!$A$6:$A$70,0)),IFERROR(INDEX('Prior Multipliers'!$C$6:$C$70,MATCH(LEFT(AH376,6),'Prior Multipliers'!$A$6:$A$70,0)),IFERROR(INDEX('Prior Multipliers'!$C$6:$C$70,MATCH(LEFT(AH376,2),'Prior Multipliers'!$A$6:$A$70,0)),1))))</f>
        <v/>
      </c>
      <c r="CG376" s="49" t="str">
        <f>IF(CB376="","",IF(AND('Seasonal Tercile Tally'!$B$5=1,BT376="Rating-based"),CB376*CF376,CB376))</f>
        <v/>
      </c>
      <c r="CH376" s="47">
        <f t="shared" si="156"/>
        <v>0</v>
      </c>
      <c r="CI376" s="45"/>
      <c r="CJ376" s="42" t="str">
        <f t="shared" si="157"/>
        <v/>
      </c>
      <c r="CM376" s="42" t="str">
        <f t="shared" si="158"/>
        <v/>
      </c>
      <c r="CP376" s="46" t="str">
        <f t="shared" si="159"/>
        <v/>
      </c>
      <c r="CS376" s="46" t="str">
        <f t="shared" si="160"/>
        <v/>
      </c>
      <c r="CT376" s="42" t="str">
        <f t="shared" si="161"/>
        <v/>
      </c>
      <c r="CU376" s="42" t="str">
        <f t="shared" si="162"/>
        <v/>
      </c>
      <c r="CV376" s="42" t="str">
        <f t="shared" si="163"/>
        <v/>
      </c>
      <c r="DB376" s="45"/>
      <c r="DH376" s="42" t="str">
        <f t="shared" si="164"/>
        <v/>
      </c>
      <c r="DI376" s="43" t="str">
        <f t="shared" si="165"/>
        <v/>
      </c>
      <c r="DK376" s="46" t="str">
        <f t="shared" si="166"/>
        <v/>
      </c>
      <c r="DQ376" s="42" t="str">
        <f>IF(AH376="","",IFERROR(ROUND(100*('Weighting Options'!$D$7*IF(ISNUMBER(CA376),CA376/3,0)+'Weighting Options'!$D$8*MIN(N(BL376),3)/3+'Weighting Options'!$D$9*IF(AP376="Community/Plenary-endorsed",1,IF(AP376="FGD-validated only",0.75,IF(AP376="Sub-community-specific",0.5,IF(AP376="Provisional/emerging",0.25,0))))+'Weighting Options'!$D$10*IF(ISNUMBER(K376),K376/3,0)+'Weighting Options'!$D$11*IF(CC376="",0.5,IF(CC376="OK",1,0.25))+'Weighting Options'!$D$12*IF(DK376="",0.5,IF(DK376="Agrees",1,IF(DK376="Opposite",0,0.5)))+'Weighting Options'!$D$13*MIN(N(BG376),3)/3+'Weighting Options'!$D$14*IF(AE376=1,1,0))/SUM('Weighting Options'!$D$7:$D$14),0),""))</f>
        <v/>
      </c>
      <c r="DR376" s="44" t="str">
        <f>IF(AH376="","",IFERROR(INDEX('Weighting Options'!$D$20:$D$27,VALUE(LEFT(TRIM(BU376),1))),1))</f>
        <v/>
      </c>
      <c r="DS376" s="44" t="str">
        <f t="shared" si="167"/>
        <v/>
      </c>
      <c r="DT376" s="42" t="str">
        <f>IF(AH376="","",IF(COUNTIFS($AH$12:AH376,AH376,$AI$12:AI376,AI376,$AM$12:AM376,AM376)=1,1,0))</f>
        <v/>
      </c>
    </row>
    <row r="377" spans="16:124" ht="12.75" customHeight="1" x14ac:dyDescent="0.35">
      <c r="P377" s="41"/>
      <c r="Q377" s="41"/>
      <c r="R377" s="41"/>
      <c r="S377" s="41"/>
      <c r="AH377" s="40"/>
      <c r="AP377" s="40"/>
      <c r="AS377" s="41"/>
      <c r="AT377" s="41"/>
      <c r="AW377" t="str">
        <f t="shared" si="140"/>
        <v/>
      </c>
      <c r="AX377" t="str">
        <f t="shared" si="141"/>
        <v/>
      </c>
      <c r="AY377" t="str">
        <f t="shared" si="142"/>
        <v/>
      </c>
      <c r="AZ377" s="40"/>
      <c r="BL377" s="47" t="str">
        <f t="shared" si="143"/>
        <v/>
      </c>
      <c r="BM377" s="47" t="str">
        <f t="shared" si="144"/>
        <v/>
      </c>
      <c r="BN377" s="47" t="str">
        <f t="shared" si="145"/>
        <v/>
      </c>
      <c r="BO377" s="47" t="str">
        <f t="shared" si="146"/>
        <v/>
      </c>
      <c r="BP377" s="47" t="str">
        <f t="shared" si="147"/>
        <v/>
      </c>
      <c r="BQ377" s="48" t="str">
        <f t="shared" si="148"/>
        <v/>
      </c>
      <c r="BR377" s="48" t="str">
        <f t="shared" si="149"/>
        <v/>
      </c>
      <c r="BS377" s="48" t="str">
        <f t="shared" si="150"/>
        <v/>
      </c>
      <c r="BT377" s="47" t="str">
        <f t="shared" si="151"/>
        <v/>
      </c>
      <c r="CA377" s="47" t="str">
        <f t="shared" si="152"/>
        <v/>
      </c>
      <c r="CB377" s="47" t="str">
        <f t="shared" si="153"/>
        <v/>
      </c>
      <c r="CC377" s="47" t="str">
        <f t="shared" si="154"/>
        <v/>
      </c>
      <c r="CD377" s="47" t="str">
        <f t="shared" si="155"/>
        <v/>
      </c>
      <c r="CE377" s="47" t="str">
        <f>IF(AH377="","",IF(OR(AI377&lt;&gt;'Seasonal Tercile Tally'!$B$3,AM377&lt;&gt;'Seasonal Tercile Tally'!$B$4),"Other site/ season",IF(DT377=0,"Excluded: duplicate (later row)",IF(N377&lt;&gt;1,"Excluded: not sighted",IF(AC377&lt;&gt;1,"Excluded: not confirmed",IF(AD377&lt;&gt;1,"Excluded: not approved",IF(AP377="Contested","Excluded: contested",IF(OR(U377="",U377=0),"Excluded: no tercile",IF(CB377="","Counted (simple tally only — no weight)","Counted")))))))))</f>
        <v/>
      </c>
      <c r="CF377" s="49" t="str">
        <f>IF(AH377="","",IFERROR(INDEX('Prior Multipliers'!$C$6:$C$70,MATCH(LEFT(AH377,10),'Prior Multipliers'!$A$6:$A$70,0)),IFERROR(INDEX('Prior Multipliers'!$C$6:$C$70,MATCH(LEFT(AH377,6),'Prior Multipliers'!$A$6:$A$70,0)),IFERROR(INDEX('Prior Multipliers'!$C$6:$C$70,MATCH(LEFT(AH377,2),'Prior Multipliers'!$A$6:$A$70,0)),1))))</f>
        <v/>
      </c>
      <c r="CG377" s="49" t="str">
        <f>IF(CB377="","",IF(AND('Seasonal Tercile Tally'!$B$5=1,BT377="Rating-based"),CB377*CF377,CB377))</f>
        <v/>
      </c>
      <c r="CH377" s="47">
        <f t="shared" si="156"/>
        <v>0</v>
      </c>
      <c r="CI377" s="45"/>
      <c r="CJ377" s="42" t="str">
        <f t="shared" si="157"/>
        <v/>
      </c>
      <c r="CM377" s="42" t="str">
        <f t="shared" si="158"/>
        <v/>
      </c>
      <c r="CP377" s="46" t="str">
        <f t="shared" si="159"/>
        <v/>
      </c>
      <c r="CS377" s="46" t="str">
        <f t="shared" si="160"/>
        <v/>
      </c>
      <c r="CT377" s="42" t="str">
        <f t="shared" si="161"/>
        <v/>
      </c>
      <c r="CU377" s="42" t="str">
        <f t="shared" si="162"/>
        <v/>
      </c>
      <c r="CV377" s="42" t="str">
        <f t="shared" si="163"/>
        <v/>
      </c>
      <c r="DB377" s="45"/>
      <c r="DH377" s="42" t="str">
        <f t="shared" si="164"/>
        <v/>
      </c>
      <c r="DI377" s="43" t="str">
        <f t="shared" si="165"/>
        <v/>
      </c>
      <c r="DK377" s="46" t="str">
        <f t="shared" si="166"/>
        <v/>
      </c>
      <c r="DQ377" s="42" t="str">
        <f>IF(AH377="","",IFERROR(ROUND(100*('Weighting Options'!$D$7*IF(ISNUMBER(CA377),CA377/3,0)+'Weighting Options'!$D$8*MIN(N(BL377),3)/3+'Weighting Options'!$D$9*IF(AP377="Community/Plenary-endorsed",1,IF(AP377="FGD-validated only",0.75,IF(AP377="Sub-community-specific",0.5,IF(AP377="Provisional/emerging",0.25,0))))+'Weighting Options'!$D$10*IF(ISNUMBER(K377),K377/3,0)+'Weighting Options'!$D$11*IF(CC377="",0.5,IF(CC377="OK",1,0.25))+'Weighting Options'!$D$12*IF(DK377="",0.5,IF(DK377="Agrees",1,IF(DK377="Opposite",0,0.5)))+'Weighting Options'!$D$13*MIN(N(BG377),3)/3+'Weighting Options'!$D$14*IF(AE377=1,1,0))/SUM('Weighting Options'!$D$7:$D$14),0),""))</f>
        <v/>
      </c>
      <c r="DR377" s="44" t="str">
        <f>IF(AH377="","",IFERROR(INDEX('Weighting Options'!$D$20:$D$27,VALUE(LEFT(TRIM(BU377),1))),1))</f>
        <v/>
      </c>
      <c r="DS377" s="44" t="str">
        <f t="shared" si="167"/>
        <v/>
      </c>
      <c r="DT377" s="42" t="str">
        <f>IF(AH377="","",IF(COUNTIFS($AH$12:AH377,AH377,$AI$12:AI377,AI377,$AM$12:AM377,AM377)=1,1,0))</f>
        <v/>
      </c>
    </row>
    <row r="378" spans="16:124" ht="12.75" customHeight="1" x14ac:dyDescent="0.35">
      <c r="P378" s="41"/>
      <c r="Q378" s="41"/>
      <c r="R378" s="41"/>
      <c r="S378" s="41"/>
      <c r="AH378" s="40"/>
      <c r="AP378" s="40"/>
      <c r="AS378" s="41"/>
      <c r="AT378" s="41"/>
      <c r="AW378" t="str">
        <f t="shared" si="140"/>
        <v/>
      </c>
      <c r="AX378" t="str">
        <f t="shared" si="141"/>
        <v/>
      </c>
      <c r="AY378" t="str">
        <f t="shared" si="142"/>
        <v/>
      </c>
      <c r="AZ378" s="40"/>
      <c r="BL378" s="47" t="str">
        <f t="shared" si="143"/>
        <v/>
      </c>
      <c r="BM378" s="47" t="str">
        <f t="shared" si="144"/>
        <v/>
      </c>
      <c r="BN378" s="47" t="str">
        <f t="shared" si="145"/>
        <v/>
      </c>
      <c r="BO378" s="47" t="str">
        <f t="shared" si="146"/>
        <v/>
      </c>
      <c r="BP378" s="47" t="str">
        <f t="shared" si="147"/>
        <v/>
      </c>
      <c r="BQ378" s="48" t="str">
        <f t="shared" si="148"/>
        <v/>
      </c>
      <c r="BR378" s="48" t="str">
        <f t="shared" si="149"/>
        <v/>
      </c>
      <c r="BS378" s="48" t="str">
        <f t="shared" si="150"/>
        <v/>
      </c>
      <c r="BT378" s="47" t="str">
        <f t="shared" si="151"/>
        <v/>
      </c>
      <c r="CA378" s="47" t="str">
        <f t="shared" si="152"/>
        <v/>
      </c>
      <c r="CB378" s="47" t="str">
        <f t="shared" si="153"/>
        <v/>
      </c>
      <c r="CC378" s="47" t="str">
        <f t="shared" si="154"/>
        <v/>
      </c>
      <c r="CD378" s="47" t="str">
        <f t="shared" si="155"/>
        <v/>
      </c>
      <c r="CE378" s="47" t="str">
        <f>IF(AH378="","",IF(OR(AI378&lt;&gt;'Seasonal Tercile Tally'!$B$3,AM378&lt;&gt;'Seasonal Tercile Tally'!$B$4),"Other site/ season",IF(DT378=0,"Excluded: duplicate (later row)",IF(N378&lt;&gt;1,"Excluded: not sighted",IF(AC378&lt;&gt;1,"Excluded: not confirmed",IF(AD378&lt;&gt;1,"Excluded: not approved",IF(AP378="Contested","Excluded: contested",IF(OR(U378="",U378=0),"Excluded: no tercile",IF(CB378="","Counted (simple tally only — no weight)","Counted")))))))))</f>
        <v/>
      </c>
      <c r="CF378" s="49" t="str">
        <f>IF(AH378="","",IFERROR(INDEX('Prior Multipliers'!$C$6:$C$70,MATCH(LEFT(AH378,10),'Prior Multipliers'!$A$6:$A$70,0)),IFERROR(INDEX('Prior Multipliers'!$C$6:$C$70,MATCH(LEFT(AH378,6),'Prior Multipliers'!$A$6:$A$70,0)),IFERROR(INDEX('Prior Multipliers'!$C$6:$C$70,MATCH(LEFT(AH378,2),'Prior Multipliers'!$A$6:$A$70,0)),1))))</f>
        <v/>
      </c>
      <c r="CG378" s="49" t="str">
        <f>IF(CB378="","",IF(AND('Seasonal Tercile Tally'!$B$5=1,BT378="Rating-based"),CB378*CF378,CB378))</f>
        <v/>
      </c>
      <c r="CH378" s="47">
        <f t="shared" si="156"/>
        <v>0</v>
      </c>
      <c r="CI378" s="45"/>
      <c r="CJ378" s="42" t="str">
        <f t="shared" si="157"/>
        <v/>
      </c>
      <c r="CM378" s="42" t="str">
        <f t="shared" si="158"/>
        <v/>
      </c>
      <c r="CP378" s="46" t="str">
        <f t="shared" si="159"/>
        <v/>
      </c>
      <c r="CS378" s="46" t="str">
        <f t="shared" si="160"/>
        <v/>
      </c>
      <c r="CT378" s="42" t="str">
        <f t="shared" si="161"/>
        <v/>
      </c>
      <c r="CU378" s="42" t="str">
        <f t="shared" si="162"/>
        <v/>
      </c>
      <c r="CV378" s="42" t="str">
        <f t="shared" si="163"/>
        <v/>
      </c>
      <c r="DB378" s="45"/>
      <c r="DH378" s="42" t="str">
        <f t="shared" si="164"/>
        <v/>
      </c>
      <c r="DI378" s="43" t="str">
        <f t="shared" si="165"/>
        <v/>
      </c>
      <c r="DK378" s="46" t="str">
        <f t="shared" si="166"/>
        <v/>
      </c>
      <c r="DQ378" s="42" t="str">
        <f>IF(AH378="","",IFERROR(ROUND(100*('Weighting Options'!$D$7*IF(ISNUMBER(CA378),CA378/3,0)+'Weighting Options'!$D$8*MIN(N(BL378),3)/3+'Weighting Options'!$D$9*IF(AP378="Community/Plenary-endorsed",1,IF(AP378="FGD-validated only",0.75,IF(AP378="Sub-community-specific",0.5,IF(AP378="Provisional/emerging",0.25,0))))+'Weighting Options'!$D$10*IF(ISNUMBER(K378),K378/3,0)+'Weighting Options'!$D$11*IF(CC378="",0.5,IF(CC378="OK",1,0.25))+'Weighting Options'!$D$12*IF(DK378="",0.5,IF(DK378="Agrees",1,IF(DK378="Opposite",0,0.5)))+'Weighting Options'!$D$13*MIN(N(BG378),3)/3+'Weighting Options'!$D$14*IF(AE378=1,1,0))/SUM('Weighting Options'!$D$7:$D$14),0),""))</f>
        <v/>
      </c>
      <c r="DR378" s="44" t="str">
        <f>IF(AH378="","",IFERROR(INDEX('Weighting Options'!$D$20:$D$27,VALUE(LEFT(TRIM(BU378),1))),1))</f>
        <v/>
      </c>
      <c r="DS378" s="44" t="str">
        <f t="shared" si="167"/>
        <v/>
      </c>
      <c r="DT378" s="42" t="str">
        <f>IF(AH378="","",IF(COUNTIFS($AH$12:AH378,AH378,$AI$12:AI378,AI378,$AM$12:AM378,AM378)=1,1,0))</f>
        <v/>
      </c>
    </row>
    <row r="379" spans="16:124" ht="12.75" customHeight="1" x14ac:dyDescent="0.35">
      <c r="P379" s="41"/>
      <c r="Q379" s="41"/>
      <c r="R379" s="41"/>
      <c r="S379" s="41"/>
      <c r="AH379" s="40"/>
      <c r="AP379" s="40"/>
      <c r="AS379" s="41"/>
      <c r="AT379" s="41"/>
      <c r="AW379" t="str">
        <f t="shared" si="140"/>
        <v/>
      </c>
      <c r="AX379" t="str">
        <f t="shared" si="141"/>
        <v/>
      </c>
      <c r="AY379" t="str">
        <f t="shared" si="142"/>
        <v/>
      </c>
      <c r="AZ379" s="40"/>
      <c r="BL379" s="47" t="str">
        <f t="shared" si="143"/>
        <v/>
      </c>
      <c r="BM379" s="47" t="str">
        <f t="shared" si="144"/>
        <v/>
      </c>
      <c r="BN379" s="47" t="str">
        <f t="shared" si="145"/>
        <v/>
      </c>
      <c r="BO379" s="47" t="str">
        <f t="shared" si="146"/>
        <v/>
      </c>
      <c r="BP379" s="47" t="str">
        <f t="shared" si="147"/>
        <v/>
      </c>
      <c r="BQ379" s="48" t="str">
        <f t="shared" si="148"/>
        <v/>
      </c>
      <c r="BR379" s="48" t="str">
        <f t="shared" si="149"/>
        <v/>
      </c>
      <c r="BS379" s="48" t="str">
        <f t="shared" si="150"/>
        <v/>
      </c>
      <c r="BT379" s="47" t="str">
        <f t="shared" si="151"/>
        <v/>
      </c>
      <c r="CA379" s="47" t="str">
        <f t="shared" si="152"/>
        <v/>
      </c>
      <c r="CB379" s="47" t="str">
        <f t="shared" si="153"/>
        <v/>
      </c>
      <c r="CC379" s="47" t="str">
        <f t="shared" si="154"/>
        <v/>
      </c>
      <c r="CD379" s="47" t="str">
        <f t="shared" si="155"/>
        <v/>
      </c>
      <c r="CE379" s="47" t="str">
        <f>IF(AH379="","",IF(OR(AI379&lt;&gt;'Seasonal Tercile Tally'!$B$3,AM379&lt;&gt;'Seasonal Tercile Tally'!$B$4),"Other site/ season",IF(DT379=0,"Excluded: duplicate (later row)",IF(N379&lt;&gt;1,"Excluded: not sighted",IF(AC379&lt;&gt;1,"Excluded: not confirmed",IF(AD379&lt;&gt;1,"Excluded: not approved",IF(AP379="Contested","Excluded: contested",IF(OR(U379="",U379=0),"Excluded: no tercile",IF(CB379="","Counted (simple tally only — no weight)","Counted")))))))))</f>
        <v/>
      </c>
      <c r="CF379" s="49" t="str">
        <f>IF(AH379="","",IFERROR(INDEX('Prior Multipliers'!$C$6:$C$70,MATCH(LEFT(AH379,10),'Prior Multipliers'!$A$6:$A$70,0)),IFERROR(INDEX('Prior Multipliers'!$C$6:$C$70,MATCH(LEFT(AH379,6),'Prior Multipliers'!$A$6:$A$70,0)),IFERROR(INDEX('Prior Multipliers'!$C$6:$C$70,MATCH(LEFT(AH379,2),'Prior Multipliers'!$A$6:$A$70,0)),1))))</f>
        <v/>
      </c>
      <c r="CG379" s="49" t="str">
        <f>IF(CB379="","",IF(AND('Seasonal Tercile Tally'!$B$5=1,BT379="Rating-based"),CB379*CF379,CB379))</f>
        <v/>
      </c>
      <c r="CH379" s="47">
        <f t="shared" si="156"/>
        <v>0</v>
      </c>
      <c r="CI379" s="45"/>
      <c r="CJ379" s="42" t="str">
        <f t="shared" si="157"/>
        <v/>
      </c>
      <c r="CM379" s="42" t="str">
        <f t="shared" si="158"/>
        <v/>
      </c>
      <c r="CP379" s="46" t="str">
        <f t="shared" si="159"/>
        <v/>
      </c>
      <c r="CS379" s="46" t="str">
        <f t="shared" si="160"/>
        <v/>
      </c>
      <c r="CT379" s="42" t="str">
        <f t="shared" si="161"/>
        <v/>
      </c>
      <c r="CU379" s="42" t="str">
        <f t="shared" si="162"/>
        <v/>
      </c>
      <c r="CV379" s="42" t="str">
        <f t="shared" si="163"/>
        <v/>
      </c>
      <c r="DB379" s="45"/>
      <c r="DH379" s="42" t="str">
        <f t="shared" si="164"/>
        <v/>
      </c>
      <c r="DI379" s="43" t="str">
        <f t="shared" si="165"/>
        <v/>
      </c>
      <c r="DK379" s="46" t="str">
        <f t="shared" si="166"/>
        <v/>
      </c>
      <c r="DQ379" s="42" t="str">
        <f>IF(AH379="","",IFERROR(ROUND(100*('Weighting Options'!$D$7*IF(ISNUMBER(CA379),CA379/3,0)+'Weighting Options'!$D$8*MIN(N(BL379),3)/3+'Weighting Options'!$D$9*IF(AP379="Community/Plenary-endorsed",1,IF(AP379="FGD-validated only",0.75,IF(AP379="Sub-community-specific",0.5,IF(AP379="Provisional/emerging",0.25,0))))+'Weighting Options'!$D$10*IF(ISNUMBER(K379),K379/3,0)+'Weighting Options'!$D$11*IF(CC379="",0.5,IF(CC379="OK",1,0.25))+'Weighting Options'!$D$12*IF(DK379="",0.5,IF(DK379="Agrees",1,IF(DK379="Opposite",0,0.5)))+'Weighting Options'!$D$13*MIN(N(BG379),3)/3+'Weighting Options'!$D$14*IF(AE379=1,1,0))/SUM('Weighting Options'!$D$7:$D$14),0),""))</f>
        <v/>
      </c>
      <c r="DR379" s="44" t="str">
        <f>IF(AH379="","",IFERROR(INDEX('Weighting Options'!$D$20:$D$27,VALUE(LEFT(TRIM(BU379),1))),1))</f>
        <v/>
      </c>
      <c r="DS379" s="44" t="str">
        <f t="shared" si="167"/>
        <v/>
      </c>
      <c r="DT379" s="42" t="str">
        <f>IF(AH379="","",IF(COUNTIFS($AH$12:AH379,AH379,$AI$12:AI379,AI379,$AM$12:AM379,AM379)=1,1,0))</f>
        <v/>
      </c>
    </row>
    <row r="380" spans="16:124" ht="12.75" customHeight="1" x14ac:dyDescent="0.35">
      <c r="P380" s="41"/>
      <c r="Q380" s="41"/>
      <c r="R380" s="41"/>
      <c r="S380" s="41"/>
      <c r="AH380" s="40"/>
      <c r="AP380" s="40"/>
      <c r="AS380" s="41"/>
      <c r="AT380" s="41"/>
      <c r="AW380" t="str">
        <f t="shared" si="140"/>
        <v/>
      </c>
      <c r="AX380" t="str">
        <f t="shared" si="141"/>
        <v/>
      </c>
      <c r="AY380" t="str">
        <f t="shared" si="142"/>
        <v/>
      </c>
      <c r="AZ380" s="40"/>
      <c r="BL380" s="47" t="str">
        <f t="shared" si="143"/>
        <v/>
      </c>
      <c r="BM380" s="47" t="str">
        <f t="shared" si="144"/>
        <v/>
      </c>
      <c r="BN380" s="47" t="str">
        <f t="shared" si="145"/>
        <v/>
      </c>
      <c r="BO380" s="47" t="str">
        <f t="shared" si="146"/>
        <v/>
      </c>
      <c r="BP380" s="47" t="str">
        <f t="shared" si="147"/>
        <v/>
      </c>
      <c r="BQ380" s="48" t="str">
        <f t="shared" si="148"/>
        <v/>
      </c>
      <c r="BR380" s="48" t="str">
        <f t="shared" si="149"/>
        <v/>
      </c>
      <c r="BS380" s="48" t="str">
        <f t="shared" si="150"/>
        <v/>
      </c>
      <c r="BT380" s="47" t="str">
        <f t="shared" si="151"/>
        <v/>
      </c>
      <c r="CA380" s="47" t="str">
        <f t="shared" si="152"/>
        <v/>
      </c>
      <c r="CB380" s="47" t="str">
        <f t="shared" si="153"/>
        <v/>
      </c>
      <c r="CC380" s="47" t="str">
        <f t="shared" si="154"/>
        <v/>
      </c>
      <c r="CD380" s="47" t="str">
        <f t="shared" si="155"/>
        <v/>
      </c>
      <c r="CE380" s="47" t="str">
        <f>IF(AH380="","",IF(OR(AI380&lt;&gt;'Seasonal Tercile Tally'!$B$3,AM380&lt;&gt;'Seasonal Tercile Tally'!$B$4),"Other site/ season",IF(DT380=0,"Excluded: duplicate (later row)",IF(N380&lt;&gt;1,"Excluded: not sighted",IF(AC380&lt;&gt;1,"Excluded: not confirmed",IF(AD380&lt;&gt;1,"Excluded: not approved",IF(AP380="Contested","Excluded: contested",IF(OR(U380="",U380=0),"Excluded: no tercile",IF(CB380="","Counted (simple tally only — no weight)","Counted")))))))))</f>
        <v/>
      </c>
      <c r="CF380" s="49" t="str">
        <f>IF(AH380="","",IFERROR(INDEX('Prior Multipliers'!$C$6:$C$70,MATCH(LEFT(AH380,10),'Prior Multipliers'!$A$6:$A$70,0)),IFERROR(INDEX('Prior Multipliers'!$C$6:$C$70,MATCH(LEFT(AH380,6),'Prior Multipliers'!$A$6:$A$70,0)),IFERROR(INDEX('Prior Multipliers'!$C$6:$C$70,MATCH(LEFT(AH380,2),'Prior Multipliers'!$A$6:$A$70,0)),1))))</f>
        <v/>
      </c>
      <c r="CG380" s="49" t="str">
        <f>IF(CB380="","",IF(AND('Seasonal Tercile Tally'!$B$5=1,BT380="Rating-based"),CB380*CF380,CB380))</f>
        <v/>
      </c>
      <c r="CH380" s="47">
        <f t="shared" si="156"/>
        <v>0</v>
      </c>
      <c r="CI380" s="45"/>
      <c r="CJ380" s="42" t="str">
        <f t="shared" si="157"/>
        <v/>
      </c>
      <c r="CM380" s="42" t="str">
        <f t="shared" si="158"/>
        <v/>
      </c>
      <c r="CP380" s="46" t="str">
        <f t="shared" si="159"/>
        <v/>
      </c>
      <c r="CS380" s="46" t="str">
        <f t="shared" si="160"/>
        <v/>
      </c>
      <c r="CT380" s="42" t="str">
        <f t="shared" si="161"/>
        <v/>
      </c>
      <c r="CU380" s="42" t="str">
        <f t="shared" si="162"/>
        <v/>
      </c>
      <c r="CV380" s="42" t="str">
        <f t="shared" si="163"/>
        <v/>
      </c>
      <c r="DB380" s="45"/>
      <c r="DH380" s="42" t="str">
        <f t="shared" si="164"/>
        <v/>
      </c>
      <c r="DI380" s="43" t="str">
        <f t="shared" si="165"/>
        <v/>
      </c>
      <c r="DK380" s="46" t="str">
        <f t="shared" si="166"/>
        <v/>
      </c>
      <c r="DQ380" s="42" t="str">
        <f>IF(AH380="","",IFERROR(ROUND(100*('Weighting Options'!$D$7*IF(ISNUMBER(CA380),CA380/3,0)+'Weighting Options'!$D$8*MIN(N(BL380),3)/3+'Weighting Options'!$D$9*IF(AP380="Community/Plenary-endorsed",1,IF(AP380="FGD-validated only",0.75,IF(AP380="Sub-community-specific",0.5,IF(AP380="Provisional/emerging",0.25,0))))+'Weighting Options'!$D$10*IF(ISNUMBER(K380),K380/3,0)+'Weighting Options'!$D$11*IF(CC380="",0.5,IF(CC380="OK",1,0.25))+'Weighting Options'!$D$12*IF(DK380="",0.5,IF(DK380="Agrees",1,IF(DK380="Opposite",0,0.5)))+'Weighting Options'!$D$13*MIN(N(BG380),3)/3+'Weighting Options'!$D$14*IF(AE380=1,1,0))/SUM('Weighting Options'!$D$7:$D$14),0),""))</f>
        <v/>
      </c>
      <c r="DR380" s="44" t="str">
        <f>IF(AH380="","",IFERROR(INDEX('Weighting Options'!$D$20:$D$27,VALUE(LEFT(TRIM(BU380),1))),1))</f>
        <v/>
      </c>
      <c r="DS380" s="44" t="str">
        <f t="shared" si="167"/>
        <v/>
      </c>
      <c r="DT380" s="42" t="str">
        <f>IF(AH380="","",IF(COUNTIFS($AH$12:AH380,AH380,$AI$12:AI380,AI380,$AM$12:AM380,AM380)=1,1,0))</f>
        <v/>
      </c>
    </row>
    <row r="381" spans="16:124" ht="12.75" customHeight="1" x14ac:dyDescent="0.35">
      <c r="P381" s="41"/>
      <c r="Q381" s="41"/>
      <c r="R381" s="41"/>
      <c r="S381" s="41"/>
      <c r="AH381" s="40"/>
      <c r="AP381" s="40"/>
      <c r="AS381" s="41"/>
      <c r="AT381" s="41"/>
      <c r="AW381" t="str">
        <f t="shared" si="140"/>
        <v/>
      </c>
      <c r="AX381" t="str">
        <f t="shared" si="141"/>
        <v/>
      </c>
      <c r="AY381" t="str">
        <f t="shared" si="142"/>
        <v/>
      </c>
      <c r="AZ381" s="40"/>
      <c r="BL381" s="47" t="str">
        <f t="shared" si="143"/>
        <v/>
      </c>
      <c r="BM381" s="47" t="str">
        <f t="shared" si="144"/>
        <v/>
      </c>
      <c r="BN381" s="47" t="str">
        <f t="shared" si="145"/>
        <v/>
      </c>
      <c r="BO381" s="47" t="str">
        <f t="shared" si="146"/>
        <v/>
      </c>
      <c r="BP381" s="47" t="str">
        <f t="shared" si="147"/>
        <v/>
      </c>
      <c r="BQ381" s="48" t="str">
        <f t="shared" si="148"/>
        <v/>
      </c>
      <c r="BR381" s="48" t="str">
        <f t="shared" si="149"/>
        <v/>
      </c>
      <c r="BS381" s="48" t="str">
        <f t="shared" si="150"/>
        <v/>
      </c>
      <c r="BT381" s="47" t="str">
        <f t="shared" si="151"/>
        <v/>
      </c>
      <c r="CA381" s="47" t="str">
        <f t="shared" si="152"/>
        <v/>
      </c>
      <c r="CB381" s="47" t="str">
        <f t="shared" si="153"/>
        <v/>
      </c>
      <c r="CC381" s="47" t="str">
        <f t="shared" si="154"/>
        <v/>
      </c>
      <c r="CD381" s="47" t="str">
        <f t="shared" si="155"/>
        <v/>
      </c>
      <c r="CE381" s="47" t="str">
        <f>IF(AH381="","",IF(OR(AI381&lt;&gt;'Seasonal Tercile Tally'!$B$3,AM381&lt;&gt;'Seasonal Tercile Tally'!$B$4),"Other site/ season",IF(DT381=0,"Excluded: duplicate (later row)",IF(N381&lt;&gt;1,"Excluded: not sighted",IF(AC381&lt;&gt;1,"Excluded: not confirmed",IF(AD381&lt;&gt;1,"Excluded: not approved",IF(AP381="Contested","Excluded: contested",IF(OR(U381="",U381=0),"Excluded: no tercile",IF(CB381="","Counted (simple tally only — no weight)","Counted")))))))))</f>
        <v/>
      </c>
      <c r="CF381" s="49" t="str">
        <f>IF(AH381="","",IFERROR(INDEX('Prior Multipliers'!$C$6:$C$70,MATCH(LEFT(AH381,10),'Prior Multipliers'!$A$6:$A$70,0)),IFERROR(INDEX('Prior Multipliers'!$C$6:$C$70,MATCH(LEFT(AH381,6),'Prior Multipliers'!$A$6:$A$70,0)),IFERROR(INDEX('Prior Multipliers'!$C$6:$C$70,MATCH(LEFT(AH381,2),'Prior Multipliers'!$A$6:$A$70,0)),1))))</f>
        <v/>
      </c>
      <c r="CG381" s="49" t="str">
        <f>IF(CB381="","",IF(AND('Seasonal Tercile Tally'!$B$5=1,BT381="Rating-based"),CB381*CF381,CB381))</f>
        <v/>
      </c>
      <c r="CH381" s="47">
        <f t="shared" si="156"/>
        <v>0</v>
      </c>
      <c r="CI381" s="45"/>
      <c r="CJ381" s="42" t="str">
        <f t="shared" si="157"/>
        <v/>
      </c>
      <c r="CM381" s="42" t="str">
        <f t="shared" si="158"/>
        <v/>
      </c>
      <c r="CP381" s="46" t="str">
        <f t="shared" si="159"/>
        <v/>
      </c>
      <c r="CS381" s="46" t="str">
        <f t="shared" si="160"/>
        <v/>
      </c>
      <c r="CT381" s="42" t="str">
        <f t="shared" si="161"/>
        <v/>
      </c>
      <c r="CU381" s="42" t="str">
        <f t="shared" si="162"/>
        <v/>
      </c>
      <c r="CV381" s="42" t="str">
        <f t="shared" si="163"/>
        <v/>
      </c>
      <c r="DB381" s="45"/>
      <c r="DH381" s="42" t="str">
        <f t="shared" si="164"/>
        <v/>
      </c>
      <c r="DI381" s="43" t="str">
        <f t="shared" si="165"/>
        <v/>
      </c>
      <c r="DK381" s="46" t="str">
        <f t="shared" si="166"/>
        <v/>
      </c>
      <c r="DQ381" s="42" t="str">
        <f>IF(AH381="","",IFERROR(ROUND(100*('Weighting Options'!$D$7*IF(ISNUMBER(CA381),CA381/3,0)+'Weighting Options'!$D$8*MIN(N(BL381),3)/3+'Weighting Options'!$D$9*IF(AP381="Community/Plenary-endorsed",1,IF(AP381="FGD-validated only",0.75,IF(AP381="Sub-community-specific",0.5,IF(AP381="Provisional/emerging",0.25,0))))+'Weighting Options'!$D$10*IF(ISNUMBER(K381),K381/3,0)+'Weighting Options'!$D$11*IF(CC381="",0.5,IF(CC381="OK",1,0.25))+'Weighting Options'!$D$12*IF(DK381="",0.5,IF(DK381="Agrees",1,IF(DK381="Opposite",0,0.5)))+'Weighting Options'!$D$13*MIN(N(BG381),3)/3+'Weighting Options'!$D$14*IF(AE381=1,1,0))/SUM('Weighting Options'!$D$7:$D$14),0),""))</f>
        <v/>
      </c>
      <c r="DR381" s="44" t="str">
        <f>IF(AH381="","",IFERROR(INDEX('Weighting Options'!$D$20:$D$27,VALUE(LEFT(TRIM(BU381),1))),1))</f>
        <v/>
      </c>
      <c r="DS381" s="44" t="str">
        <f t="shared" si="167"/>
        <v/>
      </c>
      <c r="DT381" s="42" t="str">
        <f>IF(AH381="","",IF(COUNTIFS($AH$12:AH381,AH381,$AI$12:AI381,AI381,$AM$12:AM381,AM381)=1,1,0))</f>
        <v/>
      </c>
    </row>
    <row r="382" spans="16:124" ht="12.75" customHeight="1" x14ac:dyDescent="0.35">
      <c r="P382" s="41"/>
      <c r="Q382" s="41"/>
      <c r="R382" s="41"/>
      <c r="S382" s="41"/>
      <c r="AH382" s="40"/>
      <c r="AP382" s="40"/>
      <c r="AS382" s="41"/>
      <c r="AT382" s="41"/>
      <c r="AW382" t="str">
        <f t="shared" si="140"/>
        <v/>
      </c>
      <c r="AX382" t="str">
        <f t="shared" si="141"/>
        <v/>
      </c>
      <c r="AY382" t="str">
        <f t="shared" si="142"/>
        <v/>
      </c>
      <c r="AZ382" s="40"/>
      <c r="BL382" s="47" t="str">
        <f t="shared" si="143"/>
        <v/>
      </c>
      <c r="BM382" s="47" t="str">
        <f t="shared" si="144"/>
        <v/>
      </c>
      <c r="BN382" s="47" t="str">
        <f t="shared" si="145"/>
        <v/>
      </c>
      <c r="BO382" s="47" t="str">
        <f t="shared" si="146"/>
        <v/>
      </c>
      <c r="BP382" s="47" t="str">
        <f t="shared" si="147"/>
        <v/>
      </c>
      <c r="BQ382" s="48" t="str">
        <f t="shared" si="148"/>
        <v/>
      </c>
      <c r="BR382" s="48" t="str">
        <f t="shared" si="149"/>
        <v/>
      </c>
      <c r="BS382" s="48" t="str">
        <f t="shared" si="150"/>
        <v/>
      </c>
      <c r="BT382" s="47" t="str">
        <f t="shared" si="151"/>
        <v/>
      </c>
      <c r="CA382" s="47" t="str">
        <f t="shared" si="152"/>
        <v/>
      </c>
      <c r="CB382" s="47" t="str">
        <f t="shared" si="153"/>
        <v/>
      </c>
      <c r="CC382" s="47" t="str">
        <f t="shared" si="154"/>
        <v/>
      </c>
      <c r="CD382" s="47" t="str">
        <f t="shared" si="155"/>
        <v/>
      </c>
      <c r="CE382" s="47" t="str">
        <f>IF(AH382="","",IF(OR(AI382&lt;&gt;'Seasonal Tercile Tally'!$B$3,AM382&lt;&gt;'Seasonal Tercile Tally'!$B$4),"Other site/ season",IF(DT382=0,"Excluded: duplicate (later row)",IF(N382&lt;&gt;1,"Excluded: not sighted",IF(AC382&lt;&gt;1,"Excluded: not confirmed",IF(AD382&lt;&gt;1,"Excluded: not approved",IF(AP382="Contested","Excluded: contested",IF(OR(U382="",U382=0),"Excluded: no tercile",IF(CB382="","Counted (simple tally only — no weight)","Counted")))))))))</f>
        <v/>
      </c>
      <c r="CF382" s="49" t="str">
        <f>IF(AH382="","",IFERROR(INDEX('Prior Multipliers'!$C$6:$C$70,MATCH(LEFT(AH382,10),'Prior Multipliers'!$A$6:$A$70,0)),IFERROR(INDEX('Prior Multipliers'!$C$6:$C$70,MATCH(LEFT(AH382,6),'Prior Multipliers'!$A$6:$A$70,0)),IFERROR(INDEX('Prior Multipliers'!$C$6:$C$70,MATCH(LEFT(AH382,2),'Prior Multipliers'!$A$6:$A$70,0)),1))))</f>
        <v/>
      </c>
      <c r="CG382" s="49" t="str">
        <f>IF(CB382="","",IF(AND('Seasonal Tercile Tally'!$B$5=1,BT382="Rating-based"),CB382*CF382,CB382))</f>
        <v/>
      </c>
      <c r="CH382" s="47">
        <f t="shared" si="156"/>
        <v>0</v>
      </c>
      <c r="CI382" s="45"/>
      <c r="CJ382" s="42" t="str">
        <f t="shared" si="157"/>
        <v/>
      </c>
      <c r="CM382" s="42" t="str">
        <f t="shared" si="158"/>
        <v/>
      </c>
      <c r="CP382" s="46" t="str">
        <f t="shared" si="159"/>
        <v/>
      </c>
      <c r="CS382" s="46" t="str">
        <f t="shared" si="160"/>
        <v/>
      </c>
      <c r="CT382" s="42" t="str">
        <f t="shared" si="161"/>
        <v/>
      </c>
      <c r="CU382" s="42" t="str">
        <f t="shared" si="162"/>
        <v/>
      </c>
      <c r="CV382" s="42" t="str">
        <f t="shared" si="163"/>
        <v/>
      </c>
      <c r="DB382" s="45"/>
      <c r="DH382" s="42" t="str">
        <f t="shared" si="164"/>
        <v/>
      </c>
      <c r="DI382" s="43" t="str">
        <f t="shared" si="165"/>
        <v/>
      </c>
      <c r="DK382" s="46" t="str">
        <f t="shared" si="166"/>
        <v/>
      </c>
      <c r="DQ382" s="42" t="str">
        <f>IF(AH382="","",IFERROR(ROUND(100*('Weighting Options'!$D$7*IF(ISNUMBER(CA382),CA382/3,0)+'Weighting Options'!$D$8*MIN(N(BL382),3)/3+'Weighting Options'!$D$9*IF(AP382="Community/Plenary-endorsed",1,IF(AP382="FGD-validated only",0.75,IF(AP382="Sub-community-specific",0.5,IF(AP382="Provisional/emerging",0.25,0))))+'Weighting Options'!$D$10*IF(ISNUMBER(K382),K382/3,0)+'Weighting Options'!$D$11*IF(CC382="",0.5,IF(CC382="OK",1,0.25))+'Weighting Options'!$D$12*IF(DK382="",0.5,IF(DK382="Agrees",1,IF(DK382="Opposite",0,0.5)))+'Weighting Options'!$D$13*MIN(N(BG382),3)/3+'Weighting Options'!$D$14*IF(AE382=1,1,0))/SUM('Weighting Options'!$D$7:$D$14),0),""))</f>
        <v/>
      </c>
      <c r="DR382" s="44" t="str">
        <f>IF(AH382="","",IFERROR(INDEX('Weighting Options'!$D$20:$D$27,VALUE(LEFT(TRIM(BU382),1))),1))</f>
        <v/>
      </c>
      <c r="DS382" s="44" t="str">
        <f t="shared" si="167"/>
        <v/>
      </c>
      <c r="DT382" s="42" t="str">
        <f>IF(AH382="","",IF(COUNTIFS($AH$12:AH382,AH382,$AI$12:AI382,AI382,$AM$12:AM382,AM382)=1,1,0))</f>
        <v/>
      </c>
    </row>
    <row r="383" spans="16:124" ht="12.75" customHeight="1" x14ac:dyDescent="0.35">
      <c r="P383" s="41"/>
      <c r="Q383" s="41"/>
      <c r="R383" s="41"/>
      <c r="S383" s="41"/>
      <c r="AH383" s="40"/>
      <c r="AP383" s="40"/>
      <c r="AS383" s="41"/>
      <c r="AT383" s="41"/>
      <c r="AW383" t="str">
        <f t="shared" si="140"/>
        <v/>
      </c>
      <c r="AX383" t="str">
        <f t="shared" si="141"/>
        <v/>
      </c>
      <c r="AY383" t="str">
        <f t="shared" si="142"/>
        <v/>
      </c>
      <c r="AZ383" s="40"/>
      <c r="BL383" s="47" t="str">
        <f t="shared" si="143"/>
        <v/>
      </c>
      <c r="BM383" s="47" t="str">
        <f t="shared" si="144"/>
        <v/>
      </c>
      <c r="BN383" s="47" t="str">
        <f t="shared" si="145"/>
        <v/>
      </c>
      <c r="BO383" s="47" t="str">
        <f t="shared" si="146"/>
        <v/>
      </c>
      <c r="BP383" s="47" t="str">
        <f t="shared" si="147"/>
        <v/>
      </c>
      <c r="BQ383" s="48" t="str">
        <f t="shared" si="148"/>
        <v/>
      </c>
      <c r="BR383" s="48" t="str">
        <f t="shared" si="149"/>
        <v/>
      </c>
      <c r="BS383" s="48" t="str">
        <f t="shared" si="150"/>
        <v/>
      </c>
      <c r="BT383" s="47" t="str">
        <f t="shared" si="151"/>
        <v/>
      </c>
      <c r="CA383" s="47" t="str">
        <f t="shared" si="152"/>
        <v/>
      </c>
      <c r="CB383" s="47" t="str">
        <f t="shared" si="153"/>
        <v/>
      </c>
      <c r="CC383" s="47" t="str">
        <f t="shared" si="154"/>
        <v/>
      </c>
      <c r="CD383" s="47" t="str">
        <f t="shared" si="155"/>
        <v/>
      </c>
      <c r="CE383" s="47" t="str">
        <f>IF(AH383="","",IF(OR(AI383&lt;&gt;'Seasonal Tercile Tally'!$B$3,AM383&lt;&gt;'Seasonal Tercile Tally'!$B$4),"Other site/ season",IF(DT383=0,"Excluded: duplicate (later row)",IF(N383&lt;&gt;1,"Excluded: not sighted",IF(AC383&lt;&gt;1,"Excluded: not confirmed",IF(AD383&lt;&gt;1,"Excluded: not approved",IF(AP383="Contested","Excluded: contested",IF(OR(U383="",U383=0),"Excluded: no tercile",IF(CB383="","Counted (simple tally only — no weight)","Counted")))))))))</f>
        <v/>
      </c>
      <c r="CF383" s="49" t="str">
        <f>IF(AH383="","",IFERROR(INDEX('Prior Multipliers'!$C$6:$C$70,MATCH(LEFT(AH383,10),'Prior Multipliers'!$A$6:$A$70,0)),IFERROR(INDEX('Prior Multipliers'!$C$6:$C$70,MATCH(LEFT(AH383,6),'Prior Multipliers'!$A$6:$A$70,0)),IFERROR(INDEX('Prior Multipliers'!$C$6:$C$70,MATCH(LEFT(AH383,2),'Prior Multipliers'!$A$6:$A$70,0)),1))))</f>
        <v/>
      </c>
      <c r="CG383" s="49" t="str">
        <f>IF(CB383="","",IF(AND('Seasonal Tercile Tally'!$B$5=1,BT383="Rating-based"),CB383*CF383,CB383))</f>
        <v/>
      </c>
      <c r="CH383" s="47">
        <f t="shared" si="156"/>
        <v>0</v>
      </c>
      <c r="CI383" s="45"/>
      <c r="CJ383" s="42" t="str">
        <f t="shared" si="157"/>
        <v/>
      </c>
      <c r="CM383" s="42" t="str">
        <f t="shared" si="158"/>
        <v/>
      </c>
      <c r="CP383" s="46" t="str">
        <f t="shared" si="159"/>
        <v/>
      </c>
      <c r="CS383" s="46" t="str">
        <f t="shared" si="160"/>
        <v/>
      </c>
      <c r="CT383" s="42" t="str">
        <f t="shared" si="161"/>
        <v/>
      </c>
      <c r="CU383" s="42" t="str">
        <f t="shared" si="162"/>
        <v/>
      </c>
      <c r="CV383" s="42" t="str">
        <f t="shared" si="163"/>
        <v/>
      </c>
      <c r="DB383" s="45"/>
      <c r="DH383" s="42" t="str">
        <f t="shared" si="164"/>
        <v/>
      </c>
      <c r="DI383" s="43" t="str">
        <f t="shared" si="165"/>
        <v/>
      </c>
      <c r="DK383" s="46" t="str">
        <f t="shared" si="166"/>
        <v/>
      </c>
      <c r="DQ383" s="42" t="str">
        <f>IF(AH383="","",IFERROR(ROUND(100*('Weighting Options'!$D$7*IF(ISNUMBER(CA383),CA383/3,0)+'Weighting Options'!$D$8*MIN(N(BL383),3)/3+'Weighting Options'!$D$9*IF(AP383="Community/Plenary-endorsed",1,IF(AP383="FGD-validated only",0.75,IF(AP383="Sub-community-specific",0.5,IF(AP383="Provisional/emerging",0.25,0))))+'Weighting Options'!$D$10*IF(ISNUMBER(K383),K383/3,0)+'Weighting Options'!$D$11*IF(CC383="",0.5,IF(CC383="OK",1,0.25))+'Weighting Options'!$D$12*IF(DK383="",0.5,IF(DK383="Agrees",1,IF(DK383="Opposite",0,0.5)))+'Weighting Options'!$D$13*MIN(N(BG383),3)/3+'Weighting Options'!$D$14*IF(AE383=1,1,0))/SUM('Weighting Options'!$D$7:$D$14),0),""))</f>
        <v/>
      </c>
      <c r="DR383" s="44" t="str">
        <f>IF(AH383="","",IFERROR(INDEX('Weighting Options'!$D$20:$D$27,VALUE(LEFT(TRIM(BU383),1))),1))</f>
        <v/>
      </c>
      <c r="DS383" s="44" t="str">
        <f t="shared" si="167"/>
        <v/>
      </c>
      <c r="DT383" s="42" t="str">
        <f>IF(AH383="","",IF(COUNTIFS($AH$12:AH383,AH383,$AI$12:AI383,AI383,$AM$12:AM383,AM383)=1,1,0))</f>
        <v/>
      </c>
    </row>
    <row r="384" spans="16:124" ht="12.75" customHeight="1" x14ac:dyDescent="0.35">
      <c r="P384" s="41"/>
      <c r="Q384" s="41"/>
      <c r="R384" s="41"/>
      <c r="S384" s="41"/>
      <c r="AH384" s="40"/>
      <c r="AP384" s="40"/>
      <c r="AS384" s="41"/>
      <c r="AT384" s="41"/>
      <c r="AW384" t="str">
        <f t="shared" si="140"/>
        <v/>
      </c>
      <c r="AX384" t="str">
        <f t="shared" si="141"/>
        <v/>
      </c>
      <c r="AY384" t="str">
        <f t="shared" si="142"/>
        <v/>
      </c>
      <c r="AZ384" s="40"/>
      <c r="BL384" s="47" t="str">
        <f t="shared" si="143"/>
        <v/>
      </c>
      <c r="BM384" s="47" t="str">
        <f t="shared" si="144"/>
        <v/>
      </c>
      <c r="BN384" s="47" t="str">
        <f t="shared" si="145"/>
        <v/>
      </c>
      <c r="BO384" s="47" t="str">
        <f t="shared" si="146"/>
        <v/>
      </c>
      <c r="BP384" s="47" t="str">
        <f t="shared" si="147"/>
        <v/>
      </c>
      <c r="BQ384" s="48" t="str">
        <f t="shared" si="148"/>
        <v/>
      </c>
      <c r="BR384" s="48" t="str">
        <f t="shared" si="149"/>
        <v/>
      </c>
      <c r="BS384" s="48" t="str">
        <f t="shared" si="150"/>
        <v/>
      </c>
      <c r="BT384" s="47" t="str">
        <f t="shared" si="151"/>
        <v/>
      </c>
      <c r="CA384" s="47" t="str">
        <f t="shared" si="152"/>
        <v/>
      </c>
      <c r="CB384" s="47" t="str">
        <f t="shared" si="153"/>
        <v/>
      </c>
      <c r="CC384" s="47" t="str">
        <f t="shared" si="154"/>
        <v/>
      </c>
      <c r="CD384" s="47" t="str">
        <f t="shared" si="155"/>
        <v/>
      </c>
      <c r="CE384" s="47" t="str">
        <f>IF(AH384="","",IF(OR(AI384&lt;&gt;'Seasonal Tercile Tally'!$B$3,AM384&lt;&gt;'Seasonal Tercile Tally'!$B$4),"Other site/ season",IF(DT384=0,"Excluded: duplicate (later row)",IF(N384&lt;&gt;1,"Excluded: not sighted",IF(AC384&lt;&gt;1,"Excluded: not confirmed",IF(AD384&lt;&gt;1,"Excluded: not approved",IF(AP384="Contested","Excluded: contested",IF(OR(U384="",U384=0),"Excluded: no tercile",IF(CB384="","Counted (simple tally only — no weight)","Counted")))))))))</f>
        <v/>
      </c>
      <c r="CF384" s="49" t="str">
        <f>IF(AH384="","",IFERROR(INDEX('Prior Multipliers'!$C$6:$C$70,MATCH(LEFT(AH384,10),'Prior Multipliers'!$A$6:$A$70,0)),IFERROR(INDEX('Prior Multipliers'!$C$6:$C$70,MATCH(LEFT(AH384,6),'Prior Multipliers'!$A$6:$A$70,0)),IFERROR(INDEX('Prior Multipliers'!$C$6:$C$70,MATCH(LEFT(AH384,2),'Prior Multipliers'!$A$6:$A$70,0)),1))))</f>
        <v/>
      </c>
      <c r="CG384" s="49" t="str">
        <f>IF(CB384="","",IF(AND('Seasonal Tercile Tally'!$B$5=1,BT384="Rating-based"),CB384*CF384,CB384))</f>
        <v/>
      </c>
      <c r="CH384" s="47">
        <f t="shared" si="156"/>
        <v>0</v>
      </c>
      <c r="CI384" s="45"/>
      <c r="CJ384" s="42" t="str">
        <f t="shared" si="157"/>
        <v/>
      </c>
      <c r="CM384" s="42" t="str">
        <f t="shared" si="158"/>
        <v/>
      </c>
      <c r="CP384" s="46" t="str">
        <f t="shared" si="159"/>
        <v/>
      </c>
      <c r="CS384" s="46" t="str">
        <f t="shared" si="160"/>
        <v/>
      </c>
      <c r="CT384" s="42" t="str">
        <f t="shared" si="161"/>
        <v/>
      </c>
      <c r="CU384" s="42" t="str">
        <f t="shared" si="162"/>
        <v/>
      </c>
      <c r="CV384" s="42" t="str">
        <f t="shared" si="163"/>
        <v/>
      </c>
      <c r="DB384" s="45"/>
      <c r="DH384" s="42" t="str">
        <f t="shared" si="164"/>
        <v/>
      </c>
      <c r="DI384" s="43" t="str">
        <f t="shared" si="165"/>
        <v/>
      </c>
      <c r="DK384" s="46" t="str">
        <f t="shared" si="166"/>
        <v/>
      </c>
      <c r="DQ384" s="42" t="str">
        <f>IF(AH384="","",IFERROR(ROUND(100*('Weighting Options'!$D$7*IF(ISNUMBER(CA384),CA384/3,0)+'Weighting Options'!$D$8*MIN(N(BL384),3)/3+'Weighting Options'!$D$9*IF(AP384="Community/Plenary-endorsed",1,IF(AP384="FGD-validated only",0.75,IF(AP384="Sub-community-specific",0.5,IF(AP384="Provisional/emerging",0.25,0))))+'Weighting Options'!$D$10*IF(ISNUMBER(K384),K384/3,0)+'Weighting Options'!$D$11*IF(CC384="",0.5,IF(CC384="OK",1,0.25))+'Weighting Options'!$D$12*IF(DK384="",0.5,IF(DK384="Agrees",1,IF(DK384="Opposite",0,0.5)))+'Weighting Options'!$D$13*MIN(N(BG384),3)/3+'Weighting Options'!$D$14*IF(AE384=1,1,0))/SUM('Weighting Options'!$D$7:$D$14),0),""))</f>
        <v/>
      </c>
      <c r="DR384" s="44" t="str">
        <f>IF(AH384="","",IFERROR(INDEX('Weighting Options'!$D$20:$D$27,VALUE(LEFT(TRIM(BU384),1))),1))</f>
        <v/>
      </c>
      <c r="DS384" s="44" t="str">
        <f t="shared" si="167"/>
        <v/>
      </c>
      <c r="DT384" s="42" t="str">
        <f>IF(AH384="","",IF(COUNTIFS($AH$12:AH384,AH384,$AI$12:AI384,AI384,$AM$12:AM384,AM384)=1,1,0))</f>
        <v/>
      </c>
    </row>
    <row r="385" spans="16:124" ht="12.75" customHeight="1" x14ac:dyDescent="0.35">
      <c r="P385" s="41"/>
      <c r="Q385" s="41"/>
      <c r="R385" s="41"/>
      <c r="S385" s="41"/>
      <c r="AH385" s="40"/>
      <c r="AP385" s="40"/>
      <c r="AS385" s="41"/>
      <c r="AT385" s="41"/>
      <c r="AW385" t="str">
        <f t="shared" si="140"/>
        <v/>
      </c>
      <c r="AX385" t="str">
        <f t="shared" si="141"/>
        <v/>
      </c>
      <c r="AY385" t="str">
        <f t="shared" si="142"/>
        <v/>
      </c>
      <c r="AZ385" s="40"/>
      <c r="BL385" s="47" t="str">
        <f t="shared" si="143"/>
        <v/>
      </c>
      <c r="BM385" s="47" t="str">
        <f t="shared" si="144"/>
        <v/>
      </c>
      <c r="BN385" s="47" t="str">
        <f t="shared" si="145"/>
        <v/>
      </c>
      <c r="BO385" s="47" t="str">
        <f t="shared" si="146"/>
        <v/>
      </c>
      <c r="BP385" s="47" t="str">
        <f t="shared" si="147"/>
        <v/>
      </c>
      <c r="BQ385" s="48" t="str">
        <f t="shared" si="148"/>
        <v/>
      </c>
      <c r="BR385" s="48" t="str">
        <f t="shared" si="149"/>
        <v/>
      </c>
      <c r="BS385" s="48" t="str">
        <f t="shared" si="150"/>
        <v/>
      </c>
      <c r="BT385" s="47" t="str">
        <f t="shared" si="151"/>
        <v/>
      </c>
      <c r="CA385" s="47" t="str">
        <f t="shared" si="152"/>
        <v/>
      </c>
      <c r="CB385" s="47" t="str">
        <f t="shared" si="153"/>
        <v/>
      </c>
      <c r="CC385" s="47" t="str">
        <f t="shared" si="154"/>
        <v/>
      </c>
      <c r="CD385" s="47" t="str">
        <f t="shared" si="155"/>
        <v/>
      </c>
      <c r="CE385" s="47" t="str">
        <f>IF(AH385="","",IF(OR(AI385&lt;&gt;'Seasonal Tercile Tally'!$B$3,AM385&lt;&gt;'Seasonal Tercile Tally'!$B$4),"Other site/ season",IF(DT385=0,"Excluded: duplicate (later row)",IF(N385&lt;&gt;1,"Excluded: not sighted",IF(AC385&lt;&gt;1,"Excluded: not confirmed",IF(AD385&lt;&gt;1,"Excluded: not approved",IF(AP385="Contested","Excluded: contested",IF(OR(U385="",U385=0),"Excluded: no tercile",IF(CB385="","Counted (simple tally only — no weight)","Counted")))))))))</f>
        <v/>
      </c>
      <c r="CF385" s="49" t="str">
        <f>IF(AH385="","",IFERROR(INDEX('Prior Multipliers'!$C$6:$C$70,MATCH(LEFT(AH385,10),'Prior Multipliers'!$A$6:$A$70,0)),IFERROR(INDEX('Prior Multipliers'!$C$6:$C$70,MATCH(LEFT(AH385,6),'Prior Multipliers'!$A$6:$A$70,0)),IFERROR(INDEX('Prior Multipliers'!$C$6:$C$70,MATCH(LEFT(AH385,2),'Prior Multipliers'!$A$6:$A$70,0)),1))))</f>
        <v/>
      </c>
      <c r="CG385" s="49" t="str">
        <f>IF(CB385="","",IF(AND('Seasonal Tercile Tally'!$B$5=1,BT385="Rating-based"),CB385*CF385,CB385))</f>
        <v/>
      </c>
      <c r="CH385" s="47">
        <f t="shared" si="156"/>
        <v>0</v>
      </c>
      <c r="CI385" s="45"/>
      <c r="CJ385" s="42" t="str">
        <f t="shared" si="157"/>
        <v/>
      </c>
      <c r="CM385" s="42" t="str">
        <f t="shared" si="158"/>
        <v/>
      </c>
      <c r="CP385" s="46" t="str">
        <f t="shared" si="159"/>
        <v/>
      </c>
      <c r="CS385" s="46" t="str">
        <f t="shared" si="160"/>
        <v/>
      </c>
      <c r="CT385" s="42" t="str">
        <f t="shared" si="161"/>
        <v/>
      </c>
      <c r="CU385" s="42" t="str">
        <f t="shared" si="162"/>
        <v/>
      </c>
      <c r="CV385" s="42" t="str">
        <f t="shared" si="163"/>
        <v/>
      </c>
      <c r="DB385" s="45"/>
      <c r="DH385" s="42" t="str">
        <f t="shared" si="164"/>
        <v/>
      </c>
      <c r="DI385" s="43" t="str">
        <f t="shared" si="165"/>
        <v/>
      </c>
      <c r="DK385" s="46" t="str">
        <f t="shared" si="166"/>
        <v/>
      </c>
      <c r="DQ385" s="42" t="str">
        <f>IF(AH385="","",IFERROR(ROUND(100*('Weighting Options'!$D$7*IF(ISNUMBER(CA385),CA385/3,0)+'Weighting Options'!$D$8*MIN(N(BL385),3)/3+'Weighting Options'!$D$9*IF(AP385="Community/Plenary-endorsed",1,IF(AP385="FGD-validated only",0.75,IF(AP385="Sub-community-specific",0.5,IF(AP385="Provisional/emerging",0.25,0))))+'Weighting Options'!$D$10*IF(ISNUMBER(K385),K385/3,0)+'Weighting Options'!$D$11*IF(CC385="",0.5,IF(CC385="OK",1,0.25))+'Weighting Options'!$D$12*IF(DK385="",0.5,IF(DK385="Agrees",1,IF(DK385="Opposite",0,0.5)))+'Weighting Options'!$D$13*MIN(N(BG385),3)/3+'Weighting Options'!$D$14*IF(AE385=1,1,0))/SUM('Weighting Options'!$D$7:$D$14),0),""))</f>
        <v/>
      </c>
      <c r="DR385" s="44" t="str">
        <f>IF(AH385="","",IFERROR(INDEX('Weighting Options'!$D$20:$D$27,VALUE(LEFT(TRIM(BU385),1))),1))</f>
        <v/>
      </c>
      <c r="DS385" s="44" t="str">
        <f t="shared" si="167"/>
        <v/>
      </c>
      <c r="DT385" s="42" t="str">
        <f>IF(AH385="","",IF(COUNTIFS($AH$12:AH385,AH385,$AI$12:AI385,AI385,$AM$12:AM385,AM385)=1,1,0))</f>
        <v/>
      </c>
    </row>
    <row r="386" spans="16:124" ht="12.75" customHeight="1" x14ac:dyDescent="0.35">
      <c r="P386" s="41"/>
      <c r="Q386" s="41"/>
      <c r="R386" s="41"/>
      <c r="S386" s="41"/>
      <c r="AH386" s="40"/>
      <c r="AP386" s="40"/>
      <c r="AS386" s="41"/>
      <c r="AT386" s="41"/>
      <c r="AW386" t="str">
        <f t="shared" si="140"/>
        <v/>
      </c>
      <c r="AX386" t="str">
        <f t="shared" si="141"/>
        <v/>
      </c>
      <c r="AY386" t="str">
        <f t="shared" si="142"/>
        <v/>
      </c>
      <c r="AZ386" s="40"/>
      <c r="BL386" s="47" t="str">
        <f t="shared" si="143"/>
        <v/>
      </c>
      <c r="BM386" s="47" t="str">
        <f t="shared" si="144"/>
        <v/>
      </c>
      <c r="BN386" s="47" t="str">
        <f t="shared" si="145"/>
        <v/>
      </c>
      <c r="BO386" s="47" t="str">
        <f t="shared" si="146"/>
        <v/>
      </c>
      <c r="BP386" s="47" t="str">
        <f t="shared" si="147"/>
        <v/>
      </c>
      <c r="BQ386" s="48" t="str">
        <f t="shared" si="148"/>
        <v/>
      </c>
      <c r="BR386" s="48" t="str">
        <f t="shared" si="149"/>
        <v/>
      </c>
      <c r="BS386" s="48" t="str">
        <f t="shared" si="150"/>
        <v/>
      </c>
      <c r="BT386" s="47" t="str">
        <f t="shared" si="151"/>
        <v/>
      </c>
      <c r="CA386" s="47" t="str">
        <f t="shared" si="152"/>
        <v/>
      </c>
      <c r="CB386" s="47" t="str">
        <f t="shared" si="153"/>
        <v/>
      </c>
      <c r="CC386" s="47" t="str">
        <f t="shared" si="154"/>
        <v/>
      </c>
      <c r="CD386" s="47" t="str">
        <f t="shared" si="155"/>
        <v/>
      </c>
      <c r="CE386" s="47" t="str">
        <f>IF(AH386="","",IF(OR(AI386&lt;&gt;'Seasonal Tercile Tally'!$B$3,AM386&lt;&gt;'Seasonal Tercile Tally'!$B$4),"Other site/ season",IF(DT386=0,"Excluded: duplicate (later row)",IF(N386&lt;&gt;1,"Excluded: not sighted",IF(AC386&lt;&gt;1,"Excluded: not confirmed",IF(AD386&lt;&gt;1,"Excluded: not approved",IF(AP386="Contested","Excluded: contested",IF(OR(U386="",U386=0),"Excluded: no tercile",IF(CB386="","Counted (simple tally only — no weight)","Counted")))))))))</f>
        <v/>
      </c>
      <c r="CF386" s="49" t="str">
        <f>IF(AH386="","",IFERROR(INDEX('Prior Multipliers'!$C$6:$C$70,MATCH(LEFT(AH386,10),'Prior Multipliers'!$A$6:$A$70,0)),IFERROR(INDEX('Prior Multipliers'!$C$6:$C$70,MATCH(LEFT(AH386,6),'Prior Multipliers'!$A$6:$A$70,0)),IFERROR(INDEX('Prior Multipliers'!$C$6:$C$70,MATCH(LEFT(AH386,2),'Prior Multipliers'!$A$6:$A$70,0)),1))))</f>
        <v/>
      </c>
      <c r="CG386" s="49" t="str">
        <f>IF(CB386="","",IF(AND('Seasonal Tercile Tally'!$B$5=1,BT386="Rating-based"),CB386*CF386,CB386))</f>
        <v/>
      </c>
      <c r="CH386" s="47">
        <f t="shared" si="156"/>
        <v>0</v>
      </c>
      <c r="CI386" s="45"/>
      <c r="CJ386" s="42" t="str">
        <f t="shared" si="157"/>
        <v/>
      </c>
      <c r="CM386" s="42" t="str">
        <f t="shared" si="158"/>
        <v/>
      </c>
      <c r="CP386" s="46" t="str">
        <f t="shared" si="159"/>
        <v/>
      </c>
      <c r="CS386" s="46" t="str">
        <f t="shared" si="160"/>
        <v/>
      </c>
      <c r="CT386" s="42" t="str">
        <f t="shared" si="161"/>
        <v/>
      </c>
      <c r="CU386" s="42" t="str">
        <f t="shared" si="162"/>
        <v/>
      </c>
      <c r="CV386" s="42" t="str">
        <f t="shared" si="163"/>
        <v/>
      </c>
      <c r="DB386" s="45"/>
      <c r="DH386" s="42" t="str">
        <f t="shared" si="164"/>
        <v/>
      </c>
      <c r="DI386" s="43" t="str">
        <f t="shared" si="165"/>
        <v/>
      </c>
      <c r="DK386" s="46" t="str">
        <f t="shared" si="166"/>
        <v/>
      </c>
      <c r="DQ386" s="42" t="str">
        <f>IF(AH386="","",IFERROR(ROUND(100*('Weighting Options'!$D$7*IF(ISNUMBER(CA386),CA386/3,0)+'Weighting Options'!$D$8*MIN(N(BL386),3)/3+'Weighting Options'!$D$9*IF(AP386="Community/Plenary-endorsed",1,IF(AP386="FGD-validated only",0.75,IF(AP386="Sub-community-specific",0.5,IF(AP386="Provisional/emerging",0.25,0))))+'Weighting Options'!$D$10*IF(ISNUMBER(K386),K386/3,0)+'Weighting Options'!$D$11*IF(CC386="",0.5,IF(CC386="OK",1,0.25))+'Weighting Options'!$D$12*IF(DK386="",0.5,IF(DK386="Agrees",1,IF(DK386="Opposite",0,0.5)))+'Weighting Options'!$D$13*MIN(N(BG386),3)/3+'Weighting Options'!$D$14*IF(AE386=1,1,0))/SUM('Weighting Options'!$D$7:$D$14),0),""))</f>
        <v/>
      </c>
      <c r="DR386" s="44" t="str">
        <f>IF(AH386="","",IFERROR(INDEX('Weighting Options'!$D$20:$D$27,VALUE(LEFT(TRIM(BU386),1))),1))</f>
        <v/>
      </c>
      <c r="DS386" s="44" t="str">
        <f t="shared" si="167"/>
        <v/>
      </c>
      <c r="DT386" s="42" t="str">
        <f>IF(AH386="","",IF(COUNTIFS($AH$12:AH386,AH386,$AI$12:AI386,AI386,$AM$12:AM386,AM386)=1,1,0))</f>
        <v/>
      </c>
    </row>
    <row r="387" spans="16:124" ht="12.75" customHeight="1" x14ac:dyDescent="0.35">
      <c r="P387" s="41"/>
      <c r="Q387" s="41"/>
      <c r="R387" s="41"/>
      <c r="S387" s="41"/>
      <c r="AH387" s="40"/>
      <c r="AP387" s="40"/>
      <c r="AS387" s="41"/>
      <c r="AT387" s="41"/>
      <c r="AW387" t="str">
        <f t="shared" si="140"/>
        <v/>
      </c>
      <c r="AX387" t="str">
        <f t="shared" si="141"/>
        <v/>
      </c>
      <c r="AY387" t="str">
        <f t="shared" si="142"/>
        <v/>
      </c>
      <c r="AZ387" s="40"/>
      <c r="BL387" s="47" t="str">
        <f t="shared" si="143"/>
        <v/>
      </c>
      <c r="BM387" s="47" t="str">
        <f t="shared" si="144"/>
        <v/>
      </c>
      <c r="BN387" s="47" t="str">
        <f t="shared" si="145"/>
        <v/>
      </c>
      <c r="BO387" s="47" t="str">
        <f t="shared" si="146"/>
        <v/>
      </c>
      <c r="BP387" s="47" t="str">
        <f t="shared" si="147"/>
        <v/>
      </c>
      <c r="BQ387" s="48" t="str">
        <f t="shared" si="148"/>
        <v/>
      </c>
      <c r="BR387" s="48" t="str">
        <f t="shared" si="149"/>
        <v/>
      </c>
      <c r="BS387" s="48" t="str">
        <f t="shared" si="150"/>
        <v/>
      </c>
      <c r="BT387" s="47" t="str">
        <f t="shared" si="151"/>
        <v/>
      </c>
      <c r="CA387" s="47" t="str">
        <f t="shared" si="152"/>
        <v/>
      </c>
      <c r="CB387" s="47" t="str">
        <f t="shared" si="153"/>
        <v/>
      </c>
      <c r="CC387" s="47" t="str">
        <f t="shared" si="154"/>
        <v/>
      </c>
      <c r="CD387" s="47" t="str">
        <f t="shared" si="155"/>
        <v/>
      </c>
      <c r="CE387" s="47" t="str">
        <f>IF(AH387="","",IF(OR(AI387&lt;&gt;'Seasonal Tercile Tally'!$B$3,AM387&lt;&gt;'Seasonal Tercile Tally'!$B$4),"Other site/ season",IF(DT387=0,"Excluded: duplicate (later row)",IF(N387&lt;&gt;1,"Excluded: not sighted",IF(AC387&lt;&gt;1,"Excluded: not confirmed",IF(AD387&lt;&gt;1,"Excluded: not approved",IF(AP387="Contested","Excluded: contested",IF(OR(U387="",U387=0),"Excluded: no tercile",IF(CB387="","Counted (simple tally only — no weight)","Counted")))))))))</f>
        <v/>
      </c>
      <c r="CF387" s="49" t="str">
        <f>IF(AH387="","",IFERROR(INDEX('Prior Multipliers'!$C$6:$C$70,MATCH(LEFT(AH387,10),'Prior Multipliers'!$A$6:$A$70,0)),IFERROR(INDEX('Prior Multipliers'!$C$6:$C$70,MATCH(LEFT(AH387,6),'Prior Multipliers'!$A$6:$A$70,0)),IFERROR(INDEX('Prior Multipliers'!$C$6:$C$70,MATCH(LEFT(AH387,2),'Prior Multipliers'!$A$6:$A$70,0)),1))))</f>
        <v/>
      </c>
      <c r="CG387" s="49" t="str">
        <f>IF(CB387="","",IF(AND('Seasonal Tercile Tally'!$B$5=1,BT387="Rating-based"),CB387*CF387,CB387))</f>
        <v/>
      </c>
      <c r="CH387" s="47">
        <f t="shared" si="156"/>
        <v>0</v>
      </c>
      <c r="CI387" s="45"/>
      <c r="CJ387" s="42" t="str">
        <f t="shared" si="157"/>
        <v/>
      </c>
      <c r="CM387" s="42" t="str">
        <f t="shared" si="158"/>
        <v/>
      </c>
      <c r="CP387" s="46" t="str">
        <f t="shared" si="159"/>
        <v/>
      </c>
      <c r="CS387" s="46" t="str">
        <f t="shared" si="160"/>
        <v/>
      </c>
      <c r="CT387" s="42" t="str">
        <f t="shared" si="161"/>
        <v/>
      </c>
      <c r="CU387" s="42" t="str">
        <f t="shared" si="162"/>
        <v/>
      </c>
      <c r="CV387" s="42" t="str">
        <f t="shared" si="163"/>
        <v/>
      </c>
      <c r="DB387" s="45"/>
      <c r="DH387" s="42" t="str">
        <f t="shared" si="164"/>
        <v/>
      </c>
      <c r="DI387" s="43" t="str">
        <f t="shared" si="165"/>
        <v/>
      </c>
      <c r="DK387" s="46" t="str">
        <f t="shared" si="166"/>
        <v/>
      </c>
      <c r="DQ387" s="42" t="str">
        <f>IF(AH387="","",IFERROR(ROUND(100*('Weighting Options'!$D$7*IF(ISNUMBER(CA387),CA387/3,0)+'Weighting Options'!$D$8*MIN(N(BL387),3)/3+'Weighting Options'!$D$9*IF(AP387="Community/Plenary-endorsed",1,IF(AP387="FGD-validated only",0.75,IF(AP387="Sub-community-specific",0.5,IF(AP387="Provisional/emerging",0.25,0))))+'Weighting Options'!$D$10*IF(ISNUMBER(K387),K387/3,0)+'Weighting Options'!$D$11*IF(CC387="",0.5,IF(CC387="OK",1,0.25))+'Weighting Options'!$D$12*IF(DK387="",0.5,IF(DK387="Agrees",1,IF(DK387="Opposite",0,0.5)))+'Weighting Options'!$D$13*MIN(N(BG387),3)/3+'Weighting Options'!$D$14*IF(AE387=1,1,0))/SUM('Weighting Options'!$D$7:$D$14),0),""))</f>
        <v/>
      </c>
      <c r="DR387" s="44" t="str">
        <f>IF(AH387="","",IFERROR(INDEX('Weighting Options'!$D$20:$D$27,VALUE(LEFT(TRIM(BU387),1))),1))</f>
        <v/>
      </c>
      <c r="DS387" s="44" t="str">
        <f t="shared" si="167"/>
        <v/>
      </c>
      <c r="DT387" s="42" t="str">
        <f>IF(AH387="","",IF(COUNTIFS($AH$12:AH387,AH387,$AI$12:AI387,AI387,$AM$12:AM387,AM387)=1,1,0))</f>
        <v/>
      </c>
    </row>
    <row r="388" spans="16:124" ht="12.75" customHeight="1" x14ac:dyDescent="0.35">
      <c r="P388" s="41"/>
      <c r="Q388" s="41"/>
      <c r="R388" s="41"/>
      <c r="S388" s="41"/>
      <c r="AH388" s="40"/>
      <c r="AP388" s="40"/>
      <c r="AS388" s="41"/>
      <c r="AT388" s="41"/>
      <c r="AW388" t="str">
        <f t="shared" si="140"/>
        <v/>
      </c>
      <c r="AX388" t="str">
        <f t="shared" si="141"/>
        <v/>
      </c>
      <c r="AY388" t="str">
        <f t="shared" si="142"/>
        <v/>
      </c>
      <c r="AZ388" s="40"/>
      <c r="BL388" s="47" t="str">
        <f t="shared" si="143"/>
        <v/>
      </c>
      <c r="BM388" s="47" t="str">
        <f t="shared" si="144"/>
        <v/>
      </c>
      <c r="BN388" s="47" t="str">
        <f t="shared" si="145"/>
        <v/>
      </c>
      <c r="BO388" s="47" t="str">
        <f t="shared" si="146"/>
        <v/>
      </c>
      <c r="BP388" s="47" t="str">
        <f t="shared" si="147"/>
        <v/>
      </c>
      <c r="BQ388" s="48" t="str">
        <f t="shared" si="148"/>
        <v/>
      </c>
      <c r="BR388" s="48" t="str">
        <f t="shared" si="149"/>
        <v/>
      </c>
      <c r="BS388" s="48" t="str">
        <f t="shared" si="150"/>
        <v/>
      </c>
      <c r="BT388" s="47" t="str">
        <f t="shared" si="151"/>
        <v/>
      </c>
      <c r="CA388" s="47" t="str">
        <f t="shared" si="152"/>
        <v/>
      </c>
      <c r="CB388" s="47" t="str">
        <f t="shared" si="153"/>
        <v/>
      </c>
      <c r="CC388" s="47" t="str">
        <f t="shared" si="154"/>
        <v/>
      </c>
      <c r="CD388" s="47" t="str">
        <f t="shared" si="155"/>
        <v/>
      </c>
      <c r="CE388" s="47" t="str">
        <f>IF(AH388="","",IF(OR(AI388&lt;&gt;'Seasonal Tercile Tally'!$B$3,AM388&lt;&gt;'Seasonal Tercile Tally'!$B$4),"Other site/ season",IF(DT388=0,"Excluded: duplicate (later row)",IF(N388&lt;&gt;1,"Excluded: not sighted",IF(AC388&lt;&gt;1,"Excluded: not confirmed",IF(AD388&lt;&gt;1,"Excluded: not approved",IF(AP388="Contested","Excluded: contested",IF(OR(U388="",U388=0),"Excluded: no tercile",IF(CB388="","Counted (simple tally only — no weight)","Counted")))))))))</f>
        <v/>
      </c>
      <c r="CF388" s="49" t="str">
        <f>IF(AH388="","",IFERROR(INDEX('Prior Multipliers'!$C$6:$C$70,MATCH(LEFT(AH388,10),'Prior Multipliers'!$A$6:$A$70,0)),IFERROR(INDEX('Prior Multipliers'!$C$6:$C$70,MATCH(LEFT(AH388,6),'Prior Multipliers'!$A$6:$A$70,0)),IFERROR(INDEX('Prior Multipliers'!$C$6:$C$70,MATCH(LEFT(AH388,2),'Prior Multipliers'!$A$6:$A$70,0)),1))))</f>
        <v/>
      </c>
      <c r="CG388" s="49" t="str">
        <f>IF(CB388="","",IF(AND('Seasonal Tercile Tally'!$B$5=1,BT388="Rating-based"),CB388*CF388,CB388))</f>
        <v/>
      </c>
      <c r="CH388" s="47">
        <f t="shared" si="156"/>
        <v>0</v>
      </c>
      <c r="CI388" s="45"/>
      <c r="CJ388" s="42" t="str">
        <f t="shared" si="157"/>
        <v/>
      </c>
      <c r="CM388" s="42" t="str">
        <f t="shared" si="158"/>
        <v/>
      </c>
      <c r="CP388" s="46" t="str">
        <f t="shared" si="159"/>
        <v/>
      </c>
      <c r="CS388" s="46" t="str">
        <f t="shared" si="160"/>
        <v/>
      </c>
      <c r="CT388" s="42" t="str">
        <f t="shared" si="161"/>
        <v/>
      </c>
      <c r="CU388" s="42" t="str">
        <f t="shared" si="162"/>
        <v/>
      </c>
      <c r="CV388" s="42" t="str">
        <f t="shared" si="163"/>
        <v/>
      </c>
      <c r="DB388" s="45"/>
      <c r="DH388" s="42" t="str">
        <f t="shared" si="164"/>
        <v/>
      </c>
      <c r="DI388" s="43" t="str">
        <f t="shared" si="165"/>
        <v/>
      </c>
      <c r="DK388" s="46" t="str">
        <f t="shared" si="166"/>
        <v/>
      </c>
      <c r="DQ388" s="42" t="str">
        <f>IF(AH388="","",IFERROR(ROUND(100*('Weighting Options'!$D$7*IF(ISNUMBER(CA388),CA388/3,0)+'Weighting Options'!$D$8*MIN(N(BL388),3)/3+'Weighting Options'!$D$9*IF(AP388="Community/Plenary-endorsed",1,IF(AP388="FGD-validated only",0.75,IF(AP388="Sub-community-specific",0.5,IF(AP388="Provisional/emerging",0.25,0))))+'Weighting Options'!$D$10*IF(ISNUMBER(K388),K388/3,0)+'Weighting Options'!$D$11*IF(CC388="",0.5,IF(CC388="OK",1,0.25))+'Weighting Options'!$D$12*IF(DK388="",0.5,IF(DK388="Agrees",1,IF(DK388="Opposite",0,0.5)))+'Weighting Options'!$D$13*MIN(N(BG388),3)/3+'Weighting Options'!$D$14*IF(AE388=1,1,0))/SUM('Weighting Options'!$D$7:$D$14),0),""))</f>
        <v/>
      </c>
      <c r="DR388" s="44" t="str">
        <f>IF(AH388="","",IFERROR(INDEX('Weighting Options'!$D$20:$D$27,VALUE(LEFT(TRIM(BU388),1))),1))</f>
        <v/>
      </c>
      <c r="DS388" s="44" t="str">
        <f t="shared" si="167"/>
        <v/>
      </c>
      <c r="DT388" s="42" t="str">
        <f>IF(AH388="","",IF(COUNTIFS($AH$12:AH388,AH388,$AI$12:AI388,AI388,$AM$12:AM388,AM388)=1,1,0))</f>
        <v/>
      </c>
    </row>
    <row r="389" spans="16:124" ht="12.75" customHeight="1" x14ac:dyDescent="0.35">
      <c r="P389" s="41"/>
      <c r="Q389" s="41"/>
      <c r="R389" s="41"/>
      <c r="S389" s="41"/>
      <c r="AH389" s="40"/>
      <c r="AP389" s="40"/>
      <c r="AS389" s="41"/>
      <c r="AT389" s="41"/>
      <c r="AW389" t="str">
        <f t="shared" si="140"/>
        <v/>
      </c>
      <c r="AX389" t="str">
        <f t="shared" si="141"/>
        <v/>
      </c>
      <c r="AY389" t="str">
        <f t="shared" si="142"/>
        <v/>
      </c>
      <c r="AZ389" s="40"/>
      <c r="BL389" s="47" t="str">
        <f t="shared" si="143"/>
        <v/>
      </c>
      <c r="BM389" s="47" t="str">
        <f t="shared" si="144"/>
        <v/>
      </c>
      <c r="BN389" s="47" t="str">
        <f t="shared" si="145"/>
        <v/>
      </c>
      <c r="BO389" s="47" t="str">
        <f t="shared" si="146"/>
        <v/>
      </c>
      <c r="BP389" s="47" t="str">
        <f t="shared" si="147"/>
        <v/>
      </c>
      <c r="BQ389" s="48" t="str">
        <f t="shared" si="148"/>
        <v/>
      </c>
      <c r="BR389" s="48" t="str">
        <f t="shared" si="149"/>
        <v/>
      </c>
      <c r="BS389" s="48" t="str">
        <f t="shared" si="150"/>
        <v/>
      </c>
      <c r="BT389" s="47" t="str">
        <f t="shared" si="151"/>
        <v/>
      </c>
      <c r="CA389" s="47" t="str">
        <f t="shared" si="152"/>
        <v/>
      </c>
      <c r="CB389" s="47" t="str">
        <f t="shared" si="153"/>
        <v/>
      </c>
      <c r="CC389" s="47" t="str">
        <f t="shared" si="154"/>
        <v/>
      </c>
      <c r="CD389" s="47" t="str">
        <f t="shared" si="155"/>
        <v/>
      </c>
      <c r="CE389" s="47" t="str">
        <f>IF(AH389="","",IF(OR(AI389&lt;&gt;'Seasonal Tercile Tally'!$B$3,AM389&lt;&gt;'Seasonal Tercile Tally'!$B$4),"Other site/ season",IF(DT389=0,"Excluded: duplicate (later row)",IF(N389&lt;&gt;1,"Excluded: not sighted",IF(AC389&lt;&gt;1,"Excluded: not confirmed",IF(AD389&lt;&gt;1,"Excluded: not approved",IF(AP389="Contested","Excluded: contested",IF(OR(U389="",U389=0),"Excluded: no tercile",IF(CB389="","Counted (simple tally only — no weight)","Counted")))))))))</f>
        <v/>
      </c>
      <c r="CF389" s="49" t="str">
        <f>IF(AH389="","",IFERROR(INDEX('Prior Multipliers'!$C$6:$C$70,MATCH(LEFT(AH389,10),'Prior Multipliers'!$A$6:$A$70,0)),IFERROR(INDEX('Prior Multipliers'!$C$6:$C$70,MATCH(LEFT(AH389,6),'Prior Multipliers'!$A$6:$A$70,0)),IFERROR(INDEX('Prior Multipliers'!$C$6:$C$70,MATCH(LEFT(AH389,2),'Prior Multipliers'!$A$6:$A$70,0)),1))))</f>
        <v/>
      </c>
      <c r="CG389" s="49" t="str">
        <f>IF(CB389="","",IF(AND('Seasonal Tercile Tally'!$B$5=1,BT389="Rating-based"),CB389*CF389,CB389))</f>
        <v/>
      </c>
      <c r="CH389" s="47">
        <f t="shared" si="156"/>
        <v>0</v>
      </c>
      <c r="CI389" s="45"/>
      <c r="CJ389" s="42" t="str">
        <f t="shared" si="157"/>
        <v/>
      </c>
      <c r="CM389" s="42" t="str">
        <f t="shared" si="158"/>
        <v/>
      </c>
      <c r="CP389" s="46" t="str">
        <f t="shared" si="159"/>
        <v/>
      </c>
      <c r="CS389" s="46" t="str">
        <f t="shared" si="160"/>
        <v/>
      </c>
      <c r="CT389" s="42" t="str">
        <f t="shared" si="161"/>
        <v/>
      </c>
      <c r="CU389" s="42" t="str">
        <f t="shared" si="162"/>
        <v/>
      </c>
      <c r="CV389" s="42" t="str">
        <f t="shared" si="163"/>
        <v/>
      </c>
      <c r="DB389" s="45"/>
      <c r="DH389" s="42" t="str">
        <f t="shared" si="164"/>
        <v/>
      </c>
      <c r="DI389" s="43" t="str">
        <f t="shared" si="165"/>
        <v/>
      </c>
      <c r="DK389" s="46" t="str">
        <f t="shared" si="166"/>
        <v/>
      </c>
      <c r="DQ389" s="42" t="str">
        <f>IF(AH389="","",IFERROR(ROUND(100*('Weighting Options'!$D$7*IF(ISNUMBER(CA389),CA389/3,0)+'Weighting Options'!$D$8*MIN(N(BL389),3)/3+'Weighting Options'!$D$9*IF(AP389="Community/Plenary-endorsed",1,IF(AP389="FGD-validated only",0.75,IF(AP389="Sub-community-specific",0.5,IF(AP389="Provisional/emerging",0.25,0))))+'Weighting Options'!$D$10*IF(ISNUMBER(K389),K389/3,0)+'Weighting Options'!$D$11*IF(CC389="",0.5,IF(CC389="OK",1,0.25))+'Weighting Options'!$D$12*IF(DK389="",0.5,IF(DK389="Agrees",1,IF(DK389="Opposite",0,0.5)))+'Weighting Options'!$D$13*MIN(N(BG389),3)/3+'Weighting Options'!$D$14*IF(AE389=1,1,0))/SUM('Weighting Options'!$D$7:$D$14),0),""))</f>
        <v/>
      </c>
      <c r="DR389" s="44" t="str">
        <f>IF(AH389="","",IFERROR(INDEX('Weighting Options'!$D$20:$D$27,VALUE(LEFT(TRIM(BU389),1))),1))</f>
        <v/>
      </c>
      <c r="DS389" s="44" t="str">
        <f t="shared" si="167"/>
        <v/>
      </c>
      <c r="DT389" s="42" t="str">
        <f>IF(AH389="","",IF(COUNTIFS($AH$12:AH389,AH389,$AI$12:AI389,AI389,$AM$12:AM389,AM389)=1,1,0))</f>
        <v/>
      </c>
    </row>
    <row r="390" spans="16:124" ht="12.75" customHeight="1" x14ac:dyDescent="0.35">
      <c r="P390" s="41"/>
      <c r="Q390" s="41"/>
      <c r="R390" s="41"/>
      <c r="S390" s="41"/>
      <c r="AH390" s="40"/>
      <c r="AP390" s="40"/>
      <c r="AS390" s="41"/>
      <c r="AT390" s="41"/>
      <c r="AW390" t="str">
        <f t="shared" si="140"/>
        <v/>
      </c>
      <c r="AX390" t="str">
        <f t="shared" si="141"/>
        <v/>
      </c>
      <c r="AY390" t="str">
        <f t="shared" si="142"/>
        <v/>
      </c>
      <c r="AZ390" s="40"/>
      <c r="BL390" s="47" t="str">
        <f t="shared" si="143"/>
        <v/>
      </c>
      <c r="BM390" s="47" t="str">
        <f t="shared" si="144"/>
        <v/>
      </c>
      <c r="BN390" s="47" t="str">
        <f t="shared" si="145"/>
        <v/>
      </c>
      <c r="BO390" s="47" t="str">
        <f t="shared" si="146"/>
        <v/>
      </c>
      <c r="BP390" s="47" t="str">
        <f t="shared" si="147"/>
        <v/>
      </c>
      <c r="BQ390" s="48" t="str">
        <f t="shared" si="148"/>
        <v/>
      </c>
      <c r="BR390" s="48" t="str">
        <f t="shared" si="149"/>
        <v/>
      </c>
      <c r="BS390" s="48" t="str">
        <f t="shared" si="150"/>
        <v/>
      </c>
      <c r="BT390" s="47" t="str">
        <f t="shared" si="151"/>
        <v/>
      </c>
      <c r="CA390" s="47" t="str">
        <f t="shared" si="152"/>
        <v/>
      </c>
      <c r="CB390" s="47" t="str">
        <f t="shared" si="153"/>
        <v/>
      </c>
      <c r="CC390" s="47" t="str">
        <f t="shared" si="154"/>
        <v/>
      </c>
      <c r="CD390" s="47" t="str">
        <f t="shared" si="155"/>
        <v/>
      </c>
      <c r="CE390" s="47" t="str">
        <f>IF(AH390="","",IF(OR(AI390&lt;&gt;'Seasonal Tercile Tally'!$B$3,AM390&lt;&gt;'Seasonal Tercile Tally'!$B$4),"Other site/ season",IF(DT390=0,"Excluded: duplicate (later row)",IF(N390&lt;&gt;1,"Excluded: not sighted",IF(AC390&lt;&gt;1,"Excluded: not confirmed",IF(AD390&lt;&gt;1,"Excluded: not approved",IF(AP390="Contested","Excluded: contested",IF(OR(U390="",U390=0),"Excluded: no tercile",IF(CB390="","Counted (simple tally only — no weight)","Counted")))))))))</f>
        <v/>
      </c>
      <c r="CF390" s="49" t="str">
        <f>IF(AH390="","",IFERROR(INDEX('Prior Multipliers'!$C$6:$C$70,MATCH(LEFT(AH390,10),'Prior Multipliers'!$A$6:$A$70,0)),IFERROR(INDEX('Prior Multipliers'!$C$6:$C$70,MATCH(LEFT(AH390,6),'Prior Multipliers'!$A$6:$A$70,0)),IFERROR(INDEX('Prior Multipliers'!$C$6:$C$70,MATCH(LEFT(AH390,2),'Prior Multipliers'!$A$6:$A$70,0)),1))))</f>
        <v/>
      </c>
      <c r="CG390" s="49" t="str">
        <f>IF(CB390="","",IF(AND('Seasonal Tercile Tally'!$B$5=1,BT390="Rating-based"),CB390*CF390,CB390))</f>
        <v/>
      </c>
      <c r="CH390" s="47">
        <f t="shared" si="156"/>
        <v>0</v>
      </c>
      <c r="CI390" s="45"/>
      <c r="CJ390" s="42" t="str">
        <f t="shared" si="157"/>
        <v/>
      </c>
      <c r="CM390" s="42" t="str">
        <f t="shared" si="158"/>
        <v/>
      </c>
      <c r="CP390" s="46" t="str">
        <f t="shared" si="159"/>
        <v/>
      </c>
      <c r="CS390" s="46" t="str">
        <f t="shared" si="160"/>
        <v/>
      </c>
      <c r="CT390" s="42" t="str">
        <f t="shared" si="161"/>
        <v/>
      </c>
      <c r="CU390" s="42" t="str">
        <f t="shared" si="162"/>
        <v/>
      </c>
      <c r="CV390" s="42" t="str">
        <f t="shared" si="163"/>
        <v/>
      </c>
      <c r="DB390" s="45"/>
      <c r="DH390" s="42" t="str">
        <f t="shared" si="164"/>
        <v/>
      </c>
      <c r="DI390" s="43" t="str">
        <f t="shared" si="165"/>
        <v/>
      </c>
      <c r="DK390" s="46" t="str">
        <f t="shared" si="166"/>
        <v/>
      </c>
      <c r="DQ390" s="42" t="str">
        <f>IF(AH390="","",IFERROR(ROUND(100*('Weighting Options'!$D$7*IF(ISNUMBER(CA390),CA390/3,0)+'Weighting Options'!$D$8*MIN(N(BL390),3)/3+'Weighting Options'!$D$9*IF(AP390="Community/Plenary-endorsed",1,IF(AP390="FGD-validated only",0.75,IF(AP390="Sub-community-specific",0.5,IF(AP390="Provisional/emerging",0.25,0))))+'Weighting Options'!$D$10*IF(ISNUMBER(K390),K390/3,0)+'Weighting Options'!$D$11*IF(CC390="",0.5,IF(CC390="OK",1,0.25))+'Weighting Options'!$D$12*IF(DK390="",0.5,IF(DK390="Agrees",1,IF(DK390="Opposite",0,0.5)))+'Weighting Options'!$D$13*MIN(N(BG390),3)/3+'Weighting Options'!$D$14*IF(AE390=1,1,0))/SUM('Weighting Options'!$D$7:$D$14),0),""))</f>
        <v/>
      </c>
      <c r="DR390" s="44" t="str">
        <f>IF(AH390="","",IFERROR(INDEX('Weighting Options'!$D$20:$D$27,VALUE(LEFT(TRIM(BU390),1))),1))</f>
        <v/>
      </c>
      <c r="DS390" s="44" t="str">
        <f t="shared" si="167"/>
        <v/>
      </c>
      <c r="DT390" s="42" t="str">
        <f>IF(AH390="","",IF(COUNTIFS($AH$12:AH390,AH390,$AI$12:AI390,AI390,$AM$12:AM390,AM390)=1,1,0))</f>
        <v/>
      </c>
    </row>
    <row r="391" spans="16:124" ht="12.75" customHeight="1" x14ac:dyDescent="0.35">
      <c r="P391" s="41"/>
      <c r="Q391" s="41"/>
      <c r="R391" s="41"/>
      <c r="S391" s="41"/>
      <c r="AH391" s="40"/>
      <c r="AP391" s="40"/>
      <c r="AS391" s="41"/>
      <c r="AT391" s="41"/>
      <c r="AW391" t="str">
        <f t="shared" si="140"/>
        <v/>
      </c>
      <c r="AX391" t="str">
        <f t="shared" si="141"/>
        <v/>
      </c>
      <c r="AY391" t="str">
        <f t="shared" si="142"/>
        <v/>
      </c>
      <c r="AZ391" s="40"/>
      <c r="BL391" s="47" t="str">
        <f t="shared" si="143"/>
        <v/>
      </c>
      <c r="BM391" s="47" t="str">
        <f t="shared" si="144"/>
        <v/>
      </c>
      <c r="BN391" s="47" t="str">
        <f t="shared" si="145"/>
        <v/>
      </c>
      <c r="BO391" s="47" t="str">
        <f t="shared" si="146"/>
        <v/>
      </c>
      <c r="BP391" s="47" t="str">
        <f t="shared" si="147"/>
        <v/>
      </c>
      <c r="BQ391" s="48" t="str">
        <f t="shared" si="148"/>
        <v/>
      </c>
      <c r="BR391" s="48" t="str">
        <f t="shared" si="149"/>
        <v/>
      </c>
      <c r="BS391" s="48" t="str">
        <f t="shared" si="150"/>
        <v/>
      </c>
      <c r="BT391" s="47" t="str">
        <f t="shared" si="151"/>
        <v/>
      </c>
      <c r="CA391" s="47" t="str">
        <f t="shared" si="152"/>
        <v/>
      </c>
      <c r="CB391" s="47" t="str">
        <f t="shared" si="153"/>
        <v/>
      </c>
      <c r="CC391" s="47" t="str">
        <f t="shared" si="154"/>
        <v/>
      </c>
      <c r="CD391" s="47" t="str">
        <f t="shared" si="155"/>
        <v/>
      </c>
      <c r="CE391" s="47" t="str">
        <f>IF(AH391="","",IF(OR(AI391&lt;&gt;'Seasonal Tercile Tally'!$B$3,AM391&lt;&gt;'Seasonal Tercile Tally'!$B$4),"Other site/ season",IF(DT391=0,"Excluded: duplicate (later row)",IF(N391&lt;&gt;1,"Excluded: not sighted",IF(AC391&lt;&gt;1,"Excluded: not confirmed",IF(AD391&lt;&gt;1,"Excluded: not approved",IF(AP391="Contested","Excluded: contested",IF(OR(U391="",U391=0),"Excluded: no tercile",IF(CB391="","Counted (simple tally only — no weight)","Counted")))))))))</f>
        <v/>
      </c>
      <c r="CF391" s="49" t="str">
        <f>IF(AH391="","",IFERROR(INDEX('Prior Multipliers'!$C$6:$C$70,MATCH(LEFT(AH391,10),'Prior Multipliers'!$A$6:$A$70,0)),IFERROR(INDEX('Prior Multipliers'!$C$6:$C$70,MATCH(LEFT(AH391,6),'Prior Multipliers'!$A$6:$A$70,0)),IFERROR(INDEX('Prior Multipliers'!$C$6:$C$70,MATCH(LEFT(AH391,2),'Prior Multipliers'!$A$6:$A$70,0)),1))))</f>
        <v/>
      </c>
      <c r="CG391" s="49" t="str">
        <f>IF(CB391="","",IF(AND('Seasonal Tercile Tally'!$B$5=1,BT391="Rating-based"),CB391*CF391,CB391))</f>
        <v/>
      </c>
      <c r="CH391" s="47">
        <f t="shared" si="156"/>
        <v>0</v>
      </c>
      <c r="CI391" s="45"/>
      <c r="CJ391" s="42" t="str">
        <f t="shared" si="157"/>
        <v/>
      </c>
      <c r="CM391" s="42" t="str">
        <f t="shared" si="158"/>
        <v/>
      </c>
      <c r="CP391" s="46" t="str">
        <f t="shared" si="159"/>
        <v/>
      </c>
      <c r="CS391" s="46" t="str">
        <f t="shared" si="160"/>
        <v/>
      </c>
      <c r="CT391" s="42" t="str">
        <f t="shared" si="161"/>
        <v/>
      </c>
      <c r="CU391" s="42" t="str">
        <f t="shared" si="162"/>
        <v/>
      </c>
      <c r="CV391" s="42" t="str">
        <f t="shared" si="163"/>
        <v/>
      </c>
      <c r="DB391" s="45"/>
      <c r="DH391" s="42" t="str">
        <f t="shared" si="164"/>
        <v/>
      </c>
      <c r="DI391" s="43" t="str">
        <f t="shared" si="165"/>
        <v/>
      </c>
      <c r="DK391" s="46" t="str">
        <f t="shared" si="166"/>
        <v/>
      </c>
      <c r="DQ391" s="42" t="str">
        <f>IF(AH391="","",IFERROR(ROUND(100*('Weighting Options'!$D$7*IF(ISNUMBER(CA391),CA391/3,0)+'Weighting Options'!$D$8*MIN(N(BL391),3)/3+'Weighting Options'!$D$9*IF(AP391="Community/Plenary-endorsed",1,IF(AP391="FGD-validated only",0.75,IF(AP391="Sub-community-specific",0.5,IF(AP391="Provisional/emerging",0.25,0))))+'Weighting Options'!$D$10*IF(ISNUMBER(K391),K391/3,0)+'Weighting Options'!$D$11*IF(CC391="",0.5,IF(CC391="OK",1,0.25))+'Weighting Options'!$D$12*IF(DK391="",0.5,IF(DK391="Agrees",1,IF(DK391="Opposite",0,0.5)))+'Weighting Options'!$D$13*MIN(N(BG391),3)/3+'Weighting Options'!$D$14*IF(AE391=1,1,0))/SUM('Weighting Options'!$D$7:$D$14),0),""))</f>
        <v/>
      </c>
      <c r="DR391" s="44" t="str">
        <f>IF(AH391="","",IFERROR(INDEX('Weighting Options'!$D$20:$D$27,VALUE(LEFT(TRIM(BU391),1))),1))</f>
        <v/>
      </c>
      <c r="DS391" s="44" t="str">
        <f t="shared" si="167"/>
        <v/>
      </c>
      <c r="DT391" s="42" t="str">
        <f>IF(AH391="","",IF(COUNTIFS($AH$12:AH391,AH391,$AI$12:AI391,AI391,$AM$12:AM391,AM391)=1,1,0))</f>
        <v/>
      </c>
    </row>
    <row r="392" spans="16:124" ht="12.75" customHeight="1" x14ac:dyDescent="0.35">
      <c r="P392" s="41"/>
      <c r="Q392" s="41"/>
      <c r="R392" s="41"/>
      <c r="S392" s="41"/>
      <c r="AH392" s="40"/>
      <c r="AP392" s="40"/>
      <c r="AS392" s="41"/>
      <c r="AT392" s="41"/>
      <c r="AW392" t="str">
        <f t="shared" si="140"/>
        <v/>
      </c>
      <c r="AX392" t="str">
        <f t="shared" si="141"/>
        <v/>
      </c>
      <c r="AY392" t="str">
        <f t="shared" si="142"/>
        <v/>
      </c>
      <c r="AZ392" s="40"/>
      <c r="BL392" s="47" t="str">
        <f t="shared" si="143"/>
        <v/>
      </c>
      <c r="BM392" s="47" t="str">
        <f t="shared" si="144"/>
        <v/>
      </c>
      <c r="BN392" s="47" t="str">
        <f t="shared" si="145"/>
        <v/>
      </c>
      <c r="BO392" s="47" t="str">
        <f t="shared" si="146"/>
        <v/>
      </c>
      <c r="BP392" s="47" t="str">
        <f t="shared" si="147"/>
        <v/>
      </c>
      <c r="BQ392" s="48" t="str">
        <f t="shared" si="148"/>
        <v/>
      </c>
      <c r="BR392" s="48" t="str">
        <f t="shared" si="149"/>
        <v/>
      </c>
      <c r="BS392" s="48" t="str">
        <f t="shared" si="150"/>
        <v/>
      </c>
      <c r="BT392" s="47" t="str">
        <f t="shared" si="151"/>
        <v/>
      </c>
      <c r="CA392" s="47" t="str">
        <f t="shared" si="152"/>
        <v/>
      </c>
      <c r="CB392" s="47" t="str">
        <f t="shared" si="153"/>
        <v/>
      </c>
      <c r="CC392" s="47" t="str">
        <f t="shared" si="154"/>
        <v/>
      </c>
      <c r="CD392" s="47" t="str">
        <f t="shared" si="155"/>
        <v/>
      </c>
      <c r="CE392" s="47" t="str">
        <f>IF(AH392="","",IF(OR(AI392&lt;&gt;'Seasonal Tercile Tally'!$B$3,AM392&lt;&gt;'Seasonal Tercile Tally'!$B$4),"Other site/ season",IF(DT392=0,"Excluded: duplicate (later row)",IF(N392&lt;&gt;1,"Excluded: not sighted",IF(AC392&lt;&gt;1,"Excluded: not confirmed",IF(AD392&lt;&gt;1,"Excluded: not approved",IF(AP392="Contested","Excluded: contested",IF(OR(U392="",U392=0),"Excluded: no tercile",IF(CB392="","Counted (simple tally only — no weight)","Counted")))))))))</f>
        <v/>
      </c>
      <c r="CF392" s="49" t="str">
        <f>IF(AH392="","",IFERROR(INDEX('Prior Multipliers'!$C$6:$C$70,MATCH(LEFT(AH392,10),'Prior Multipliers'!$A$6:$A$70,0)),IFERROR(INDEX('Prior Multipliers'!$C$6:$C$70,MATCH(LEFT(AH392,6),'Prior Multipliers'!$A$6:$A$70,0)),IFERROR(INDEX('Prior Multipliers'!$C$6:$C$70,MATCH(LEFT(AH392,2),'Prior Multipliers'!$A$6:$A$70,0)),1))))</f>
        <v/>
      </c>
      <c r="CG392" s="49" t="str">
        <f>IF(CB392="","",IF(AND('Seasonal Tercile Tally'!$B$5=1,BT392="Rating-based"),CB392*CF392,CB392))</f>
        <v/>
      </c>
      <c r="CH392" s="47">
        <f t="shared" si="156"/>
        <v>0</v>
      </c>
      <c r="CI392" s="45"/>
      <c r="CJ392" s="42" t="str">
        <f t="shared" si="157"/>
        <v/>
      </c>
      <c r="CM392" s="42" t="str">
        <f t="shared" si="158"/>
        <v/>
      </c>
      <c r="CP392" s="46" t="str">
        <f t="shared" si="159"/>
        <v/>
      </c>
      <c r="CS392" s="46" t="str">
        <f t="shared" si="160"/>
        <v/>
      </c>
      <c r="CT392" s="42" t="str">
        <f t="shared" si="161"/>
        <v/>
      </c>
      <c r="CU392" s="42" t="str">
        <f t="shared" si="162"/>
        <v/>
      </c>
      <c r="CV392" s="42" t="str">
        <f t="shared" si="163"/>
        <v/>
      </c>
      <c r="DB392" s="45"/>
      <c r="DH392" s="42" t="str">
        <f t="shared" si="164"/>
        <v/>
      </c>
      <c r="DI392" s="43" t="str">
        <f t="shared" si="165"/>
        <v/>
      </c>
      <c r="DK392" s="46" t="str">
        <f t="shared" si="166"/>
        <v/>
      </c>
      <c r="DQ392" s="42" t="str">
        <f>IF(AH392="","",IFERROR(ROUND(100*('Weighting Options'!$D$7*IF(ISNUMBER(CA392),CA392/3,0)+'Weighting Options'!$D$8*MIN(N(BL392),3)/3+'Weighting Options'!$D$9*IF(AP392="Community/Plenary-endorsed",1,IF(AP392="FGD-validated only",0.75,IF(AP392="Sub-community-specific",0.5,IF(AP392="Provisional/emerging",0.25,0))))+'Weighting Options'!$D$10*IF(ISNUMBER(K392),K392/3,0)+'Weighting Options'!$D$11*IF(CC392="",0.5,IF(CC392="OK",1,0.25))+'Weighting Options'!$D$12*IF(DK392="",0.5,IF(DK392="Agrees",1,IF(DK392="Opposite",0,0.5)))+'Weighting Options'!$D$13*MIN(N(BG392),3)/3+'Weighting Options'!$D$14*IF(AE392=1,1,0))/SUM('Weighting Options'!$D$7:$D$14),0),""))</f>
        <v/>
      </c>
      <c r="DR392" s="44" t="str">
        <f>IF(AH392="","",IFERROR(INDEX('Weighting Options'!$D$20:$D$27,VALUE(LEFT(TRIM(BU392),1))),1))</f>
        <v/>
      </c>
      <c r="DS392" s="44" t="str">
        <f t="shared" si="167"/>
        <v/>
      </c>
      <c r="DT392" s="42" t="str">
        <f>IF(AH392="","",IF(COUNTIFS($AH$12:AH392,AH392,$AI$12:AI392,AI392,$AM$12:AM392,AM392)=1,1,0))</f>
        <v/>
      </c>
    </row>
    <row r="393" spans="16:124" ht="12.75" customHeight="1" x14ac:dyDescent="0.35">
      <c r="P393" s="41"/>
      <c r="Q393" s="41"/>
      <c r="R393" s="41"/>
      <c r="S393" s="41"/>
      <c r="AH393" s="40"/>
      <c r="AP393" s="40"/>
      <c r="AS393" s="41"/>
      <c r="AT393" s="41"/>
      <c r="AW393" t="str">
        <f t="shared" si="140"/>
        <v/>
      </c>
      <c r="AX393" t="str">
        <f t="shared" si="141"/>
        <v/>
      </c>
      <c r="AY393" t="str">
        <f t="shared" si="142"/>
        <v/>
      </c>
      <c r="AZ393" s="40"/>
      <c r="BL393" s="47" t="str">
        <f t="shared" si="143"/>
        <v/>
      </c>
      <c r="BM393" s="47" t="str">
        <f t="shared" si="144"/>
        <v/>
      </c>
      <c r="BN393" s="47" t="str">
        <f t="shared" si="145"/>
        <v/>
      </c>
      <c r="BO393" s="47" t="str">
        <f t="shared" si="146"/>
        <v/>
      </c>
      <c r="BP393" s="47" t="str">
        <f t="shared" si="147"/>
        <v/>
      </c>
      <c r="BQ393" s="48" t="str">
        <f t="shared" si="148"/>
        <v/>
      </c>
      <c r="BR393" s="48" t="str">
        <f t="shared" si="149"/>
        <v/>
      </c>
      <c r="BS393" s="48" t="str">
        <f t="shared" si="150"/>
        <v/>
      </c>
      <c r="BT393" s="47" t="str">
        <f t="shared" si="151"/>
        <v/>
      </c>
      <c r="CA393" s="47" t="str">
        <f t="shared" si="152"/>
        <v/>
      </c>
      <c r="CB393" s="47" t="str">
        <f t="shared" si="153"/>
        <v/>
      </c>
      <c r="CC393" s="47" t="str">
        <f t="shared" si="154"/>
        <v/>
      </c>
      <c r="CD393" s="47" t="str">
        <f t="shared" si="155"/>
        <v/>
      </c>
      <c r="CE393" s="47" t="str">
        <f>IF(AH393="","",IF(OR(AI393&lt;&gt;'Seasonal Tercile Tally'!$B$3,AM393&lt;&gt;'Seasonal Tercile Tally'!$B$4),"Other site/ season",IF(DT393=0,"Excluded: duplicate (later row)",IF(N393&lt;&gt;1,"Excluded: not sighted",IF(AC393&lt;&gt;1,"Excluded: not confirmed",IF(AD393&lt;&gt;1,"Excluded: not approved",IF(AP393="Contested","Excluded: contested",IF(OR(U393="",U393=0),"Excluded: no tercile",IF(CB393="","Counted (simple tally only — no weight)","Counted")))))))))</f>
        <v/>
      </c>
      <c r="CF393" s="49" t="str">
        <f>IF(AH393="","",IFERROR(INDEX('Prior Multipliers'!$C$6:$C$70,MATCH(LEFT(AH393,10),'Prior Multipliers'!$A$6:$A$70,0)),IFERROR(INDEX('Prior Multipliers'!$C$6:$C$70,MATCH(LEFT(AH393,6),'Prior Multipliers'!$A$6:$A$70,0)),IFERROR(INDEX('Prior Multipliers'!$C$6:$C$70,MATCH(LEFT(AH393,2),'Prior Multipliers'!$A$6:$A$70,0)),1))))</f>
        <v/>
      </c>
      <c r="CG393" s="49" t="str">
        <f>IF(CB393="","",IF(AND('Seasonal Tercile Tally'!$B$5=1,BT393="Rating-based"),CB393*CF393,CB393))</f>
        <v/>
      </c>
      <c r="CH393" s="47">
        <f t="shared" si="156"/>
        <v>0</v>
      </c>
      <c r="CI393" s="45"/>
      <c r="CJ393" s="42" t="str">
        <f t="shared" si="157"/>
        <v/>
      </c>
      <c r="CM393" s="42" t="str">
        <f t="shared" si="158"/>
        <v/>
      </c>
      <c r="CP393" s="46" t="str">
        <f t="shared" si="159"/>
        <v/>
      </c>
      <c r="CS393" s="46" t="str">
        <f t="shared" si="160"/>
        <v/>
      </c>
      <c r="CT393" s="42" t="str">
        <f t="shared" si="161"/>
        <v/>
      </c>
      <c r="CU393" s="42" t="str">
        <f t="shared" si="162"/>
        <v/>
      </c>
      <c r="CV393" s="42" t="str">
        <f t="shared" si="163"/>
        <v/>
      </c>
      <c r="DB393" s="45"/>
      <c r="DH393" s="42" t="str">
        <f t="shared" si="164"/>
        <v/>
      </c>
      <c r="DI393" s="43" t="str">
        <f t="shared" si="165"/>
        <v/>
      </c>
      <c r="DK393" s="46" t="str">
        <f t="shared" si="166"/>
        <v/>
      </c>
      <c r="DQ393" s="42" t="str">
        <f>IF(AH393="","",IFERROR(ROUND(100*('Weighting Options'!$D$7*IF(ISNUMBER(CA393),CA393/3,0)+'Weighting Options'!$D$8*MIN(N(BL393),3)/3+'Weighting Options'!$D$9*IF(AP393="Community/Plenary-endorsed",1,IF(AP393="FGD-validated only",0.75,IF(AP393="Sub-community-specific",0.5,IF(AP393="Provisional/emerging",0.25,0))))+'Weighting Options'!$D$10*IF(ISNUMBER(K393),K393/3,0)+'Weighting Options'!$D$11*IF(CC393="",0.5,IF(CC393="OK",1,0.25))+'Weighting Options'!$D$12*IF(DK393="",0.5,IF(DK393="Agrees",1,IF(DK393="Opposite",0,0.5)))+'Weighting Options'!$D$13*MIN(N(BG393),3)/3+'Weighting Options'!$D$14*IF(AE393=1,1,0))/SUM('Weighting Options'!$D$7:$D$14),0),""))</f>
        <v/>
      </c>
      <c r="DR393" s="44" t="str">
        <f>IF(AH393="","",IFERROR(INDEX('Weighting Options'!$D$20:$D$27,VALUE(LEFT(TRIM(BU393),1))),1))</f>
        <v/>
      </c>
      <c r="DS393" s="44" t="str">
        <f t="shared" si="167"/>
        <v/>
      </c>
      <c r="DT393" s="42" t="str">
        <f>IF(AH393="","",IF(COUNTIFS($AH$12:AH393,AH393,$AI$12:AI393,AI393,$AM$12:AM393,AM393)=1,1,0))</f>
        <v/>
      </c>
    </row>
    <row r="394" spans="16:124" ht="12.75" customHeight="1" x14ac:dyDescent="0.35">
      <c r="P394" s="41"/>
      <c r="Q394" s="41"/>
      <c r="R394" s="41"/>
      <c r="S394" s="41"/>
      <c r="AH394" s="40"/>
      <c r="AP394" s="40"/>
      <c r="AS394" s="41"/>
      <c r="AT394" s="41"/>
      <c r="AW394" t="str">
        <f t="shared" si="140"/>
        <v/>
      </c>
      <c r="AX394" t="str">
        <f t="shared" si="141"/>
        <v/>
      </c>
      <c r="AY394" t="str">
        <f t="shared" si="142"/>
        <v/>
      </c>
      <c r="AZ394" s="40"/>
      <c r="BL394" s="47" t="str">
        <f t="shared" si="143"/>
        <v/>
      </c>
      <c r="BM394" s="47" t="str">
        <f t="shared" si="144"/>
        <v/>
      </c>
      <c r="BN394" s="47" t="str">
        <f t="shared" si="145"/>
        <v/>
      </c>
      <c r="BO394" s="47" t="str">
        <f t="shared" si="146"/>
        <v/>
      </c>
      <c r="BP394" s="47" t="str">
        <f t="shared" si="147"/>
        <v/>
      </c>
      <c r="BQ394" s="48" t="str">
        <f t="shared" si="148"/>
        <v/>
      </c>
      <c r="BR394" s="48" t="str">
        <f t="shared" si="149"/>
        <v/>
      </c>
      <c r="BS394" s="48" t="str">
        <f t="shared" si="150"/>
        <v/>
      </c>
      <c r="BT394" s="47" t="str">
        <f t="shared" si="151"/>
        <v/>
      </c>
      <c r="CA394" s="47" t="str">
        <f t="shared" si="152"/>
        <v/>
      </c>
      <c r="CB394" s="47" t="str">
        <f t="shared" si="153"/>
        <v/>
      </c>
      <c r="CC394" s="47" t="str">
        <f t="shared" si="154"/>
        <v/>
      </c>
      <c r="CD394" s="47" t="str">
        <f t="shared" si="155"/>
        <v/>
      </c>
      <c r="CE394" s="47" t="str">
        <f>IF(AH394="","",IF(OR(AI394&lt;&gt;'Seasonal Tercile Tally'!$B$3,AM394&lt;&gt;'Seasonal Tercile Tally'!$B$4),"Other site/ season",IF(DT394=0,"Excluded: duplicate (later row)",IF(N394&lt;&gt;1,"Excluded: not sighted",IF(AC394&lt;&gt;1,"Excluded: not confirmed",IF(AD394&lt;&gt;1,"Excluded: not approved",IF(AP394="Contested","Excluded: contested",IF(OR(U394="",U394=0),"Excluded: no tercile",IF(CB394="","Counted (simple tally only — no weight)","Counted")))))))))</f>
        <v/>
      </c>
      <c r="CF394" s="49" t="str">
        <f>IF(AH394="","",IFERROR(INDEX('Prior Multipliers'!$C$6:$C$70,MATCH(LEFT(AH394,10),'Prior Multipliers'!$A$6:$A$70,0)),IFERROR(INDEX('Prior Multipliers'!$C$6:$C$70,MATCH(LEFT(AH394,6),'Prior Multipliers'!$A$6:$A$70,0)),IFERROR(INDEX('Prior Multipliers'!$C$6:$C$70,MATCH(LEFT(AH394,2),'Prior Multipliers'!$A$6:$A$70,0)),1))))</f>
        <v/>
      </c>
      <c r="CG394" s="49" t="str">
        <f>IF(CB394="","",IF(AND('Seasonal Tercile Tally'!$B$5=1,BT394="Rating-based"),CB394*CF394,CB394))</f>
        <v/>
      </c>
      <c r="CH394" s="47">
        <f t="shared" si="156"/>
        <v>0</v>
      </c>
      <c r="CI394" s="45"/>
      <c r="CJ394" s="42" t="str">
        <f t="shared" si="157"/>
        <v/>
      </c>
      <c r="CM394" s="42" t="str">
        <f t="shared" si="158"/>
        <v/>
      </c>
      <c r="CP394" s="46" t="str">
        <f t="shared" si="159"/>
        <v/>
      </c>
      <c r="CS394" s="46" t="str">
        <f t="shared" si="160"/>
        <v/>
      </c>
      <c r="CT394" s="42" t="str">
        <f t="shared" si="161"/>
        <v/>
      </c>
      <c r="CU394" s="42" t="str">
        <f t="shared" si="162"/>
        <v/>
      </c>
      <c r="CV394" s="42" t="str">
        <f t="shared" si="163"/>
        <v/>
      </c>
      <c r="DB394" s="45"/>
      <c r="DH394" s="42" t="str">
        <f t="shared" si="164"/>
        <v/>
      </c>
      <c r="DI394" s="43" t="str">
        <f t="shared" si="165"/>
        <v/>
      </c>
      <c r="DK394" s="46" t="str">
        <f t="shared" si="166"/>
        <v/>
      </c>
      <c r="DQ394" s="42" t="str">
        <f>IF(AH394="","",IFERROR(ROUND(100*('Weighting Options'!$D$7*IF(ISNUMBER(CA394),CA394/3,0)+'Weighting Options'!$D$8*MIN(N(BL394),3)/3+'Weighting Options'!$D$9*IF(AP394="Community/Plenary-endorsed",1,IF(AP394="FGD-validated only",0.75,IF(AP394="Sub-community-specific",0.5,IF(AP394="Provisional/emerging",0.25,0))))+'Weighting Options'!$D$10*IF(ISNUMBER(K394),K394/3,0)+'Weighting Options'!$D$11*IF(CC394="",0.5,IF(CC394="OK",1,0.25))+'Weighting Options'!$D$12*IF(DK394="",0.5,IF(DK394="Agrees",1,IF(DK394="Opposite",0,0.5)))+'Weighting Options'!$D$13*MIN(N(BG394),3)/3+'Weighting Options'!$D$14*IF(AE394=1,1,0))/SUM('Weighting Options'!$D$7:$D$14),0),""))</f>
        <v/>
      </c>
      <c r="DR394" s="44" t="str">
        <f>IF(AH394="","",IFERROR(INDEX('Weighting Options'!$D$20:$D$27,VALUE(LEFT(TRIM(BU394),1))),1))</f>
        <v/>
      </c>
      <c r="DS394" s="44" t="str">
        <f t="shared" si="167"/>
        <v/>
      </c>
      <c r="DT394" s="42" t="str">
        <f>IF(AH394="","",IF(COUNTIFS($AH$12:AH394,AH394,$AI$12:AI394,AI394,$AM$12:AM394,AM394)=1,1,0))</f>
        <v/>
      </c>
    </row>
    <row r="395" spans="16:124" ht="12.75" customHeight="1" x14ac:dyDescent="0.35">
      <c r="P395" s="41"/>
      <c r="Q395" s="41"/>
      <c r="R395" s="41"/>
      <c r="S395" s="41"/>
      <c r="AH395" s="40"/>
      <c r="AP395" s="40"/>
      <c r="AS395" s="41"/>
      <c r="AT395" s="41"/>
      <c r="AW395" t="str">
        <f t="shared" si="140"/>
        <v/>
      </c>
      <c r="AX395" t="str">
        <f t="shared" si="141"/>
        <v/>
      </c>
      <c r="AY395" t="str">
        <f t="shared" si="142"/>
        <v/>
      </c>
      <c r="AZ395" s="40"/>
      <c r="BL395" s="47" t="str">
        <f t="shared" si="143"/>
        <v/>
      </c>
      <c r="BM395" s="47" t="str">
        <f t="shared" si="144"/>
        <v/>
      </c>
      <c r="BN395" s="47" t="str">
        <f t="shared" si="145"/>
        <v/>
      </c>
      <c r="BO395" s="47" t="str">
        <f t="shared" si="146"/>
        <v/>
      </c>
      <c r="BP395" s="47" t="str">
        <f t="shared" si="147"/>
        <v/>
      </c>
      <c r="BQ395" s="48" t="str">
        <f t="shared" si="148"/>
        <v/>
      </c>
      <c r="BR395" s="48" t="str">
        <f t="shared" si="149"/>
        <v/>
      </c>
      <c r="BS395" s="48" t="str">
        <f t="shared" si="150"/>
        <v/>
      </c>
      <c r="BT395" s="47" t="str">
        <f t="shared" si="151"/>
        <v/>
      </c>
      <c r="CA395" s="47" t="str">
        <f t="shared" si="152"/>
        <v/>
      </c>
      <c r="CB395" s="47" t="str">
        <f t="shared" si="153"/>
        <v/>
      </c>
      <c r="CC395" s="47" t="str">
        <f t="shared" si="154"/>
        <v/>
      </c>
      <c r="CD395" s="47" t="str">
        <f t="shared" si="155"/>
        <v/>
      </c>
      <c r="CE395" s="47" t="str">
        <f>IF(AH395="","",IF(OR(AI395&lt;&gt;'Seasonal Tercile Tally'!$B$3,AM395&lt;&gt;'Seasonal Tercile Tally'!$B$4),"Other site/ season",IF(DT395=0,"Excluded: duplicate (later row)",IF(N395&lt;&gt;1,"Excluded: not sighted",IF(AC395&lt;&gt;1,"Excluded: not confirmed",IF(AD395&lt;&gt;1,"Excluded: not approved",IF(AP395="Contested","Excluded: contested",IF(OR(U395="",U395=0),"Excluded: no tercile",IF(CB395="","Counted (simple tally only — no weight)","Counted")))))))))</f>
        <v/>
      </c>
      <c r="CF395" s="49" t="str">
        <f>IF(AH395="","",IFERROR(INDEX('Prior Multipliers'!$C$6:$C$70,MATCH(LEFT(AH395,10),'Prior Multipliers'!$A$6:$A$70,0)),IFERROR(INDEX('Prior Multipliers'!$C$6:$C$70,MATCH(LEFT(AH395,6),'Prior Multipliers'!$A$6:$A$70,0)),IFERROR(INDEX('Prior Multipliers'!$C$6:$C$70,MATCH(LEFT(AH395,2),'Prior Multipliers'!$A$6:$A$70,0)),1))))</f>
        <v/>
      </c>
      <c r="CG395" s="49" t="str">
        <f>IF(CB395="","",IF(AND('Seasonal Tercile Tally'!$B$5=1,BT395="Rating-based"),CB395*CF395,CB395))</f>
        <v/>
      </c>
      <c r="CH395" s="47">
        <f t="shared" si="156"/>
        <v>0</v>
      </c>
      <c r="CI395" s="45"/>
      <c r="CJ395" s="42" t="str">
        <f t="shared" si="157"/>
        <v/>
      </c>
      <c r="CM395" s="42" t="str">
        <f t="shared" si="158"/>
        <v/>
      </c>
      <c r="CP395" s="46" t="str">
        <f t="shared" si="159"/>
        <v/>
      </c>
      <c r="CS395" s="46" t="str">
        <f t="shared" si="160"/>
        <v/>
      </c>
      <c r="CT395" s="42" t="str">
        <f t="shared" si="161"/>
        <v/>
      </c>
      <c r="CU395" s="42" t="str">
        <f t="shared" si="162"/>
        <v/>
      </c>
      <c r="CV395" s="42" t="str">
        <f t="shared" si="163"/>
        <v/>
      </c>
      <c r="DB395" s="45"/>
      <c r="DH395" s="42" t="str">
        <f t="shared" si="164"/>
        <v/>
      </c>
      <c r="DI395" s="43" t="str">
        <f t="shared" si="165"/>
        <v/>
      </c>
      <c r="DK395" s="46" t="str">
        <f t="shared" si="166"/>
        <v/>
      </c>
      <c r="DQ395" s="42" t="str">
        <f>IF(AH395="","",IFERROR(ROUND(100*('Weighting Options'!$D$7*IF(ISNUMBER(CA395),CA395/3,0)+'Weighting Options'!$D$8*MIN(N(BL395),3)/3+'Weighting Options'!$D$9*IF(AP395="Community/Plenary-endorsed",1,IF(AP395="FGD-validated only",0.75,IF(AP395="Sub-community-specific",0.5,IF(AP395="Provisional/emerging",0.25,0))))+'Weighting Options'!$D$10*IF(ISNUMBER(K395),K395/3,0)+'Weighting Options'!$D$11*IF(CC395="",0.5,IF(CC395="OK",1,0.25))+'Weighting Options'!$D$12*IF(DK395="",0.5,IF(DK395="Agrees",1,IF(DK395="Opposite",0,0.5)))+'Weighting Options'!$D$13*MIN(N(BG395),3)/3+'Weighting Options'!$D$14*IF(AE395=1,1,0))/SUM('Weighting Options'!$D$7:$D$14),0),""))</f>
        <v/>
      </c>
      <c r="DR395" s="44" t="str">
        <f>IF(AH395="","",IFERROR(INDEX('Weighting Options'!$D$20:$D$27,VALUE(LEFT(TRIM(BU395),1))),1))</f>
        <v/>
      </c>
      <c r="DS395" s="44" t="str">
        <f t="shared" si="167"/>
        <v/>
      </c>
      <c r="DT395" s="42" t="str">
        <f>IF(AH395="","",IF(COUNTIFS($AH$12:AH395,AH395,$AI$12:AI395,AI395,$AM$12:AM395,AM395)=1,1,0))</f>
        <v/>
      </c>
    </row>
    <row r="396" spans="16:124" ht="12.75" customHeight="1" x14ac:dyDescent="0.35">
      <c r="P396" s="41"/>
      <c r="Q396" s="41"/>
      <c r="R396" s="41"/>
      <c r="S396" s="41"/>
      <c r="AH396" s="40"/>
      <c r="AP396" s="40"/>
      <c r="AS396" s="41"/>
      <c r="AT396" s="41"/>
      <c r="AW396" t="str">
        <f t="shared" ref="AW396:AW459" si="168">IF(OR(AS396="",P396=""),"",IF(AS396&lt;P396,"Early",IF(AS396&gt;IF(Q396="",P396,Q396),"Late","Within window")))</f>
        <v/>
      </c>
      <c r="AX396" t="str">
        <f t="shared" ref="AX396:AX459" si="169">IF(OR(AT396="",R396=""),"",IF(AT396&lt;R396,"Early",IF(AT396&gt;IF(S396="",R396,S396),"Late","Within window")))</f>
        <v/>
      </c>
      <c r="AY396" t="str">
        <f t="shared" ref="AY396:AY459" si="170">IF(OR(AU396="",T396="",T396=0),"",IF(AU396=T396,"Matched",IF(ABS(AU396-T396)=1,"Off by one class","Missed")))</f>
        <v/>
      </c>
      <c r="AZ396" s="40"/>
      <c r="BL396" s="47" t="str">
        <f t="shared" ref="BL396:BL459" si="171">IF(AH396="","",COUNTIFS($AH$12:$AH$500,AH396,$AC$12:$AC$500,1,$AD$12:$AD$500,1,$DT$12:$DT$500,1))</f>
        <v/>
      </c>
      <c r="BM396" s="47" t="str">
        <f t="shared" ref="BM396:BM459" si="172">IF(AH396="","",BN396+BO396+BP396)</f>
        <v/>
      </c>
      <c r="BN396" s="47" t="str">
        <f t="shared" ref="BN396:BN459" si="173">IF(AH396="","",COUNTIFS($AH$12:$AH$500,AH396,$AZ$12:$AZ$500,"Hit",$DT$12:$DT$500,1))</f>
        <v/>
      </c>
      <c r="BO396" s="47" t="str">
        <f t="shared" ref="BO396:BO459" si="174">IF(AH396="","",COUNTIFS($AH$12:$AH$500,AH396,$AZ$12:$AZ$500,"Miss",$DT$12:$DT$500,1))</f>
        <v/>
      </c>
      <c r="BP396" s="47" t="str">
        <f t="shared" ref="BP396:BP459" si="175">IF(AH396="","",COUNTIFS($AH$12:$AH$500,AH396,$AZ$12:$AZ$500,"False Start",$DT$12:$DT$500,1))</f>
        <v/>
      </c>
      <c r="BQ396" s="48" t="str">
        <f t="shared" ref="BQ396:BQ459" si="176">IF(OR(AH396="",BM396="",BM396=0),"",BN396/BM396)</f>
        <v/>
      </c>
      <c r="BR396" s="48" t="str">
        <f t="shared" ref="BR396:BR459" si="177">IF(OR(AH396="",BM396="",BM396=0),"",BO396/BM396)</f>
        <v/>
      </c>
      <c r="BS396" s="48" t="str">
        <f t="shared" ref="BS396:BS459" si="178">IF(OR(AH396="",BM396="",BM396=0),"",BP396/BM396)</f>
        <v/>
      </c>
      <c r="BT396" s="47" t="str">
        <f t="shared" ref="BT396:BT459" si="179">IF(AH396="","",IF(BM396&gt;=3,"Hit-rate-based","Rating-based"))</f>
        <v/>
      </c>
      <c r="CA396" s="47" t="str">
        <f t="shared" ref="CA396:CA459" si="180">IF(AH396="","",IF(BT396="Hit-rate-based",MIN(IF(BL396&lt;2,2,3),IF(BQ396&gt;=0.7,3,IF(BQ396&gt;=0.4,2,1))),IF(OR(M396="",M396=0),"",MIN(IF(BL396&lt;2,2,3),M396))))</f>
        <v/>
      </c>
      <c r="CB396" s="47" t="str">
        <f t="shared" ref="CB396:CB459" si="181">IF(OR(AH396="",CA396=""),"",CA396*IF(OR(V396="",V396=0),1,V396))</f>
        <v/>
      </c>
      <c r="CC396" s="47" t="str">
        <f t="shared" ref="CC396:CC459" si="182">IF(OR(AH396="",L396="",M396="",L396=0,M396=0),"",IF(ABS(L396-M396)&gt;=2,"FLAG: Review — large swing","OK"))</f>
        <v/>
      </c>
      <c r="CD396" s="47" t="str">
        <f t="shared" ref="CD396:CD459" si="183">IF(AH396="","",IF(COUNTIFS($AH$12:$AH$500,AH396,$AI$12:$AI$500,AI396,$AM$12:$AM$500,AM396)&gt;1,"DUPLICATE: same ID, site and season",IF(AND(N396=1,U396&lt;&gt;"",U396&lt;&gt;0,OR(V396="",V396=0)),"Check: decision relevance missing","OK")))</f>
        <v/>
      </c>
      <c r="CE396" s="47" t="str">
        <f>IF(AH396="","",IF(OR(AI396&lt;&gt;'Seasonal Tercile Tally'!$B$3,AM396&lt;&gt;'Seasonal Tercile Tally'!$B$4),"Other site/ season",IF(DT396=0,"Excluded: duplicate (later row)",IF(N396&lt;&gt;1,"Excluded: not sighted",IF(AC396&lt;&gt;1,"Excluded: not confirmed",IF(AD396&lt;&gt;1,"Excluded: not approved",IF(AP396="Contested","Excluded: contested",IF(OR(U396="",U396=0),"Excluded: no tercile",IF(CB396="","Counted (simple tally only — no weight)","Counted")))))))))</f>
        <v/>
      </c>
      <c r="CF396" s="49" t="str">
        <f>IF(AH396="","",IFERROR(INDEX('Prior Multipliers'!$C$6:$C$70,MATCH(LEFT(AH396,10),'Prior Multipliers'!$A$6:$A$70,0)),IFERROR(INDEX('Prior Multipliers'!$C$6:$C$70,MATCH(LEFT(AH396,6),'Prior Multipliers'!$A$6:$A$70,0)),IFERROR(INDEX('Prior Multipliers'!$C$6:$C$70,MATCH(LEFT(AH396,2),'Prior Multipliers'!$A$6:$A$70,0)),1))))</f>
        <v/>
      </c>
      <c r="CG396" s="49" t="str">
        <f>IF(CB396="","",IF(AND('Seasonal Tercile Tally'!$B$5=1,BT396="Rating-based"),CB396*CF396,CB396))</f>
        <v/>
      </c>
      <c r="CH396" s="47">
        <f t="shared" ref="CH396:CH459" si="184">IF(ISNUMBER(CG396),CG396,0)</f>
        <v>0</v>
      </c>
      <c r="CI396" s="45"/>
      <c r="CJ396" s="42" t="str">
        <f t="shared" ref="CJ396:CJ459" si="185">IF(CI396="","",MONTH(CI396))</f>
        <v/>
      </c>
      <c r="CM396" s="42" t="str">
        <f t="shared" ref="CM396:CM459" si="186">IF(OR(CJ396="",CL396=""),"",MOD(CJ396-CL396+6,12)-6)</f>
        <v/>
      </c>
      <c r="CP396" s="46" t="str">
        <f t="shared" ref="CP396:CP459" si="187">IF(AH396="","",CHOOSE(MIN(IF(CM396="",0,IF(ABS(CM396)&gt;=1,1,0))+IF(LEFT(CC396,4)="FLAG",1,0)+IF(OR(CN396="",CN396="No change",CN396="Not sure"),0,1)+IF(AND(ISNUMBER(L396),ISNUMBER(M396)),IF(AND(M396&gt;0,L396-M396&gt;=1),1,0),0)+IF(N(BM396)&gt;=3,IF(N(BQ396)&lt;0.4,1,0),0),2)+1,"No change signal","Watch: one change signal","STRONG: possible climate-change impact — review"))</f>
        <v/>
      </c>
      <c r="CS396" s="46" t="str">
        <f t="shared" ref="CS396:CS459" si="188">IF(CR396="","",IF(CR396&gt;=35,3,IF(CR396&gt;=20,2,1)))</f>
        <v/>
      </c>
      <c r="CT396" s="42" t="str">
        <f t="shared" ref="CT396:CT459" si="189">IF(OR(CS396="",CQ396="",CQ396=0),"",IF(CQ396=CS396,"Matched",IF(ABS(CQ396-CS396)=1,"Off by one class","Missed")))</f>
        <v/>
      </c>
      <c r="CU396" s="42" t="str">
        <f t="shared" ref="CU396:CU459" si="190">IF(OR(CI396="",P396=""),"",IF(P396-CI396&lt;0,"",P396-CI396))</f>
        <v/>
      </c>
      <c r="CV396" s="42" t="str">
        <f t="shared" ref="CV396:CV459" si="191">IF(CU396="","",IF(CU396&gt;=60,"Strategic (season)",IF(CU396&gt;=7,"Tactical (1 week–2 months)",IF(CU396&gt;=3,"Operational (3–6 days)","Emergency (0–2 days)"))))</f>
        <v/>
      </c>
      <c r="DB396" s="45"/>
      <c r="DH396" s="42" t="str">
        <f t="shared" ref="DH396:DH459" si="192">IF(OR(DB396="",P396=""),"",P396-DB396)</f>
        <v/>
      </c>
      <c r="DI396" s="43" t="str">
        <f t="shared" ref="DI396:DI459" si="193">IF(OR(DD396="",DE396=""),"",IF(DD396=0,"",DE396/DD396))</f>
        <v/>
      </c>
      <c r="DK396" s="46" t="str">
        <f t="shared" ref="DK396:DK459" si="194">IF(OR(DJ396="",U396="",U396=0),"",IF(U396=DJ396,"Agrees",IF(ABS(U396-DJ396)=1,"Differs by one class","Opposite")))</f>
        <v/>
      </c>
      <c r="DQ396" s="42" t="str">
        <f>IF(AH396="","",IFERROR(ROUND(100*('Weighting Options'!$D$7*IF(ISNUMBER(CA396),CA396/3,0)+'Weighting Options'!$D$8*MIN(N(BL396),3)/3+'Weighting Options'!$D$9*IF(AP396="Community/Plenary-endorsed",1,IF(AP396="FGD-validated only",0.75,IF(AP396="Sub-community-specific",0.5,IF(AP396="Provisional/emerging",0.25,0))))+'Weighting Options'!$D$10*IF(ISNUMBER(K396),K396/3,0)+'Weighting Options'!$D$11*IF(CC396="",0.5,IF(CC396="OK",1,0.25))+'Weighting Options'!$D$12*IF(DK396="",0.5,IF(DK396="Agrees",1,IF(DK396="Opposite",0,0.5)))+'Weighting Options'!$D$13*MIN(N(BG396),3)/3+'Weighting Options'!$D$14*IF(AE396=1,1,0))/SUM('Weighting Options'!$D$7:$D$14),0),""))</f>
        <v/>
      </c>
      <c r="DR396" s="44" t="str">
        <f>IF(AH396="","",IFERROR(INDEX('Weighting Options'!$D$20:$D$27,VALUE(LEFT(TRIM(BU396),1))),1))</f>
        <v/>
      </c>
      <c r="DS396" s="44" t="str">
        <f t="shared" ref="DS396:DS459" si="195">IF(OR(CG396="",DR396=""),"",CG396*DR396)</f>
        <v/>
      </c>
      <c r="DT396" s="42" t="str">
        <f>IF(AH396="","",IF(COUNTIFS($AH$12:AH396,AH396,$AI$12:AI396,AI396,$AM$12:AM396,AM396)=1,1,0))</f>
        <v/>
      </c>
    </row>
    <row r="397" spans="16:124" ht="12.75" customHeight="1" x14ac:dyDescent="0.35">
      <c r="P397" s="41"/>
      <c r="Q397" s="41"/>
      <c r="R397" s="41"/>
      <c r="S397" s="41"/>
      <c r="AH397" s="40"/>
      <c r="AP397" s="40"/>
      <c r="AS397" s="41"/>
      <c r="AT397" s="41"/>
      <c r="AW397" t="str">
        <f t="shared" si="168"/>
        <v/>
      </c>
      <c r="AX397" t="str">
        <f t="shared" si="169"/>
        <v/>
      </c>
      <c r="AY397" t="str">
        <f t="shared" si="170"/>
        <v/>
      </c>
      <c r="AZ397" s="40"/>
      <c r="BL397" s="47" t="str">
        <f t="shared" si="171"/>
        <v/>
      </c>
      <c r="BM397" s="47" t="str">
        <f t="shared" si="172"/>
        <v/>
      </c>
      <c r="BN397" s="47" t="str">
        <f t="shared" si="173"/>
        <v/>
      </c>
      <c r="BO397" s="47" t="str">
        <f t="shared" si="174"/>
        <v/>
      </c>
      <c r="BP397" s="47" t="str">
        <f t="shared" si="175"/>
        <v/>
      </c>
      <c r="BQ397" s="48" t="str">
        <f t="shared" si="176"/>
        <v/>
      </c>
      <c r="BR397" s="48" t="str">
        <f t="shared" si="177"/>
        <v/>
      </c>
      <c r="BS397" s="48" t="str">
        <f t="shared" si="178"/>
        <v/>
      </c>
      <c r="BT397" s="47" t="str">
        <f t="shared" si="179"/>
        <v/>
      </c>
      <c r="CA397" s="47" t="str">
        <f t="shared" si="180"/>
        <v/>
      </c>
      <c r="CB397" s="47" t="str">
        <f t="shared" si="181"/>
        <v/>
      </c>
      <c r="CC397" s="47" t="str">
        <f t="shared" si="182"/>
        <v/>
      </c>
      <c r="CD397" s="47" t="str">
        <f t="shared" si="183"/>
        <v/>
      </c>
      <c r="CE397" s="47" t="str">
        <f>IF(AH397="","",IF(OR(AI397&lt;&gt;'Seasonal Tercile Tally'!$B$3,AM397&lt;&gt;'Seasonal Tercile Tally'!$B$4),"Other site/ season",IF(DT397=0,"Excluded: duplicate (later row)",IF(N397&lt;&gt;1,"Excluded: not sighted",IF(AC397&lt;&gt;1,"Excluded: not confirmed",IF(AD397&lt;&gt;1,"Excluded: not approved",IF(AP397="Contested","Excluded: contested",IF(OR(U397="",U397=0),"Excluded: no tercile",IF(CB397="","Counted (simple tally only — no weight)","Counted")))))))))</f>
        <v/>
      </c>
      <c r="CF397" s="49" t="str">
        <f>IF(AH397="","",IFERROR(INDEX('Prior Multipliers'!$C$6:$C$70,MATCH(LEFT(AH397,10),'Prior Multipliers'!$A$6:$A$70,0)),IFERROR(INDEX('Prior Multipliers'!$C$6:$C$70,MATCH(LEFT(AH397,6),'Prior Multipliers'!$A$6:$A$70,0)),IFERROR(INDEX('Prior Multipliers'!$C$6:$C$70,MATCH(LEFT(AH397,2),'Prior Multipliers'!$A$6:$A$70,0)),1))))</f>
        <v/>
      </c>
      <c r="CG397" s="49" t="str">
        <f>IF(CB397="","",IF(AND('Seasonal Tercile Tally'!$B$5=1,BT397="Rating-based"),CB397*CF397,CB397))</f>
        <v/>
      </c>
      <c r="CH397" s="47">
        <f t="shared" si="184"/>
        <v>0</v>
      </c>
      <c r="CI397" s="45"/>
      <c r="CJ397" s="42" t="str">
        <f t="shared" si="185"/>
        <v/>
      </c>
      <c r="CM397" s="42" t="str">
        <f t="shared" si="186"/>
        <v/>
      </c>
      <c r="CP397" s="46" t="str">
        <f t="shared" si="187"/>
        <v/>
      </c>
      <c r="CS397" s="46" t="str">
        <f t="shared" si="188"/>
        <v/>
      </c>
      <c r="CT397" s="42" t="str">
        <f t="shared" si="189"/>
        <v/>
      </c>
      <c r="CU397" s="42" t="str">
        <f t="shared" si="190"/>
        <v/>
      </c>
      <c r="CV397" s="42" t="str">
        <f t="shared" si="191"/>
        <v/>
      </c>
      <c r="DB397" s="45"/>
      <c r="DH397" s="42" t="str">
        <f t="shared" si="192"/>
        <v/>
      </c>
      <c r="DI397" s="43" t="str">
        <f t="shared" si="193"/>
        <v/>
      </c>
      <c r="DK397" s="46" t="str">
        <f t="shared" si="194"/>
        <v/>
      </c>
      <c r="DQ397" s="42" t="str">
        <f>IF(AH397="","",IFERROR(ROUND(100*('Weighting Options'!$D$7*IF(ISNUMBER(CA397),CA397/3,0)+'Weighting Options'!$D$8*MIN(N(BL397),3)/3+'Weighting Options'!$D$9*IF(AP397="Community/Plenary-endorsed",1,IF(AP397="FGD-validated only",0.75,IF(AP397="Sub-community-specific",0.5,IF(AP397="Provisional/emerging",0.25,0))))+'Weighting Options'!$D$10*IF(ISNUMBER(K397),K397/3,0)+'Weighting Options'!$D$11*IF(CC397="",0.5,IF(CC397="OK",1,0.25))+'Weighting Options'!$D$12*IF(DK397="",0.5,IF(DK397="Agrees",1,IF(DK397="Opposite",0,0.5)))+'Weighting Options'!$D$13*MIN(N(BG397),3)/3+'Weighting Options'!$D$14*IF(AE397=1,1,0))/SUM('Weighting Options'!$D$7:$D$14),0),""))</f>
        <v/>
      </c>
      <c r="DR397" s="44" t="str">
        <f>IF(AH397="","",IFERROR(INDEX('Weighting Options'!$D$20:$D$27,VALUE(LEFT(TRIM(BU397),1))),1))</f>
        <v/>
      </c>
      <c r="DS397" s="44" t="str">
        <f t="shared" si="195"/>
        <v/>
      </c>
      <c r="DT397" s="42" t="str">
        <f>IF(AH397="","",IF(COUNTIFS($AH$12:AH397,AH397,$AI$12:AI397,AI397,$AM$12:AM397,AM397)=1,1,0))</f>
        <v/>
      </c>
    </row>
    <row r="398" spans="16:124" ht="12.75" customHeight="1" x14ac:dyDescent="0.35">
      <c r="P398" s="41"/>
      <c r="Q398" s="41"/>
      <c r="R398" s="41"/>
      <c r="S398" s="41"/>
      <c r="AH398" s="40"/>
      <c r="AP398" s="40"/>
      <c r="AS398" s="41"/>
      <c r="AT398" s="41"/>
      <c r="AW398" t="str">
        <f t="shared" si="168"/>
        <v/>
      </c>
      <c r="AX398" t="str">
        <f t="shared" si="169"/>
        <v/>
      </c>
      <c r="AY398" t="str">
        <f t="shared" si="170"/>
        <v/>
      </c>
      <c r="AZ398" s="40"/>
      <c r="BL398" s="47" t="str">
        <f t="shared" si="171"/>
        <v/>
      </c>
      <c r="BM398" s="47" t="str">
        <f t="shared" si="172"/>
        <v/>
      </c>
      <c r="BN398" s="47" t="str">
        <f t="shared" si="173"/>
        <v/>
      </c>
      <c r="BO398" s="47" t="str">
        <f t="shared" si="174"/>
        <v/>
      </c>
      <c r="BP398" s="47" t="str">
        <f t="shared" si="175"/>
        <v/>
      </c>
      <c r="BQ398" s="48" t="str">
        <f t="shared" si="176"/>
        <v/>
      </c>
      <c r="BR398" s="48" t="str">
        <f t="shared" si="177"/>
        <v/>
      </c>
      <c r="BS398" s="48" t="str">
        <f t="shared" si="178"/>
        <v/>
      </c>
      <c r="BT398" s="47" t="str">
        <f t="shared" si="179"/>
        <v/>
      </c>
      <c r="CA398" s="47" t="str">
        <f t="shared" si="180"/>
        <v/>
      </c>
      <c r="CB398" s="47" t="str">
        <f t="shared" si="181"/>
        <v/>
      </c>
      <c r="CC398" s="47" t="str">
        <f t="shared" si="182"/>
        <v/>
      </c>
      <c r="CD398" s="47" t="str">
        <f t="shared" si="183"/>
        <v/>
      </c>
      <c r="CE398" s="47" t="str">
        <f>IF(AH398="","",IF(OR(AI398&lt;&gt;'Seasonal Tercile Tally'!$B$3,AM398&lt;&gt;'Seasonal Tercile Tally'!$B$4),"Other site/ season",IF(DT398=0,"Excluded: duplicate (later row)",IF(N398&lt;&gt;1,"Excluded: not sighted",IF(AC398&lt;&gt;1,"Excluded: not confirmed",IF(AD398&lt;&gt;1,"Excluded: not approved",IF(AP398="Contested","Excluded: contested",IF(OR(U398="",U398=0),"Excluded: no tercile",IF(CB398="","Counted (simple tally only — no weight)","Counted")))))))))</f>
        <v/>
      </c>
      <c r="CF398" s="49" t="str">
        <f>IF(AH398="","",IFERROR(INDEX('Prior Multipliers'!$C$6:$C$70,MATCH(LEFT(AH398,10),'Prior Multipliers'!$A$6:$A$70,0)),IFERROR(INDEX('Prior Multipliers'!$C$6:$C$70,MATCH(LEFT(AH398,6),'Prior Multipliers'!$A$6:$A$70,0)),IFERROR(INDEX('Prior Multipliers'!$C$6:$C$70,MATCH(LEFT(AH398,2),'Prior Multipliers'!$A$6:$A$70,0)),1))))</f>
        <v/>
      </c>
      <c r="CG398" s="49" t="str">
        <f>IF(CB398="","",IF(AND('Seasonal Tercile Tally'!$B$5=1,BT398="Rating-based"),CB398*CF398,CB398))</f>
        <v/>
      </c>
      <c r="CH398" s="47">
        <f t="shared" si="184"/>
        <v>0</v>
      </c>
      <c r="CI398" s="45"/>
      <c r="CJ398" s="42" t="str">
        <f t="shared" si="185"/>
        <v/>
      </c>
      <c r="CM398" s="42" t="str">
        <f t="shared" si="186"/>
        <v/>
      </c>
      <c r="CP398" s="46" t="str">
        <f t="shared" si="187"/>
        <v/>
      </c>
      <c r="CS398" s="46" t="str">
        <f t="shared" si="188"/>
        <v/>
      </c>
      <c r="CT398" s="42" t="str">
        <f t="shared" si="189"/>
        <v/>
      </c>
      <c r="CU398" s="42" t="str">
        <f t="shared" si="190"/>
        <v/>
      </c>
      <c r="CV398" s="42" t="str">
        <f t="shared" si="191"/>
        <v/>
      </c>
      <c r="DB398" s="45"/>
      <c r="DH398" s="42" t="str">
        <f t="shared" si="192"/>
        <v/>
      </c>
      <c r="DI398" s="43" t="str">
        <f t="shared" si="193"/>
        <v/>
      </c>
      <c r="DK398" s="46" t="str">
        <f t="shared" si="194"/>
        <v/>
      </c>
      <c r="DQ398" s="42" t="str">
        <f>IF(AH398="","",IFERROR(ROUND(100*('Weighting Options'!$D$7*IF(ISNUMBER(CA398),CA398/3,0)+'Weighting Options'!$D$8*MIN(N(BL398),3)/3+'Weighting Options'!$D$9*IF(AP398="Community/Plenary-endorsed",1,IF(AP398="FGD-validated only",0.75,IF(AP398="Sub-community-specific",0.5,IF(AP398="Provisional/emerging",0.25,0))))+'Weighting Options'!$D$10*IF(ISNUMBER(K398),K398/3,0)+'Weighting Options'!$D$11*IF(CC398="",0.5,IF(CC398="OK",1,0.25))+'Weighting Options'!$D$12*IF(DK398="",0.5,IF(DK398="Agrees",1,IF(DK398="Opposite",0,0.5)))+'Weighting Options'!$D$13*MIN(N(BG398),3)/3+'Weighting Options'!$D$14*IF(AE398=1,1,0))/SUM('Weighting Options'!$D$7:$D$14),0),""))</f>
        <v/>
      </c>
      <c r="DR398" s="44" t="str">
        <f>IF(AH398="","",IFERROR(INDEX('Weighting Options'!$D$20:$D$27,VALUE(LEFT(TRIM(BU398),1))),1))</f>
        <v/>
      </c>
      <c r="DS398" s="44" t="str">
        <f t="shared" si="195"/>
        <v/>
      </c>
      <c r="DT398" s="42" t="str">
        <f>IF(AH398="","",IF(COUNTIFS($AH$12:AH398,AH398,$AI$12:AI398,AI398,$AM$12:AM398,AM398)=1,1,0))</f>
        <v/>
      </c>
    </row>
    <row r="399" spans="16:124" ht="12.75" customHeight="1" x14ac:dyDescent="0.35">
      <c r="P399" s="41"/>
      <c r="Q399" s="41"/>
      <c r="R399" s="41"/>
      <c r="S399" s="41"/>
      <c r="AH399" s="40"/>
      <c r="AP399" s="40"/>
      <c r="AS399" s="41"/>
      <c r="AT399" s="41"/>
      <c r="AW399" t="str">
        <f t="shared" si="168"/>
        <v/>
      </c>
      <c r="AX399" t="str">
        <f t="shared" si="169"/>
        <v/>
      </c>
      <c r="AY399" t="str">
        <f t="shared" si="170"/>
        <v/>
      </c>
      <c r="AZ399" s="40"/>
      <c r="BL399" s="47" t="str">
        <f t="shared" si="171"/>
        <v/>
      </c>
      <c r="BM399" s="47" t="str">
        <f t="shared" si="172"/>
        <v/>
      </c>
      <c r="BN399" s="47" t="str">
        <f t="shared" si="173"/>
        <v/>
      </c>
      <c r="BO399" s="47" t="str">
        <f t="shared" si="174"/>
        <v/>
      </c>
      <c r="BP399" s="47" t="str">
        <f t="shared" si="175"/>
        <v/>
      </c>
      <c r="BQ399" s="48" t="str">
        <f t="shared" si="176"/>
        <v/>
      </c>
      <c r="BR399" s="48" t="str">
        <f t="shared" si="177"/>
        <v/>
      </c>
      <c r="BS399" s="48" t="str">
        <f t="shared" si="178"/>
        <v/>
      </c>
      <c r="BT399" s="47" t="str">
        <f t="shared" si="179"/>
        <v/>
      </c>
      <c r="CA399" s="47" t="str">
        <f t="shared" si="180"/>
        <v/>
      </c>
      <c r="CB399" s="47" t="str">
        <f t="shared" si="181"/>
        <v/>
      </c>
      <c r="CC399" s="47" t="str">
        <f t="shared" si="182"/>
        <v/>
      </c>
      <c r="CD399" s="47" t="str">
        <f t="shared" si="183"/>
        <v/>
      </c>
      <c r="CE399" s="47" t="str">
        <f>IF(AH399="","",IF(OR(AI399&lt;&gt;'Seasonal Tercile Tally'!$B$3,AM399&lt;&gt;'Seasonal Tercile Tally'!$B$4),"Other site/ season",IF(DT399=0,"Excluded: duplicate (later row)",IF(N399&lt;&gt;1,"Excluded: not sighted",IF(AC399&lt;&gt;1,"Excluded: not confirmed",IF(AD399&lt;&gt;1,"Excluded: not approved",IF(AP399="Contested","Excluded: contested",IF(OR(U399="",U399=0),"Excluded: no tercile",IF(CB399="","Counted (simple tally only — no weight)","Counted")))))))))</f>
        <v/>
      </c>
      <c r="CF399" s="49" t="str">
        <f>IF(AH399="","",IFERROR(INDEX('Prior Multipliers'!$C$6:$C$70,MATCH(LEFT(AH399,10),'Prior Multipliers'!$A$6:$A$70,0)),IFERROR(INDEX('Prior Multipliers'!$C$6:$C$70,MATCH(LEFT(AH399,6),'Prior Multipliers'!$A$6:$A$70,0)),IFERROR(INDEX('Prior Multipliers'!$C$6:$C$70,MATCH(LEFT(AH399,2),'Prior Multipliers'!$A$6:$A$70,0)),1))))</f>
        <v/>
      </c>
      <c r="CG399" s="49" t="str">
        <f>IF(CB399="","",IF(AND('Seasonal Tercile Tally'!$B$5=1,BT399="Rating-based"),CB399*CF399,CB399))</f>
        <v/>
      </c>
      <c r="CH399" s="47">
        <f t="shared" si="184"/>
        <v>0</v>
      </c>
      <c r="CI399" s="45"/>
      <c r="CJ399" s="42" t="str">
        <f t="shared" si="185"/>
        <v/>
      </c>
      <c r="CM399" s="42" t="str">
        <f t="shared" si="186"/>
        <v/>
      </c>
      <c r="CP399" s="46" t="str">
        <f t="shared" si="187"/>
        <v/>
      </c>
      <c r="CS399" s="46" t="str">
        <f t="shared" si="188"/>
        <v/>
      </c>
      <c r="CT399" s="42" t="str">
        <f t="shared" si="189"/>
        <v/>
      </c>
      <c r="CU399" s="42" t="str">
        <f t="shared" si="190"/>
        <v/>
      </c>
      <c r="CV399" s="42" t="str">
        <f t="shared" si="191"/>
        <v/>
      </c>
      <c r="DB399" s="45"/>
      <c r="DH399" s="42" t="str">
        <f t="shared" si="192"/>
        <v/>
      </c>
      <c r="DI399" s="43" t="str">
        <f t="shared" si="193"/>
        <v/>
      </c>
      <c r="DK399" s="46" t="str">
        <f t="shared" si="194"/>
        <v/>
      </c>
      <c r="DQ399" s="42" t="str">
        <f>IF(AH399="","",IFERROR(ROUND(100*('Weighting Options'!$D$7*IF(ISNUMBER(CA399),CA399/3,0)+'Weighting Options'!$D$8*MIN(N(BL399),3)/3+'Weighting Options'!$D$9*IF(AP399="Community/Plenary-endorsed",1,IF(AP399="FGD-validated only",0.75,IF(AP399="Sub-community-specific",0.5,IF(AP399="Provisional/emerging",0.25,0))))+'Weighting Options'!$D$10*IF(ISNUMBER(K399),K399/3,0)+'Weighting Options'!$D$11*IF(CC399="",0.5,IF(CC399="OK",1,0.25))+'Weighting Options'!$D$12*IF(DK399="",0.5,IF(DK399="Agrees",1,IF(DK399="Opposite",0,0.5)))+'Weighting Options'!$D$13*MIN(N(BG399),3)/3+'Weighting Options'!$D$14*IF(AE399=1,1,0))/SUM('Weighting Options'!$D$7:$D$14),0),""))</f>
        <v/>
      </c>
      <c r="DR399" s="44" t="str">
        <f>IF(AH399="","",IFERROR(INDEX('Weighting Options'!$D$20:$D$27,VALUE(LEFT(TRIM(BU399),1))),1))</f>
        <v/>
      </c>
      <c r="DS399" s="44" t="str">
        <f t="shared" si="195"/>
        <v/>
      </c>
      <c r="DT399" s="42" t="str">
        <f>IF(AH399="","",IF(COUNTIFS($AH$12:AH399,AH399,$AI$12:AI399,AI399,$AM$12:AM399,AM399)=1,1,0))</f>
        <v/>
      </c>
    </row>
    <row r="400" spans="16:124" ht="12.75" customHeight="1" x14ac:dyDescent="0.35">
      <c r="P400" s="41"/>
      <c r="Q400" s="41"/>
      <c r="R400" s="41"/>
      <c r="S400" s="41"/>
      <c r="AH400" s="40"/>
      <c r="AP400" s="40"/>
      <c r="AS400" s="41"/>
      <c r="AT400" s="41"/>
      <c r="AW400" t="str">
        <f t="shared" si="168"/>
        <v/>
      </c>
      <c r="AX400" t="str">
        <f t="shared" si="169"/>
        <v/>
      </c>
      <c r="AY400" t="str">
        <f t="shared" si="170"/>
        <v/>
      </c>
      <c r="AZ400" s="40"/>
      <c r="BL400" s="47" t="str">
        <f t="shared" si="171"/>
        <v/>
      </c>
      <c r="BM400" s="47" t="str">
        <f t="shared" si="172"/>
        <v/>
      </c>
      <c r="BN400" s="47" t="str">
        <f t="shared" si="173"/>
        <v/>
      </c>
      <c r="BO400" s="47" t="str">
        <f t="shared" si="174"/>
        <v/>
      </c>
      <c r="BP400" s="47" t="str">
        <f t="shared" si="175"/>
        <v/>
      </c>
      <c r="BQ400" s="48" t="str">
        <f t="shared" si="176"/>
        <v/>
      </c>
      <c r="BR400" s="48" t="str">
        <f t="shared" si="177"/>
        <v/>
      </c>
      <c r="BS400" s="48" t="str">
        <f t="shared" si="178"/>
        <v/>
      </c>
      <c r="BT400" s="47" t="str">
        <f t="shared" si="179"/>
        <v/>
      </c>
      <c r="CA400" s="47" t="str">
        <f t="shared" si="180"/>
        <v/>
      </c>
      <c r="CB400" s="47" t="str">
        <f t="shared" si="181"/>
        <v/>
      </c>
      <c r="CC400" s="47" t="str">
        <f t="shared" si="182"/>
        <v/>
      </c>
      <c r="CD400" s="47" t="str">
        <f t="shared" si="183"/>
        <v/>
      </c>
      <c r="CE400" s="47" t="str">
        <f>IF(AH400="","",IF(OR(AI400&lt;&gt;'Seasonal Tercile Tally'!$B$3,AM400&lt;&gt;'Seasonal Tercile Tally'!$B$4),"Other site/ season",IF(DT400=0,"Excluded: duplicate (later row)",IF(N400&lt;&gt;1,"Excluded: not sighted",IF(AC400&lt;&gt;1,"Excluded: not confirmed",IF(AD400&lt;&gt;1,"Excluded: not approved",IF(AP400="Contested","Excluded: contested",IF(OR(U400="",U400=0),"Excluded: no tercile",IF(CB400="","Counted (simple tally only — no weight)","Counted")))))))))</f>
        <v/>
      </c>
      <c r="CF400" s="49" t="str">
        <f>IF(AH400="","",IFERROR(INDEX('Prior Multipliers'!$C$6:$C$70,MATCH(LEFT(AH400,10),'Prior Multipliers'!$A$6:$A$70,0)),IFERROR(INDEX('Prior Multipliers'!$C$6:$C$70,MATCH(LEFT(AH400,6),'Prior Multipliers'!$A$6:$A$70,0)),IFERROR(INDEX('Prior Multipliers'!$C$6:$C$70,MATCH(LEFT(AH400,2),'Prior Multipliers'!$A$6:$A$70,0)),1))))</f>
        <v/>
      </c>
      <c r="CG400" s="49" t="str">
        <f>IF(CB400="","",IF(AND('Seasonal Tercile Tally'!$B$5=1,BT400="Rating-based"),CB400*CF400,CB400))</f>
        <v/>
      </c>
      <c r="CH400" s="47">
        <f t="shared" si="184"/>
        <v>0</v>
      </c>
      <c r="CI400" s="45"/>
      <c r="CJ400" s="42" t="str">
        <f t="shared" si="185"/>
        <v/>
      </c>
      <c r="CM400" s="42" t="str">
        <f t="shared" si="186"/>
        <v/>
      </c>
      <c r="CP400" s="46" t="str">
        <f t="shared" si="187"/>
        <v/>
      </c>
      <c r="CS400" s="46" t="str">
        <f t="shared" si="188"/>
        <v/>
      </c>
      <c r="CT400" s="42" t="str">
        <f t="shared" si="189"/>
        <v/>
      </c>
      <c r="CU400" s="42" t="str">
        <f t="shared" si="190"/>
        <v/>
      </c>
      <c r="CV400" s="42" t="str">
        <f t="shared" si="191"/>
        <v/>
      </c>
      <c r="DB400" s="45"/>
      <c r="DH400" s="42" t="str">
        <f t="shared" si="192"/>
        <v/>
      </c>
      <c r="DI400" s="43" t="str">
        <f t="shared" si="193"/>
        <v/>
      </c>
      <c r="DK400" s="46" t="str">
        <f t="shared" si="194"/>
        <v/>
      </c>
      <c r="DQ400" s="42" t="str">
        <f>IF(AH400="","",IFERROR(ROUND(100*('Weighting Options'!$D$7*IF(ISNUMBER(CA400),CA400/3,0)+'Weighting Options'!$D$8*MIN(N(BL400),3)/3+'Weighting Options'!$D$9*IF(AP400="Community/Plenary-endorsed",1,IF(AP400="FGD-validated only",0.75,IF(AP400="Sub-community-specific",0.5,IF(AP400="Provisional/emerging",0.25,0))))+'Weighting Options'!$D$10*IF(ISNUMBER(K400),K400/3,0)+'Weighting Options'!$D$11*IF(CC400="",0.5,IF(CC400="OK",1,0.25))+'Weighting Options'!$D$12*IF(DK400="",0.5,IF(DK400="Agrees",1,IF(DK400="Opposite",0,0.5)))+'Weighting Options'!$D$13*MIN(N(BG400),3)/3+'Weighting Options'!$D$14*IF(AE400=1,1,0))/SUM('Weighting Options'!$D$7:$D$14),0),""))</f>
        <v/>
      </c>
      <c r="DR400" s="44" t="str">
        <f>IF(AH400="","",IFERROR(INDEX('Weighting Options'!$D$20:$D$27,VALUE(LEFT(TRIM(BU400),1))),1))</f>
        <v/>
      </c>
      <c r="DS400" s="44" t="str">
        <f t="shared" si="195"/>
        <v/>
      </c>
      <c r="DT400" s="42" t="str">
        <f>IF(AH400="","",IF(COUNTIFS($AH$12:AH400,AH400,$AI$12:AI400,AI400,$AM$12:AM400,AM400)=1,1,0))</f>
        <v/>
      </c>
    </row>
    <row r="401" spans="16:124" ht="12.75" customHeight="1" x14ac:dyDescent="0.35">
      <c r="P401" s="41"/>
      <c r="Q401" s="41"/>
      <c r="R401" s="41"/>
      <c r="S401" s="41"/>
      <c r="AH401" s="40"/>
      <c r="AP401" s="40"/>
      <c r="AS401" s="41"/>
      <c r="AT401" s="41"/>
      <c r="AW401" t="str">
        <f t="shared" si="168"/>
        <v/>
      </c>
      <c r="AX401" t="str">
        <f t="shared" si="169"/>
        <v/>
      </c>
      <c r="AY401" t="str">
        <f t="shared" si="170"/>
        <v/>
      </c>
      <c r="AZ401" s="40"/>
      <c r="BL401" s="47" t="str">
        <f t="shared" si="171"/>
        <v/>
      </c>
      <c r="BM401" s="47" t="str">
        <f t="shared" si="172"/>
        <v/>
      </c>
      <c r="BN401" s="47" t="str">
        <f t="shared" si="173"/>
        <v/>
      </c>
      <c r="BO401" s="47" t="str">
        <f t="shared" si="174"/>
        <v/>
      </c>
      <c r="BP401" s="47" t="str">
        <f t="shared" si="175"/>
        <v/>
      </c>
      <c r="BQ401" s="48" t="str">
        <f t="shared" si="176"/>
        <v/>
      </c>
      <c r="BR401" s="48" t="str">
        <f t="shared" si="177"/>
        <v/>
      </c>
      <c r="BS401" s="48" t="str">
        <f t="shared" si="178"/>
        <v/>
      </c>
      <c r="BT401" s="47" t="str">
        <f t="shared" si="179"/>
        <v/>
      </c>
      <c r="CA401" s="47" t="str">
        <f t="shared" si="180"/>
        <v/>
      </c>
      <c r="CB401" s="47" t="str">
        <f t="shared" si="181"/>
        <v/>
      </c>
      <c r="CC401" s="47" t="str">
        <f t="shared" si="182"/>
        <v/>
      </c>
      <c r="CD401" s="47" t="str">
        <f t="shared" si="183"/>
        <v/>
      </c>
      <c r="CE401" s="47" t="str">
        <f>IF(AH401="","",IF(OR(AI401&lt;&gt;'Seasonal Tercile Tally'!$B$3,AM401&lt;&gt;'Seasonal Tercile Tally'!$B$4),"Other site/ season",IF(DT401=0,"Excluded: duplicate (later row)",IF(N401&lt;&gt;1,"Excluded: not sighted",IF(AC401&lt;&gt;1,"Excluded: not confirmed",IF(AD401&lt;&gt;1,"Excluded: not approved",IF(AP401="Contested","Excluded: contested",IF(OR(U401="",U401=0),"Excluded: no tercile",IF(CB401="","Counted (simple tally only — no weight)","Counted")))))))))</f>
        <v/>
      </c>
      <c r="CF401" s="49" t="str">
        <f>IF(AH401="","",IFERROR(INDEX('Prior Multipliers'!$C$6:$C$70,MATCH(LEFT(AH401,10),'Prior Multipliers'!$A$6:$A$70,0)),IFERROR(INDEX('Prior Multipliers'!$C$6:$C$70,MATCH(LEFT(AH401,6),'Prior Multipliers'!$A$6:$A$70,0)),IFERROR(INDEX('Prior Multipliers'!$C$6:$C$70,MATCH(LEFT(AH401,2),'Prior Multipliers'!$A$6:$A$70,0)),1))))</f>
        <v/>
      </c>
      <c r="CG401" s="49" t="str">
        <f>IF(CB401="","",IF(AND('Seasonal Tercile Tally'!$B$5=1,BT401="Rating-based"),CB401*CF401,CB401))</f>
        <v/>
      </c>
      <c r="CH401" s="47">
        <f t="shared" si="184"/>
        <v>0</v>
      </c>
      <c r="CI401" s="45"/>
      <c r="CJ401" s="42" t="str">
        <f t="shared" si="185"/>
        <v/>
      </c>
      <c r="CM401" s="42" t="str">
        <f t="shared" si="186"/>
        <v/>
      </c>
      <c r="CP401" s="46" t="str">
        <f t="shared" si="187"/>
        <v/>
      </c>
      <c r="CS401" s="46" t="str">
        <f t="shared" si="188"/>
        <v/>
      </c>
      <c r="CT401" s="42" t="str">
        <f t="shared" si="189"/>
        <v/>
      </c>
      <c r="CU401" s="42" t="str">
        <f t="shared" si="190"/>
        <v/>
      </c>
      <c r="CV401" s="42" t="str">
        <f t="shared" si="191"/>
        <v/>
      </c>
      <c r="DB401" s="45"/>
      <c r="DH401" s="42" t="str">
        <f t="shared" si="192"/>
        <v/>
      </c>
      <c r="DI401" s="43" t="str">
        <f t="shared" si="193"/>
        <v/>
      </c>
      <c r="DK401" s="46" t="str">
        <f t="shared" si="194"/>
        <v/>
      </c>
      <c r="DQ401" s="42" t="str">
        <f>IF(AH401="","",IFERROR(ROUND(100*('Weighting Options'!$D$7*IF(ISNUMBER(CA401),CA401/3,0)+'Weighting Options'!$D$8*MIN(N(BL401),3)/3+'Weighting Options'!$D$9*IF(AP401="Community/Plenary-endorsed",1,IF(AP401="FGD-validated only",0.75,IF(AP401="Sub-community-specific",0.5,IF(AP401="Provisional/emerging",0.25,0))))+'Weighting Options'!$D$10*IF(ISNUMBER(K401),K401/3,0)+'Weighting Options'!$D$11*IF(CC401="",0.5,IF(CC401="OK",1,0.25))+'Weighting Options'!$D$12*IF(DK401="",0.5,IF(DK401="Agrees",1,IF(DK401="Opposite",0,0.5)))+'Weighting Options'!$D$13*MIN(N(BG401),3)/3+'Weighting Options'!$D$14*IF(AE401=1,1,0))/SUM('Weighting Options'!$D$7:$D$14),0),""))</f>
        <v/>
      </c>
      <c r="DR401" s="44" t="str">
        <f>IF(AH401="","",IFERROR(INDEX('Weighting Options'!$D$20:$D$27,VALUE(LEFT(TRIM(BU401),1))),1))</f>
        <v/>
      </c>
      <c r="DS401" s="44" t="str">
        <f t="shared" si="195"/>
        <v/>
      </c>
      <c r="DT401" s="42" t="str">
        <f>IF(AH401="","",IF(COUNTIFS($AH$12:AH401,AH401,$AI$12:AI401,AI401,$AM$12:AM401,AM401)=1,1,0))</f>
        <v/>
      </c>
    </row>
    <row r="402" spans="16:124" ht="12.75" customHeight="1" x14ac:dyDescent="0.35">
      <c r="P402" s="41"/>
      <c r="Q402" s="41"/>
      <c r="R402" s="41"/>
      <c r="S402" s="41"/>
      <c r="AH402" s="40"/>
      <c r="AP402" s="40"/>
      <c r="AS402" s="41"/>
      <c r="AT402" s="41"/>
      <c r="AW402" t="str">
        <f t="shared" si="168"/>
        <v/>
      </c>
      <c r="AX402" t="str">
        <f t="shared" si="169"/>
        <v/>
      </c>
      <c r="AY402" t="str">
        <f t="shared" si="170"/>
        <v/>
      </c>
      <c r="AZ402" s="40"/>
      <c r="BL402" s="47" t="str">
        <f t="shared" si="171"/>
        <v/>
      </c>
      <c r="BM402" s="47" t="str">
        <f t="shared" si="172"/>
        <v/>
      </c>
      <c r="BN402" s="47" t="str">
        <f t="shared" si="173"/>
        <v/>
      </c>
      <c r="BO402" s="47" t="str">
        <f t="shared" si="174"/>
        <v/>
      </c>
      <c r="BP402" s="47" t="str">
        <f t="shared" si="175"/>
        <v/>
      </c>
      <c r="BQ402" s="48" t="str">
        <f t="shared" si="176"/>
        <v/>
      </c>
      <c r="BR402" s="48" t="str">
        <f t="shared" si="177"/>
        <v/>
      </c>
      <c r="BS402" s="48" t="str">
        <f t="shared" si="178"/>
        <v/>
      </c>
      <c r="BT402" s="47" t="str">
        <f t="shared" si="179"/>
        <v/>
      </c>
      <c r="CA402" s="47" t="str">
        <f t="shared" si="180"/>
        <v/>
      </c>
      <c r="CB402" s="47" t="str">
        <f t="shared" si="181"/>
        <v/>
      </c>
      <c r="CC402" s="47" t="str">
        <f t="shared" si="182"/>
        <v/>
      </c>
      <c r="CD402" s="47" t="str">
        <f t="shared" si="183"/>
        <v/>
      </c>
      <c r="CE402" s="47" t="str">
        <f>IF(AH402="","",IF(OR(AI402&lt;&gt;'Seasonal Tercile Tally'!$B$3,AM402&lt;&gt;'Seasonal Tercile Tally'!$B$4),"Other site/ season",IF(DT402=0,"Excluded: duplicate (later row)",IF(N402&lt;&gt;1,"Excluded: not sighted",IF(AC402&lt;&gt;1,"Excluded: not confirmed",IF(AD402&lt;&gt;1,"Excluded: not approved",IF(AP402="Contested","Excluded: contested",IF(OR(U402="",U402=0),"Excluded: no tercile",IF(CB402="","Counted (simple tally only — no weight)","Counted")))))))))</f>
        <v/>
      </c>
      <c r="CF402" s="49" t="str">
        <f>IF(AH402="","",IFERROR(INDEX('Prior Multipliers'!$C$6:$C$70,MATCH(LEFT(AH402,10),'Prior Multipliers'!$A$6:$A$70,0)),IFERROR(INDEX('Prior Multipliers'!$C$6:$C$70,MATCH(LEFT(AH402,6),'Prior Multipliers'!$A$6:$A$70,0)),IFERROR(INDEX('Prior Multipliers'!$C$6:$C$70,MATCH(LEFT(AH402,2),'Prior Multipliers'!$A$6:$A$70,0)),1))))</f>
        <v/>
      </c>
      <c r="CG402" s="49" t="str">
        <f>IF(CB402="","",IF(AND('Seasonal Tercile Tally'!$B$5=1,BT402="Rating-based"),CB402*CF402,CB402))</f>
        <v/>
      </c>
      <c r="CH402" s="47">
        <f t="shared" si="184"/>
        <v>0</v>
      </c>
      <c r="CI402" s="45"/>
      <c r="CJ402" s="42" t="str">
        <f t="shared" si="185"/>
        <v/>
      </c>
      <c r="CM402" s="42" t="str">
        <f t="shared" si="186"/>
        <v/>
      </c>
      <c r="CP402" s="46" t="str">
        <f t="shared" si="187"/>
        <v/>
      </c>
      <c r="CS402" s="46" t="str">
        <f t="shared" si="188"/>
        <v/>
      </c>
      <c r="CT402" s="42" t="str">
        <f t="shared" si="189"/>
        <v/>
      </c>
      <c r="CU402" s="42" t="str">
        <f t="shared" si="190"/>
        <v/>
      </c>
      <c r="CV402" s="42" t="str">
        <f t="shared" si="191"/>
        <v/>
      </c>
      <c r="DB402" s="45"/>
      <c r="DH402" s="42" t="str">
        <f t="shared" si="192"/>
        <v/>
      </c>
      <c r="DI402" s="43" t="str">
        <f t="shared" si="193"/>
        <v/>
      </c>
      <c r="DK402" s="46" t="str">
        <f t="shared" si="194"/>
        <v/>
      </c>
      <c r="DQ402" s="42" t="str">
        <f>IF(AH402="","",IFERROR(ROUND(100*('Weighting Options'!$D$7*IF(ISNUMBER(CA402),CA402/3,0)+'Weighting Options'!$D$8*MIN(N(BL402),3)/3+'Weighting Options'!$D$9*IF(AP402="Community/Plenary-endorsed",1,IF(AP402="FGD-validated only",0.75,IF(AP402="Sub-community-specific",0.5,IF(AP402="Provisional/emerging",0.25,0))))+'Weighting Options'!$D$10*IF(ISNUMBER(K402),K402/3,0)+'Weighting Options'!$D$11*IF(CC402="",0.5,IF(CC402="OK",1,0.25))+'Weighting Options'!$D$12*IF(DK402="",0.5,IF(DK402="Agrees",1,IF(DK402="Opposite",0,0.5)))+'Weighting Options'!$D$13*MIN(N(BG402),3)/3+'Weighting Options'!$D$14*IF(AE402=1,1,0))/SUM('Weighting Options'!$D$7:$D$14),0),""))</f>
        <v/>
      </c>
      <c r="DR402" s="44" t="str">
        <f>IF(AH402="","",IFERROR(INDEX('Weighting Options'!$D$20:$D$27,VALUE(LEFT(TRIM(BU402),1))),1))</f>
        <v/>
      </c>
      <c r="DS402" s="44" t="str">
        <f t="shared" si="195"/>
        <v/>
      </c>
      <c r="DT402" s="42" t="str">
        <f>IF(AH402="","",IF(COUNTIFS($AH$12:AH402,AH402,$AI$12:AI402,AI402,$AM$12:AM402,AM402)=1,1,0))</f>
        <v/>
      </c>
    </row>
    <row r="403" spans="16:124" ht="12.75" customHeight="1" x14ac:dyDescent="0.35">
      <c r="P403" s="41"/>
      <c r="Q403" s="41"/>
      <c r="R403" s="41"/>
      <c r="S403" s="41"/>
      <c r="AH403" s="40"/>
      <c r="AP403" s="40"/>
      <c r="AS403" s="41"/>
      <c r="AT403" s="41"/>
      <c r="AW403" t="str">
        <f t="shared" si="168"/>
        <v/>
      </c>
      <c r="AX403" t="str">
        <f t="shared" si="169"/>
        <v/>
      </c>
      <c r="AY403" t="str">
        <f t="shared" si="170"/>
        <v/>
      </c>
      <c r="AZ403" s="40"/>
      <c r="BL403" s="47" t="str">
        <f t="shared" si="171"/>
        <v/>
      </c>
      <c r="BM403" s="47" t="str">
        <f t="shared" si="172"/>
        <v/>
      </c>
      <c r="BN403" s="47" t="str">
        <f t="shared" si="173"/>
        <v/>
      </c>
      <c r="BO403" s="47" t="str">
        <f t="shared" si="174"/>
        <v/>
      </c>
      <c r="BP403" s="47" t="str">
        <f t="shared" si="175"/>
        <v/>
      </c>
      <c r="BQ403" s="48" t="str">
        <f t="shared" si="176"/>
        <v/>
      </c>
      <c r="BR403" s="48" t="str">
        <f t="shared" si="177"/>
        <v/>
      </c>
      <c r="BS403" s="48" t="str">
        <f t="shared" si="178"/>
        <v/>
      </c>
      <c r="BT403" s="47" t="str">
        <f t="shared" si="179"/>
        <v/>
      </c>
      <c r="CA403" s="47" t="str">
        <f t="shared" si="180"/>
        <v/>
      </c>
      <c r="CB403" s="47" t="str">
        <f t="shared" si="181"/>
        <v/>
      </c>
      <c r="CC403" s="47" t="str">
        <f t="shared" si="182"/>
        <v/>
      </c>
      <c r="CD403" s="47" t="str">
        <f t="shared" si="183"/>
        <v/>
      </c>
      <c r="CE403" s="47" t="str">
        <f>IF(AH403="","",IF(OR(AI403&lt;&gt;'Seasonal Tercile Tally'!$B$3,AM403&lt;&gt;'Seasonal Tercile Tally'!$B$4),"Other site/ season",IF(DT403=0,"Excluded: duplicate (later row)",IF(N403&lt;&gt;1,"Excluded: not sighted",IF(AC403&lt;&gt;1,"Excluded: not confirmed",IF(AD403&lt;&gt;1,"Excluded: not approved",IF(AP403="Contested","Excluded: contested",IF(OR(U403="",U403=0),"Excluded: no tercile",IF(CB403="","Counted (simple tally only — no weight)","Counted")))))))))</f>
        <v/>
      </c>
      <c r="CF403" s="49" t="str">
        <f>IF(AH403="","",IFERROR(INDEX('Prior Multipliers'!$C$6:$C$70,MATCH(LEFT(AH403,10),'Prior Multipliers'!$A$6:$A$70,0)),IFERROR(INDEX('Prior Multipliers'!$C$6:$C$70,MATCH(LEFT(AH403,6),'Prior Multipliers'!$A$6:$A$70,0)),IFERROR(INDEX('Prior Multipliers'!$C$6:$C$70,MATCH(LEFT(AH403,2),'Prior Multipliers'!$A$6:$A$70,0)),1))))</f>
        <v/>
      </c>
      <c r="CG403" s="49" t="str">
        <f>IF(CB403="","",IF(AND('Seasonal Tercile Tally'!$B$5=1,BT403="Rating-based"),CB403*CF403,CB403))</f>
        <v/>
      </c>
      <c r="CH403" s="47">
        <f t="shared" si="184"/>
        <v>0</v>
      </c>
      <c r="CI403" s="45"/>
      <c r="CJ403" s="42" t="str">
        <f t="shared" si="185"/>
        <v/>
      </c>
      <c r="CM403" s="42" t="str">
        <f t="shared" si="186"/>
        <v/>
      </c>
      <c r="CP403" s="46" t="str">
        <f t="shared" si="187"/>
        <v/>
      </c>
      <c r="CS403" s="46" t="str">
        <f t="shared" si="188"/>
        <v/>
      </c>
      <c r="CT403" s="42" t="str">
        <f t="shared" si="189"/>
        <v/>
      </c>
      <c r="CU403" s="42" t="str">
        <f t="shared" si="190"/>
        <v/>
      </c>
      <c r="CV403" s="42" t="str">
        <f t="shared" si="191"/>
        <v/>
      </c>
      <c r="DB403" s="45"/>
      <c r="DH403" s="42" t="str">
        <f t="shared" si="192"/>
        <v/>
      </c>
      <c r="DI403" s="43" t="str">
        <f t="shared" si="193"/>
        <v/>
      </c>
      <c r="DK403" s="46" t="str">
        <f t="shared" si="194"/>
        <v/>
      </c>
      <c r="DQ403" s="42" t="str">
        <f>IF(AH403="","",IFERROR(ROUND(100*('Weighting Options'!$D$7*IF(ISNUMBER(CA403),CA403/3,0)+'Weighting Options'!$D$8*MIN(N(BL403),3)/3+'Weighting Options'!$D$9*IF(AP403="Community/Plenary-endorsed",1,IF(AP403="FGD-validated only",0.75,IF(AP403="Sub-community-specific",0.5,IF(AP403="Provisional/emerging",0.25,0))))+'Weighting Options'!$D$10*IF(ISNUMBER(K403),K403/3,0)+'Weighting Options'!$D$11*IF(CC403="",0.5,IF(CC403="OK",1,0.25))+'Weighting Options'!$D$12*IF(DK403="",0.5,IF(DK403="Agrees",1,IF(DK403="Opposite",0,0.5)))+'Weighting Options'!$D$13*MIN(N(BG403),3)/3+'Weighting Options'!$D$14*IF(AE403=1,1,0))/SUM('Weighting Options'!$D$7:$D$14),0),""))</f>
        <v/>
      </c>
      <c r="DR403" s="44" t="str">
        <f>IF(AH403="","",IFERROR(INDEX('Weighting Options'!$D$20:$D$27,VALUE(LEFT(TRIM(BU403),1))),1))</f>
        <v/>
      </c>
      <c r="DS403" s="44" t="str">
        <f t="shared" si="195"/>
        <v/>
      </c>
      <c r="DT403" s="42" t="str">
        <f>IF(AH403="","",IF(COUNTIFS($AH$12:AH403,AH403,$AI$12:AI403,AI403,$AM$12:AM403,AM403)=1,1,0))</f>
        <v/>
      </c>
    </row>
    <row r="404" spans="16:124" ht="12.75" customHeight="1" x14ac:dyDescent="0.35">
      <c r="P404" s="41"/>
      <c r="Q404" s="41"/>
      <c r="R404" s="41"/>
      <c r="S404" s="41"/>
      <c r="AH404" s="40"/>
      <c r="AP404" s="40"/>
      <c r="AS404" s="41"/>
      <c r="AT404" s="41"/>
      <c r="AW404" t="str">
        <f t="shared" si="168"/>
        <v/>
      </c>
      <c r="AX404" t="str">
        <f t="shared" si="169"/>
        <v/>
      </c>
      <c r="AY404" t="str">
        <f t="shared" si="170"/>
        <v/>
      </c>
      <c r="AZ404" s="40"/>
      <c r="BL404" s="47" t="str">
        <f t="shared" si="171"/>
        <v/>
      </c>
      <c r="BM404" s="47" t="str">
        <f t="shared" si="172"/>
        <v/>
      </c>
      <c r="BN404" s="47" t="str">
        <f t="shared" si="173"/>
        <v/>
      </c>
      <c r="BO404" s="47" t="str">
        <f t="shared" si="174"/>
        <v/>
      </c>
      <c r="BP404" s="47" t="str">
        <f t="shared" si="175"/>
        <v/>
      </c>
      <c r="BQ404" s="48" t="str">
        <f t="shared" si="176"/>
        <v/>
      </c>
      <c r="BR404" s="48" t="str">
        <f t="shared" si="177"/>
        <v/>
      </c>
      <c r="BS404" s="48" t="str">
        <f t="shared" si="178"/>
        <v/>
      </c>
      <c r="BT404" s="47" t="str">
        <f t="shared" si="179"/>
        <v/>
      </c>
      <c r="CA404" s="47" t="str">
        <f t="shared" si="180"/>
        <v/>
      </c>
      <c r="CB404" s="47" t="str">
        <f t="shared" si="181"/>
        <v/>
      </c>
      <c r="CC404" s="47" t="str">
        <f t="shared" si="182"/>
        <v/>
      </c>
      <c r="CD404" s="47" t="str">
        <f t="shared" si="183"/>
        <v/>
      </c>
      <c r="CE404" s="47" t="str">
        <f>IF(AH404="","",IF(OR(AI404&lt;&gt;'Seasonal Tercile Tally'!$B$3,AM404&lt;&gt;'Seasonal Tercile Tally'!$B$4),"Other site/ season",IF(DT404=0,"Excluded: duplicate (later row)",IF(N404&lt;&gt;1,"Excluded: not sighted",IF(AC404&lt;&gt;1,"Excluded: not confirmed",IF(AD404&lt;&gt;1,"Excluded: not approved",IF(AP404="Contested","Excluded: contested",IF(OR(U404="",U404=0),"Excluded: no tercile",IF(CB404="","Counted (simple tally only — no weight)","Counted")))))))))</f>
        <v/>
      </c>
      <c r="CF404" s="49" t="str">
        <f>IF(AH404="","",IFERROR(INDEX('Prior Multipliers'!$C$6:$C$70,MATCH(LEFT(AH404,10),'Prior Multipliers'!$A$6:$A$70,0)),IFERROR(INDEX('Prior Multipliers'!$C$6:$C$70,MATCH(LEFT(AH404,6),'Prior Multipliers'!$A$6:$A$70,0)),IFERROR(INDEX('Prior Multipliers'!$C$6:$C$70,MATCH(LEFT(AH404,2),'Prior Multipliers'!$A$6:$A$70,0)),1))))</f>
        <v/>
      </c>
      <c r="CG404" s="49" t="str">
        <f>IF(CB404="","",IF(AND('Seasonal Tercile Tally'!$B$5=1,BT404="Rating-based"),CB404*CF404,CB404))</f>
        <v/>
      </c>
      <c r="CH404" s="47">
        <f t="shared" si="184"/>
        <v>0</v>
      </c>
      <c r="CI404" s="45"/>
      <c r="CJ404" s="42" t="str">
        <f t="shared" si="185"/>
        <v/>
      </c>
      <c r="CM404" s="42" t="str">
        <f t="shared" si="186"/>
        <v/>
      </c>
      <c r="CP404" s="46" t="str">
        <f t="shared" si="187"/>
        <v/>
      </c>
      <c r="CS404" s="46" t="str">
        <f t="shared" si="188"/>
        <v/>
      </c>
      <c r="CT404" s="42" t="str">
        <f t="shared" si="189"/>
        <v/>
      </c>
      <c r="CU404" s="42" t="str">
        <f t="shared" si="190"/>
        <v/>
      </c>
      <c r="CV404" s="42" t="str">
        <f t="shared" si="191"/>
        <v/>
      </c>
      <c r="DB404" s="45"/>
      <c r="DH404" s="42" t="str">
        <f t="shared" si="192"/>
        <v/>
      </c>
      <c r="DI404" s="43" t="str">
        <f t="shared" si="193"/>
        <v/>
      </c>
      <c r="DK404" s="46" t="str">
        <f t="shared" si="194"/>
        <v/>
      </c>
      <c r="DQ404" s="42" t="str">
        <f>IF(AH404="","",IFERROR(ROUND(100*('Weighting Options'!$D$7*IF(ISNUMBER(CA404),CA404/3,0)+'Weighting Options'!$D$8*MIN(N(BL404),3)/3+'Weighting Options'!$D$9*IF(AP404="Community/Plenary-endorsed",1,IF(AP404="FGD-validated only",0.75,IF(AP404="Sub-community-specific",0.5,IF(AP404="Provisional/emerging",0.25,0))))+'Weighting Options'!$D$10*IF(ISNUMBER(K404),K404/3,0)+'Weighting Options'!$D$11*IF(CC404="",0.5,IF(CC404="OK",1,0.25))+'Weighting Options'!$D$12*IF(DK404="",0.5,IF(DK404="Agrees",1,IF(DK404="Opposite",0,0.5)))+'Weighting Options'!$D$13*MIN(N(BG404),3)/3+'Weighting Options'!$D$14*IF(AE404=1,1,0))/SUM('Weighting Options'!$D$7:$D$14),0),""))</f>
        <v/>
      </c>
      <c r="DR404" s="44" t="str">
        <f>IF(AH404="","",IFERROR(INDEX('Weighting Options'!$D$20:$D$27,VALUE(LEFT(TRIM(BU404),1))),1))</f>
        <v/>
      </c>
      <c r="DS404" s="44" t="str">
        <f t="shared" si="195"/>
        <v/>
      </c>
      <c r="DT404" s="42" t="str">
        <f>IF(AH404="","",IF(COUNTIFS($AH$12:AH404,AH404,$AI$12:AI404,AI404,$AM$12:AM404,AM404)=1,1,0))</f>
        <v/>
      </c>
    </row>
    <row r="405" spans="16:124" ht="12.75" customHeight="1" x14ac:dyDescent="0.35">
      <c r="P405" s="41"/>
      <c r="Q405" s="41"/>
      <c r="R405" s="41"/>
      <c r="S405" s="41"/>
      <c r="AH405" s="40"/>
      <c r="AP405" s="40"/>
      <c r="AS405" s="41"/>
      <c r="AT405" s="41"/>
      <c r="AW405" t="str">
        <f t="shared" si="168"/>
        <v/>
      </c>
      <c r="AX405" t="str">
        <f t="shared" si="169"/>
        <v/>
      </c>
      <c r="AY405" t="str">
        <f t="shared" si="170"/>
        <v/>
      </c>
      <c r="AZ405" s="40"/>
      <c r="BL405" s="47" t="str">
        <f t="shared" si="171"/>
        <v/>
      </c>
      <c r="BM405" s="47" t="str">
        <f t="shared" si="172"/>
        <v/>
      </c>
      <c r="BN405" s="47" t="str">
        <f t="shared" si="173"/>
        <v/>
      </c>
      <c r="BO405" s="47" t="str">
        <f t="shared" si="174"/>
        <v/>
      </c>
      <c r="BP405" s="47" t="str">
        <f t="shared" si="175"/>
        <v/>
      </c>
      <c r="BQ405" s="48" t="str">
        <f t="shared" si="176"/>
        <v/>
      </c>
      <c r="BR405" s="48" t="str">
        <f t="shared" si="177"/>
        <v/>
      </c>
      <c r="BS405" s="48" t="str">
        <f t="shared" si="178"/>
        <v/>
      </c>
      <c r="BT405" s="47" t="str">
        <f t="shared" si="179"/>
        <v/>
      </c>
      <c r="CA405" s="47" t="str">
        <f t="shared" si="180"/>
        <v/>
      </c>
      <c r="CB405" s="47" t="str">
        <f t="shared" si="181"/>
        <v/>
      </c>
      <c r="CC405" s="47" t="str">
        <f t="shared" si="182"/>
        <v/>
      </c>
      <c r="CD405" s="47" t="str">
        <f t="shared" si="183"/>
        <v/>
      </c>
      <c r="CE405" s="47" t="str">
        <f>IF(AH405="","",IF(OR(AI405&lt;&gt;'Seasonal Tercile Tally'!$B$3,AM405&lt;&gt;'Seasonal Tercile Tally'!$B$4),"Other site/ season",IF(DT405=0,"Excluded: duplicate (later row)",IF(N405&lt;&gt;1,"Excluded: not sighted",IF(AC405&lt;&gt;1,"Excluded: not confirmed",IF(AD405&lt;&gt;1,"Excluded: not approved",IF(AP405="Contested","Excluded: contested",IF(OR(U405="",U405=0),"Excluded: no tercile",IF(CB405="","Counted (simple tally only — no weight)","Counted")))))))))</f>
        <v/>
      </c>
      <c r="CF405" s="49" t="str">
        <f>IF(AH405="","",IFERROR(INDEX('Prior Multipliers'!$C$6:$C$70,MATCH(LEFT(AH405,10),'Prior Multipliers'!$A$6:$A$70,0)),IFERROR(INDEX('Prior Multipliers'!$C$6:$C$70,MATCH(LEFT(AH405,6),'Prior Multipliers'!$A$6:$A$70,0)),IFERROR(INDEX('Prior Multipliers'!$C$6:$C$70,MATCH(LEFT(AH405,2),'Prior Multipliers'!$A$6:$A$70,0)),1))))</f>
        <v/>
      </c>
      <c r="CG405" s="49" t="str">
        <f>IF(CB405="","",IF(AND('Seasonal Tercile Tally'!$B$5=1,BT405="Rating-based"),CB405*CF405,CB405))</f>
        <v/>
      </c>
      <c r="CH405" s="47">
        <f t="shared" si="184"/>
        <v>0</v>
      </c>
      <c r="CI405" s="45"/>
      <c r="CJ405" s="42" t="str">
        <f t="shared" si="185"/>
        <v/>
      </c>
      <c r="CM405" s="42" t="str">
        <f t="shared" si="186"/>
        <v/>
      </c>
      <c r="CP405" s="46" t="str">
        <f t="shared" si="187"/>
        <v/>
      </c>
      <c r="CS405" s="46" t="str">
        <f t="shared" si="188"/>
        <v/>
      </c>
      <c r="CT405" s="42" t="str">
        <f t="shared" si="189"/>
        <v/>
      </c>
      <c r="CU405" s="42" t="str">
        <f t="shared" si="190"/>
        <v/>
      </c>
      <c r="CV405" s="42" t="str">
        <f t="shared" si="191"/>
        <v/>
      </c>
      <c r="DB405" s="45"/>
      <c r="DH405" s="42" t="str">
        <f t="shared" si="192"/>
        <v/>
      </c>
      <c r="DI405" s="43" t="str">
        <f t="shared" si="193"/>
        <v/>
      </c>
      <c r="DK405" s="46" t="str">
        <f t="shared" si="194"/>
        <v/>
      </c>
      <c r="DQ405" s="42" t="str">
        <f>IF(AH405="","",IFERROR(ROUND(100*('Weighting Options'!$D$7*IF(ISNUMBER(CA405),CA405/3,0)+'Weighting Options'!$D$8*MIN(N(BL405),3)/3+'Weighting Options'!$D$9*IF(AP405="Community/Plenary-endorsed",1,IF(AP405="FGD-validated only",0.75,IF(AP405="Sub-community-specific",0.5,IF(AP405="Provisional/emerging",0.25,0))))+'Weighting Options'!$D$10*IF(ISNUMBER(K405),K405/3,0)+'Weighting Options'!$D$11*IF(CC405="",0.5,IF(CC405="OK",1,0.25))+'Weighting Options'!$D$12*IF(DK405="",0.5,IF(DK405="Agrees",1,IF(DK405="Opposite",0,0.5)))+'Weighting Options'!$D$13*MIN(N(BG405),3)/3+'Weighting Options'!$D$14*IF(AE405=1,1,0))/SUM('Weighting Options'!$D$7:$D$14),0),""))</f>
        <v/>
      </c>
      <c r="DR405" s="44" t="str">
        <f>IF(AH405="","",IFERROR(INDEX('Weighting Options'!$D$20:$D$27,VALUE(LEFT(TRIM(BU405),1))),1))</f>
        <v/>
      </c>
      <c r="DS405" s="44" t="str">
        <f t="shared" si="195"/>
        <v/>
      </c>
      <c r="DT405" s="42" t="str">
        <f>IF(AH405="","",IF(COUNTIFS($AH$12:AH405,AH405,$AI$12:AI405,AI405,$AM$12:AM405,AM405)=1,1,0))</f>
        <v/>
      </c>
    </row>
    <row r="406" spans="16:124" ht="12.75" customHeight="1" x14ac:dyDescent="0.35">
      <c r="P406" s="41"/>
      <c r="Q406" s="41"/>
      <c r="R406" s="41"/>
      <c r="S406" s="41"/>
      <c r="AH406" s="40"/>
      <c r="AP406" s="40"/>
      <c r="AS406" s="41"/>
      <c r="AT406" s="41"/>
      <c r="AW406" t="str">
        <f t="shared" si="168"/>
        <v/>
      </c>
      <c r="AX406" t="str">
        <f t="shared" si="169"/>
        <v/>
      </c>
      <c r="AY406" t="str">
        <f t="shared" si="170"/>
        <v/>
      </c>
      <c r="AZ406" s="40"/>
      <c r="BL406" s="47" t="str">
        <f t="shared" si="171"/>
        <v/>
      </c>
      <c r="BM406" s="47" t="str">
        <f t="shared" si="172"/>
        <v/>
      </c>
      <c r="BN406" s="47" t="str">
        <f t="shared" si="173"/>
        <v/>
      </c>
      <c r="BO406" s="47" t="str">
        <f t="shared" si="174"/>
        <v/>
      </c>
      <c r="BP406" s="47" t="str">
        <f t="shared" si="175"/>
        <v/>
      </c>
      <c r="BQ406" s="48" t="str">
        <f t="shared" si="176"/>
        <v/>
      </c>
      <c r="BR406" s="48" t="str">
        <f t="shared" si="177"/>
        <v/>
      </c>
      <c r="BS406" s="48" t="str">
        <f t="shared" si="178"/>
        <v/>
      </c>
      <c r="BT406" s="47" t="str">
        <f t="shared" si="179"/>
        <v/>
      </c>
      <c r="CA406" s="47" t="str">
        <f t="shared" si="180"/>
        <v/>
      </c>
      <c r="CB406" s="47" t="str">
        <f t="shared" si="181"/>
        <v/>
      </c>
      <c r="CC406" s="47" t="str">
        <f t="shared" si="182"/>
        <v/>
      </c>
      <c r="CD406" s="47" t="str">
        <f t="shared" si="183"/>
        <v/>
      </c>
      <c r="CE406" s="47" t="str">
        <f>IF(AH406="","",IF(OR(AI406&lt;&gt;'Seasonal Tercile Tally'!$B$3,AM406&lt;&gt;'Seasonal Tercile Tally'!$B$4),"Other site/ season",IF(DT406=0,"Excluded: duplicate (later row)",IF(N406&lt;&gt;1,"Excluded: not sighted",IF(AC406&lt;&gt;1,"Excluded: not confirmed",IF(AD406&lt;&gt;1,"Excluded: not approved",IF(AP406="Contested","Excluded: contested",IF(OR(U406="",U406=0),"Excluded: no tercile",IF(CB406="","Counted (simple tally only — no weight)","Counted")))))))))</f>
        <v/>
      </c>
      <c r="CF406" s="49" t="str">
        <f>IF(AH406="","",IFERROR(INDEX('Prior Multipliers'!$C$6:$C$70,MATCH(LEFT(AH406,10),'Prior Multipliers'!$A$6:$A$70,0)),IFERROR(INDEX('Prior Multipliers'!$C$6:$C$70,MATCH(LEFT(AH406,6),'Prior Multipliers'!$A$6:$A$70,0)),IFERROR(INDEX('Prior Multipliers'!$C$6:$C$70,MATCH(LEFT(AH406,2),'Prior Multipliers'!$A$6:$A$70,0)),1))))</f>
        <v/>
      </c>
      <c r="CG406" s="49" t="str">
        <f>IF(CB406="","",IF(AND('Seasonal Tercile Tally'!$B$5=1,BT406="Rating-based"),CB406*CF406,CB406))</f>
        <v/>
      </c>
      <c r="CH406" s="47">
        <f t="shared" si="184"/>
        <v>0</v>
      </c>
      <c r="CI406" s="45"/>
      <c r="CJ406" s="42" t="str">
        <f t="shared" si="185"/>
        <v/>
      </c>
      <c r="CM406" s="42" t="str">
        <f t="shared" si="186"/>
        <v/>
      </c>
      <c r="CP406" s="46" t="str">
        <f t="shared" si="187"/>
        <v/>
      </c>
      <c r="CS406" s="46" t="str">
        <f t="shared" si="188"/>
        <v/>
      </c>
      <c r="CT406" s="42" t="str">
        <f t="shared" si="189"/>
        <v/>
      </c>
      <c r="CU406" s="42" t="str">
        <f t="shared" si="190"/>
        <v/>
      </c>
      <c r="CV406" s="42" t="str">
        <f t="shared" si="191"/>
        <v/>
      </c>
      <c r="DB406" s="45"/>
      <c r="DH406" s="42" t="str">
        <f t="shared" si="192"/>
        <v/>
      </c>
      <c r="DI406" s="43" t="str">
        <f t="shared" si="193"/>
        <v/>
      </c>
      <c r="DK406" s="46" t="str">
        <f t="shared" si="194"/>
        <v/>
      </c>
      <c r="DQ406" s="42" t="str">
        <f>IF(AH406="","",IFERROR(ROUND(100*('Weighting Options'!$D$7*IF(ISNUMBER(CA406),CA406/3,0)+'Weighting Options'!$D$8*MIN(N(BL406),3)/3+'Weighting Options'!$D$9*IF(AP406="Community/Plenary-endorsed",1,IF(AP406="FGD-validated only",0.75,IF(AP406="Sub-community-specific",0.5,IF(AP406="Provisional/emerging",0.25,0))))+'Weighting Options'!$D$10*IF(ISNUMBER(K406),K406/3,0)+'Weighting Options'!$D$11*IF(CC406="",0.5,IF(CC406="OK",1,0.25))+'Weighting Options'!$D$12*IF(DK406="",0.5,IF(DK406="Agrees",1,IF(DK406="Opposite",0,0.5)))+'Weighting Options'!$D$13*MIN(N(BG406),3)/3+'Weighting Options'!$D$14*IF(AE406=1,1,0))/SUM('Weighting Options'!$D$7:$D$14),0),""))</f>
        <v/>
      </c>
      <c r="DR406" s="44" t="str">
        <f>IF(AH406="","",IFERROR(INDEX('Weighting Options'!$D$20:$D$27,VALUE(LEFT(TRIM(BU406),1))),1))</f>
        <v/>
      </c>
      <c r="DS406" s="44" t="str">
        <f t="shared" si="195"/>
        <v/>
      </c>
      <c r="DT406" s="42" t="str">
        <f>IF(AH406="","",IF(COUNTIFS($AH$12:AH406,AH406,$AI$12:AI406,AI406,$AM$12:AM406,AM406)=1,1,0))</f>
        <v/>
      </c>
    </row>
    <row r="407" spans="16:124" ht="12.75" customHeight="1" x14ac:dyDescent="0.35">
      <c r="P407" s="41"/>
      <c r="Q407" s="41"/>
      <c r="R407" s="41"/>
      <c r="S407" s="41"/>
      <c r="AH407" s="40"/>
      <c r="AP407" s="40"/>
      <c r="AS407" s="41"/>
      <c r="AT407" s="41"/>
      <c r="AW407" t="str">
        <f t="shared" si="168"/>
        <v/>
      </c>
      <c r="AX407" t="str">
        <f t="shared" si="169"/>
        <v/>
      </c>
      <c r="AY407" t="str">
        <f t="shared" si="170"/>
        <v/>
      </c>
      <c r="AZ407" s="40"/>
      <c r="BL407" s="47" t="str">
        <f t="shared" si="171"/>
        <v/>
      </c>
      <c r="BM407" s="47" t="str">
        <f t="shared" si="172"/>
        <v/>
      </c>
      <c r="BN407" s="47" t="str">
        <f t="shared" si="173"/>
        <v/>
      </c>
      <c r="BO407" s="47" t="str">
        <f t="shared" si="174"/>
        <v/>
      </c>
      <c r="BP407" s="47" t="str">
        <f t="shared" si="175"/>
        <v/>
      </c>
      <c r="BQ407" s="48" t="str">
        <f t="shared" si="176"/>
        <v/>
      </c>
      <c r="BR407" s="48" t="str">
        <f t="shared" si="177"/>
        <v/>
      </c>
      <c r="BS407" s="48" t="str">
        <f t="shared" si="178"/>
        <v/>
      </c>
      <c r="BT407" s="47" t="str">
        <f t="shared" si="179"/>
        <v/>
      </c>
      <c r="CA407" s="47" t="str">
        <f t="shared" si="180"/>
        <v/>
      </c>
      <c r="CB407" s="47" t="str">
        <f t="shared" si="181"/>
        <v/>
      </c>
      <c r="CC407" s="47" t="str">
        <f t="shared" si="182"/>
        <v/>
      </c>
      <c r="CD407" s="47" t="str">
        <f t="shared" si="183"/>
        <v/>
      </c>
      <c r="CE407" s="47" t="str">
        <f>IF(AH407="","",IF(OR(AI407&lt;&gt;'Seasonal Tercile Tally'!$B$3,AM407&lt;&gt;'Seasonal Tercile Tally'!$B$4),"Other site/ season",IF(DT407=0,"Excluded: duplicate (later row)",IF(N407&lt;&gt;1,"Excluded: not sighted",IF(AC407&lt;&gt;1,"Excluded: not confirmed",IF(AD407&lt;&gt;1,"Excluded: not approved",IF(AP407="Contested","Excluded: contested",IF(OR(U407="",U407=0),"Excluded: no tercile",IF(CB407="","Counted (simple tally only — no weight)","Counted")))))))))</f>
        <v/>
      </c>
      <c r="CF407" s="49" t="str">
        <f>IF(AH407="","",IFERROR(INDEX('Prior Multipliers'!$C$6:$C$70,MATCH(LEFT(AH407,10),'Prior Multipliers'!$A$6:$A$70,0)),IFERROR(INDEX('Prior Multipliers'!$C$6:$C$70,MATCH(LEFT(AH407,6),'Prior Multipliers'!$A$6:$A$70,0)),IFERROR(INDEX('Prior Multipliers'!$C$6:$C$70,MATCH(LEFT(AH407,2),'Prior Multipliers'!$A$6:$A$70,0)),1))))</f>
        <v/>
      </c>
      <c r="CG407" s="49" t="str">
        <f>IF(CB407="","",IF(AND('Seasonal Tercile Tally'!$B$5=1,BT407="Rating-based"),CB407*CF407,CB407))</f>
        <v/>
      </c>
      <c r="CH407" s="47">
        <f t="shared" si="184"/>
        <v>0</v>
      </c>
      <c r="CI407" s="45"/>
      <c r="CJ407" s="42" t="str">
        <f t="shared" si="185"/>
        <v/>
      </c>
      <c r="CM407" s="42" t="str">
        <f t="shared" si="186"/>
        <v/>
      </c>
      <c r="CP407" s="46" t="str">
        <f t="shared" si="187"/>
        <v/>
      </c>
      <c r="CS407" s="46" t="str">
        <f t="shared" si="188"/>
        <v/>
      </c>
      <c r="CT407" s="42" t="str">
        <f t="shared" si="189"/>
        <v/>
      </c>
      <c r="CU407" s="42" t="str">
        <f t="shared" si="190"/>
        <v/>
      </c>
      <c r="CV407" s="42" t="str">
        <f t="shared" si="191"/>
        <v/>
      </c>
      <c r="DB407" s="45"/>
      <c r="DH407" s="42" t="str">
        <f t="shared" si="192"/>
        <v/>
      </c>
      <c r="DI407" s="43" t="str">
        <f t="shared" si="193"/>
        <v/>
      </c>
      <c r="DK407" s="46" t="str">
        <f t="shared" si="194"/>
        <v/>
      </c>
      <c r="DQ407" s="42" t="str">
        <f>IF(AH407="","",IFERROR(ROUND(100*('Weighting Options'!$D$7*IF(ISNUMBER(CA407),CA407/3,0)+'Weighting Options'!$D$8*MIN(N(BL407),3)/3+'Weighting Options'!$D$9*IF(AP407="Community/Plenary-endorsed",1,IF(AP407="FGD-validated only",0.75,IF(AP407="Sub-community-specific",0.5,IF(AP407="Provisional/emerging",0.25,0))))+'Weighting Options'!$D$10*IF(ISNUMBER(K407),K407/3,0)+'Weighting Options'!$D$11*IF(CC407="",0.5,IF(CC407="OK",1,0.25))+'Weighting Options'!$D$12*IF(DK407="",0.5,IF(DK407="Agrees",1,IF(DK407="Opposite",0,0.5)))+'Weighting Options'!$D$13*MIN(N(BG407),3)/3+'Weighting Options'!$D$14*IF(AE407=1,1,0))/SUM('Weighting Options'!$D$7:$D$14),0),""))</f>
        <v/>
      </c>
      <c r="DR407" s="44" t="str">
        <f>IF(AH407="","",IFERROR(INDEX('Weighting Options'!$D$20:$D$27,VALUE(LEFT(TRIM(BU407),1))),1))</f>
        <v/>
      </c>
      <c r="DS407" s="44" t="str">
        <f t="shared" si="195"/>
        <v/>
      </c>
      <c r="DT407" s="42" t="str">
        <f>IF(AH407="","",IF(COUNTIFS($AH$12:AH407,AH407,$AI$12:AI407,AI407,$AM$12:AM407,AM407)=1,1,0))</f>
        <v/>
      </c>
    </row>
    <row r="408" spans="16:124" ht="12.75" customHeight="1" x14ac:dyDescent="0.35">
      <c r="P408" s="41"/>
      <c r="Q408" s="41"/>
      <c r="R408" s="41"/>
      <c r="S408" s="41"/>
      <c r="AH408" s="40"/>
      <c r="AP408" s="40"/>
      <c r="AS408" s="41"/>
      <c r="AT408" s="41"/>
      <c r="AW408" t="str">
        <f t="shared" si="168"/>
        <v/>
      </c>
      <c r="AX408" t="str">
        <f t="shared" si="169"/>
        <v/>
      </c>
      <c r="AY408" t="str">
        <f t="shared" si="170"/>
        <v/>
      </c>
      <c r="AZ408" s="40"/>
      <c r="BL408" s="47" t="str">
        <f t="shared" si="171"/>
        <v/>
      </c>
      <c r="BM408" s="47" t="str">
        <f t="shared" si="172"/>
        <v/>
      </c>
      <c r="BN408" s="47" t="str">
        <f t="shared" si="173"/>
        <v/>
      </c>
      <c r="BO408" s="47" t="str">
        <f t="shared" si="174"/>
        <v/>
      </c>
      <c r="BP408" s="47" t="str">
        <f t="shared" si="175"/>
        <v/>
      </c>
      <c r="BQ408" s="48" t="str">
        <f t="shared" si="176"/>
        <v/>
      </c>
      <c r="BR408" s="48" t="str">
        <f t="shared" si="177"/>
        <v/>
      </c>
      <c r="BS408" s="48" t="str">
        <f t="shared" si="178"/>
        <v/>
      </c>
      <c r="BT408" s="47" t="str">
        <f t="shared" si="179"/>
        <v/>
      </c>
      <c r="CA408" s="47" t="str">
        <f t="shared" si="180"/>
        <v/>
      </c>
      <c r="CB408" s="47" t="str">
        <f t="shared" si="181"/>
        <v/>
      </c>
      <c r="CC408" s="47" t="str">
        <f t="shared" si="182"/>
        <v/>
      </c>
      <c r="CD408" s="47" t="str">
        <f t="shared" si="183"/>
        <v/>
      </c>
      <c r="CE408" s="47" t="str">
        <f>IF(AH408="","",IF(OR(AI408&lt;&gt;'Seasonal Tercile Tally'!$B$3,AM408&lt;&gt;'Seasonal Tercile Tally'!$B$4),"Other site/ season",IF(DT408=0,"Excluded: duplicate (later row)",IF(N408&lt;&gt;1,"Excluded: not sighted",IF(AC408&lt;&gt;1,"Excluded: not confirmed",IF(AD408&lt;&gt;1,"Excluded: not approved",IF(AP408="Contested","Excluded: contested",IF(OR(U408="",U408=0),"Excluded: no tercile",IF(CB408="","Counted (simple tally only — no weight)","Counted")))))))))</f>
        <v/>
      </c>
      <c r="CF408" s="49" t="str">
        <f>IF(AH408="","",IFERROR(INDEX('Prior Multipliers'!$C$6:$C$70,MATCH(LEFT(AH408,10),'Prior Multipliers'!$A$6:$A$70,0)),IFERROR(INDEX('Prior Multipliers'!$C$6:$C$70,MATCH(LEFT(AH408,6),'Prior Multipliers'!$A$6:$A$70,0)),IFERROR(INDEX('Prior Multipliers'!$C$6:$C$70,MATCH(LEFT(AH408,2),'Prior Multipliers'!$A$6:$A$70,0)),1))))</f>
        <v/>
      </c>
      <c r="CG408" s="49" t="str">
        <f>IF(CB408="","",IF(AND('Seasonal Tercile Tally'!$B$5=1,BT408="Rating-based"),CB408*CF408,CB408))</f>
        <v/>
      </c>
      <c r="CH408" s="47">
        <f t="shared" si="184"/>
        <v>0</v>
      </c>
      <c r="CI408" s="45"/>
      <c r="CJ408" s="42" t="str">
        <f t="shared" si="185"/>
        <v/>
      </c>
      <c r="CM408" s="42" t="str">
        <f t="shared" si="186"/>
        <v/>
      </c>
      <c r="CP408" s="46" t="str">
        <f t="shared" si="187"/>
        <v/>
      </c>
      <c r="CS408" s="46" t="str">
        <f t="shared" si="188"/>
        <v/>
      </c>
      <c r="CT408" s="42" t="str">
        <f t="shared" si="189"/>
        <v/>
      </c>
      <c r="CU408" s="42" t="str">
        <f t="shared" si="190"/>
        <v/>
      </c>
      <c r="CV408" s="42" t="str">
        <f t="shared" si="191"/>
        <v/>
      </c>
      <c r="DB408" s="45"/>
      <c r="DH408" s="42" t="str">
        <f t="shared" si="192"/>
        <v/>
      </c>
      <c r="DI408" s="43" t="str">
        <f t="shared" si="193"/>
        <v/>
      </c>
      <c r="DK408" s="46" t="str">
        <f t="shared" si="194"/>
        <v/>
      </c>
      <c r="DQ408" s="42" t="str">
        <f>IF(AH408="","",IFERROR(ROUND(100*('Weighting Options'!$D$7*IF(ISNUMBER(CA408),CA408/3,0)+'Weighting Options'!$D$8*MIN(N(BL408),3)/3+'Weighting Options'!$D$9*IF(AP408="Community/Plenary-endorsed",1,IF(AP408="FGD-validated only",0.75,IF(AP408="Sub-community-specific",0.5,IF(AP408="Provisional/emerging",0.25,0))))+'Weighting Options'!$D$10*IF(ISNUMBER(K408),K408/3,0)+'Weighting Options'!$D$11*IF(CC408="",0.5,IF(CC408="OK",1,0.25))+'Weighting Options'!$D$12*IF(DK408="",0.5,IF(DK408="Agrees",1,IF(DK408="Opposite",0,0.5)))+'Weighting Options'!$D$13*MIN(N(BG408),3)/3+'Weighting Options'!$D$14*IF(AE408=1,1,0))/SUM('Weighting Options'!$D$7:$D$14),0),""))</f>
        <v/>
      </c>
      <c r="DR408" s="44" t="str">
        <f>IF(AH408="","",IFERROR(INDEX('Weighting Options'!$D$20:$D$27,VALUE(LEFT(TRIM(BU408),1))),1))</f>
        <v/>
      </c>
      <c r="DS408" s="44" t="str">
        <f t="shared" si="195"/>
        <v/>
      </c>
      <c r="DT408" s="42" t="str">
        <f>IF(AH408="","",IF(COUNTIFS($AH$12:AH408,AH408,$AI$12:AI408,AI408,$AM$12:AM408,AM408)=1,1,0))</f>
        <v/>
      </c>
    </row>
    <row r="409" spans="16:124" ht="12.75" customHeight="1" x14ac:dyDescent="0.35">
      <c r="P409" s="41"/>
      <c r="Q409" s="41"/>
      <c r="R409" s="41"/>
      <c r="S409" s="41"/>
      <c r="AH409" s="40"/>
      <c r="AP409" s="40"/>
      <c r="AS409" s="41"/>
      <c r="AT409" s="41"/>
      <c r="AW409" t="str">
        <f t="shared" si="168"/>
        <v/>
      </c>
      <c r="AX409" t="str">
        <f t="shared" si="169"/>
        <v/>
      </c>
      <c r="AY409" t="str">
        <f t="shared" si="170"/>
        <v/>
      </c>
      <c r="AZ409" s="40"/>
      <c r="BL409" s="47" t="str">
        <f t="shared" si="171"/>
        <v/>
      </c>
      <c r="BM409" s="47" t="str">
        <f t="shared" si="172"/>
        <v/>
      </c>
      <c r="BN409" s="47" t="str">
        <f t="shared" si="173"/>
        <v/>
      </c>
      <c r="BO409" s="47" t="str">
        <f t="shared" si="174"/>
        <v/>
      </c>
      <c r="BP409" s="47" t="str">
        <f t="shared" si="175"/>
        <v/>
      </c>
      <c r="BQ409" s="48" t="str">
        <f t="shared" si="176"/>
        <v/>
      </c>
      <c r="BR409" s="48" t="str">
        <f t="shared" si="177"/>
        <v/>
      </c>
      <c r="BS409" s="48" t="str">
        <f t="shared" si="178"/>
        <v/>
      </c>
      <c r="BT409" s="47" t="str">
        <f t="shared" si="179"/>
        <v/>
      </c>
      <c r="CA409" s="47" t="str">
        <f t="shared" si="180"/>
        <v/>
      </c>
      <c r="CB409" s="47" t="str">
        <f t="shared" si="181"/>
        <v/>
      </c>
      <c r="CC409" s="47" t="str">
        <f t="shared" si="182"/>
        <v/>
      </c>
      <c r="CD409" s="47" t="str">
        <f t="shared" si="183"/>
        <v/>
      </c>
      <c r="CE409" s="47" t="str">
        <f>IF(AH409="","",IF(OR(AI409&lt;&gt;'Seasonal Tercile Tally'!$B$3,AM409&lt;&gt;'Seasonal Tercile Tally'!$B$4),"Other site/ season",IF(DT409=0,"Excluded: duplicate (later row)",IF(N409&lt;&gt;1,"Excluded: not sighted",IF(AC409&lt;&gt;1,"Excluded: not confirmed",IF(AD409&lt;&gt;1,"Excluded: not approved",IF(AP409="Contested","Excluded: contested",IF(OR(U409="",U409=0),"Excluded: no tercile",IF(CB409="","Counted (simple tally only — no weight)","Counted")))))))))</f>
        <v/>
      </c>
      <c r="CF409" s="49" t="str">
        <f>IF(AH409="","",IFERROR(INDEX('Prior Multipliers'!$C$6:$C$70,MATCH(LEFT(AH409,10),'Prior Multipliers'!$A$6:$A$70,0)),IFERROR(INDEX('Prior Multipliers'!$C$6:$C$70,MATCH(LEFT(AH409,6),'Prior Multipliers'!$A$6:$A$70,0)),IFERROR(INDEX('Prior Multipliers'!$C$6:$C$70,MATCH(LEFT(AH409,2),'Prior Multipliers'!$A$6:$A$70,0)),1))))</f>
        <v/>
      </c>
      <c r="CG409" s="49" t="str">
        <f>IF(CB409="","",IF(AND('Seasonal Tercile Tally'!$B$5=1,BT409="Rating-based"),CB409*CF409,CB409))</f>
        <v/>
      </c>
      <c r="CH409" s="47">
        <f t="shared" si="184"/>
        <v>0</v>
      </c>
      <c r="CI409" s="45"/>
      <c r="CJ409" s="42" t="str">
        <f t="shared" si="185"/>
        <v/>
      </c>
      <c r="CM409" s="42" t="str">
        <f t="shared" si="186"/>
        <v/>
      </c>
      <c r="CP409" s="46" t="str">
        <f t="shared" si="187"/>
        <v/>
      </c>
      <c r="CS409" s="46" t="str">
        <f t="shared" si="188"/>
        <v/>
      </c>
      <c r="CT409" s="42" t="str">
        <f t="shared" si="189"/>
        <v/>
      </c>
      <c r="CU409" s="42" t="str">
        <f t="shared" si="190"/>
        <v/>
      </c>
      <c r="CV409" s="42" t="str">
        <f t="shared" si="191"/>
        <v/>
      </c>
      <c r="DB409" s="45"/>
      <c r="DH409" s="42" t="str">
        <f t="shared" si="192"/>
        <v/>
      </c>
      <c r="DI409" s="43" t="str">
        <f t="shared" si="193"/>
        <v/>
      </c>
      <c r="DK409" s="46" t="str">
        <f t="shared" si="194"/>
        <v/>
      </c>
      <c r="DQ409" s="42" t="str">
        <f>IF(AH409="","",IFERROR(ROUND(100*('Weighting Options'!$D$7*IF(ISNUMBER(CA409),CA409/3,0)+'Weighting Options'!$D$8*MIN(N(BL409),3)/3+'Weighting Options'!$D$9*IF(AP409="Community/Plenary-endorsed",1,IF(AP409="FGD-validated only",0.75,IF(AP409="Sub-community-specific",0.5,IF(AP409="Provisional/emerging",0.25,0))))+'Weighting Options'!$D$10*IF(ISNUMBER(K409),K409/3,0)+'Weighting Options'!$D$11*IF(CC409="",0.5,IF(CC409="OK",1,0.25))+'Weighting Options'!$D$12*IF(DK409="",0.5,IF(DK409="Agrees",1,IF(DK409="Opposite",0,0.5)))+'Weighting Options'!$D$13*MIN(N(BG409),3)/3+'Weighting Options'!$D$14*IF(AE409=1,1,0))/SUM('Weighting Options'!$D$7:$D$14),0),""))</f>
        <v/>
      </c>
      <c r="DR409" s="44" t="str">
        <f>IF(AH409="","",IFERROR(INDEX('Weighting Options'!$D$20:$D$27,VALUE(LEFT(TRIM(BU409),1))),1))</f>
        <v/>
      </c>
      <c r="DS409" s="44" t="str">
        <f t="shared" si="195"/>
        <v/>
      </c>
      <c r="DT409" s="42" t="str">
        <f>IF(AH409="","",IF(COUNTIFS($AH$12:AH409,AH409,$AI$12:AI409,AI409,$AM$12:AM409,AM409)=1,1,0))</f>
        <v/>
      </c>
    </row>
    <row r="410" spans="16:124" ht="12.75" customHeight="1" x14ac:dyDescent="0.35">
      <c r="P410" s="41"/>
      <c r="Q410" s="41"/>
      <c r="R410" s="41"/>
      <c r="S410" s="41"/>
      <c r="AH410" s="40"/>
      <c r="AP410" s="40"/>
      <c r="AS410" s="41"/>
      <c r="AT410" s="41"/>
      <c r="AW410" t="str">
        <f t="shared" si="168"/>
        <v/>
      </c>
      <c r="AX410" t="str">
        <f t="shared" si="169"/>
        <v/>
      </c>
      <c r="AY410" t="str">
        <f t="shared" si="170"/>
        <v/>
      </c>
      <c r="AZ410" s="40"/>
      <c r="BL410" s="47" t="str">
        <f t="shared" si="171"/>
        <v/>
      </c>
      <c r="BM410" s="47" t="str">
        <f t="shared" si="172"/>
        <v/>
      </c>
      <c r="BN410" s="47" t="str">
        <f t="shared" si="173"/>
        <v/>
      </c>
      <c r="BO410" s="47" t="str">
        <f t="shared" si="174"/>
        <v/>
      </c>
      <c r="BP410" s="47" t="str">
        <f t="shared" si="175"/>
        <v/>
      </c>
      <c r="BQ410" s="48" t="str">
        <f t="shared" si="176"/>
        <v/>
      </c>
      <c r="BR410" s="48" t="str">
        <f t="shared" si="177"/>
        <v/>
      </c>
      <c r="BS410" s="48" t="str">
        <f t="shared" si="178"/>
        <v/>
      </c>
      <c r="BT410" s="47" t="str">
        <f t="shared" si="179"/>
        <v/>
      </c>
      <c r="CA410" s="47" t="str">
        <f t="shared" si="180"/>
        <v/>
      </c>
      <c r="CB410" s="47" t="str">
        <f t="shared" si="181"/>
        <v/>
      </c>
      <c r="CC410" s="47" t="str">
        <f t="shared" si="182"/>
        <v/>
      </c>
      <c r="CD410" s="47" t="str">
        <f t="shared" si="183"/>
        <v/>
      </c>
      <c r="CE410" s="47" t="str">
        <f>IF(AH410="","",IF(OR(AI410&lt;&gt;'Seasonal Tercile Tally'!$B$3,AM410&lt;&gt;'Seasonal Tercile Tally'!$B$4),"Other site/ season",IF(DT410=0,"Excluded: duplicate (later row)",IF(N410&lt;&gt;1,"Excluded: not sighted",IF(AC410&lt;&gt;1,"Excluded: not confirmed",IF(AD410&lt;&gt;1,"Excluded: not approved",IF(AP410="Contested","Excluded: contested",IF(OR(U410="",U410=0),"Excluded: no tercile",IF(CB410="","Counted (simple tally only — no weight)","Counted")))))))))</f>
        <v/>
      </c>
      <c r="CF410" s="49" t="str">
        <f>IF(AH410="","",IFERROR(INDEX('Prior Multipliers'!$C$6:$C$70,MATCH(LEFT(AH410,10),'Prior Multipliers'!$A$6:$A$70,0)),IFERROR(INDEX('Prior Multipliers'!$C$6:$C$70,MATCH(LEFT(AH410,6),'Prior Multipliers'!$A$6:$A$70,0)),IFERROR(INDEX('Prior Multipliers'!$C$6:$C$70,MATCH(LEFT(AH410,2),'Prior Multipliers'!$A$6:$A$70,0)),1))))</f>
        <v/>
      </c>
      <c r="CG410" s="49" t="str">
        <f>IF(CB410="","",IF(AND('Seasonal Tercile Tally'!$B$5=1,BT410="Rating-based"),CB410*CF410,CB410))</f>
        <v/>
      </c>
      <c r="CH410" s="47">
        <f t="shared" si="184"/>
        <v>0</v>
      </c>
      <c r="CI410" s="45"/>
      <c r="CJ410" s="42" t="str">
        <f t="shared" si="185"/>
        <v/>
      </c>
      <c r="CM410" s="42" t="str">
        <f t="shared" si="186"/>
        <v/>
      </c>
      <c r="CP410" s="46" t="str">
        <f t="shared" si="187"/>
        <v/>
      </c>
      <c r="CS410" s="46" t="str">
        <f t="shared" si="188"/>
        <v/>
      </c>
      <c r="CT410" s="42" t="str">
        <f t="shared" si="189"/>
        <v/>
      </c>
      <c r="CU410" s="42" t="str">
        <f t="shared" si="190"/>
        <v/>
      </c>
      <c r="CV410" s="42" t="str">
        <f t="shared" si="191"/>
        <v/>
      </c>
      <c r="DB410" s="45"/>
      <c r="DH410" s="42" t="str">
        <f t="shared" si="192"/>
        <v/>
      </c>
      <c r="DI410" s="43" t="str">
        <f t="shared" si="193"/>
        <v/>
      </c>
      <c r="DK410" s="46" t="str">
        <f t="shared" si="194"/>
        <v/>
      </c>
      <c r="DQ410" s="42" t="str">
        <f>IF(AH410="","",IFERROR(ROUND(100*('Weighting Options'!$D$7*IF(ISNUMBER(CA410),CA410/3,0)+'Weighting Options'!$D$8*MIN(N(BL410),3)/3+'Weighting Options'!$D$9*IF(AP410="Community/Plenary-endorsed",1,IF(AP410="FGD-validated only",0.75,IF(AP410="Sub-community-specific",0.5,IF(AP410="Provisional/emerging",0.25,0))))+'Weighting Options'!$D$10*IF(ISNUMBER(K410),K410/3,0)+'Weighting Options'!$D$11*IF(CC410="",0.5,IF(CC410="OK",1,0.25))+'Weighting Options'!$D$12*IF(DK410="",0.5,IF(DK410="Agrees",1,IF(DK410="Opposite",0,0.5)))+'Weighting Options'!$D$13*MIN(N(BG410),3)/3+'Weighting Options'!$D$14*IF(AE410=1,1,0))/SUM('Weighting Options'!$D$7:$D$14),0),""))</f>
        <v/>
      </c>
      <c r="DR410" s="44" t="str">
        <f>IF(AH410="","",IFERROR(INDEX('Weighting Options'!$D$20:$D$27,VALUE(LEFT(TRIM(BU410),1))),1))</f>
        <v/>
      </c>
      <c r="DS410" s="44" t="str">
        <f t="shared" si="195"/>
        <v/>
      </c>
      <c r="DT410" s="42" t="str">
        <f>IF(AH410="","",IF(COUNTIFS($AH$12:AH410,AH410,$AI$12:AI410,AI410,$AM$12:AM410,AM410)=1,1,0))</f>
        <v/>
      </c>
    </row>
    <row r="411" spans="16:124" ht="12.75" customHeight="1" x14ac:dyDescent="0.35">
      <c r="P411" s="41"/>
      <c r="Q411" s="41"/>
      <c r="R411" s="41"/>
      <c r="S411" s="41"/>
      <c r="AH411" s="40"/>
      <c r="AP411" s="40"/>
      <c r="AS411" s="41"/>
      <c r="AT411" s="41"/>
      <c r="AW411" t="str">
        <f t="shared" si="168"/>
        <v/>
      </c>
      <c r="AX411" t="str">
        <f t="shared" si="169"/>
        <v/>
      </c>
      <c r="AY411" t="str">
        <f t="shared" si="170"/>
        <v/>
      </c>
      <c r="AZ411" s="40"/>
      <c r="BL411" s="47" t="str">
        <f t="shared" si="171"/>
        <v/>
      </c>
      <c r="BM411" s="47" t="str">
        <f t="shared" si="172"/>
        <v/>
      </c>
      <c r="BN411" s="47" t="str">
        <f t="shared" si="173"/>
        <v/>
      </c>
      <c r="BO411" s="47" t="str">
        <f t="shared" si="174"/>
        <v/>
      </c>
      <c r="BP411" s="47" t="str">
        <f t="shared" si="175"/>
        <v/>
      </c>
      <c r="BQ411" s="48" t="str">
        <f t="shared" si="176"/>
        <v/>
      </c>
      <c r="BR411" s="48" t="str">
        <f t="shared" si="177"/>
        <v/>
      </c>
      <c r="BS411" s="48" t="str">
        <f t="shared" si="178"/>
        <v/>
      </c>
      <c r="BT411" s="47" t="str">
        <f t="shared" si="179"/>
        <v/>
      </c>
      <c r="CA411" s="47" t="str">
        <f t="shared" si="180"/>
        <v/>
      </c>
      <c r="CB411" s="47" t="str">
        <f t="shared" si="181"/>
        <v/>
      </c>
      <c r="CC411" s="47" t="str">
        <f t="shared" si="182"/>
        <v/>
      </c>
      <c r="CD411" s="47" t="str">
        <f t="shared" si="183"/>
        <v/>
      </c>
      <c r="CE411" s="47" t="str">
        <f>IF(AH411="","",IF(OR(AI411&lt;&gt;'Seasonal Tercile Tally'!$B$3,AM411&lt;&gt;'Seasonal Tercile Tally'!$B$4),"Other site/ season",IF(DT411=0,"Excluded: duplicate (later row)",IF(N411&lt;&gt;1,"Excluded: not sighted",IF(AC411&lt;&gt;1,"Excluded: not confirmed",IF(AD411&lt;&gt;1,"Excluded: not approved",IF(AP411="Contested","Excluded: contested",IF(OR(U411="",U411=0),"Excluded: no tercile",IF(CB411="","Counted (simple tally only — no weight)","Counted")))))))))</f>
        <v/>
      </c>
      <c r="CF411" s="49" t="str">
        <f>IF(AH411="","",IFERROR(INDEX('Prior Multipliers'!$C$6:$C$70,MATCH(LEFT(AH411,10),'Prior Multipliers'!$A$6:$A$70,0)),IFERROR(INDEX('Prior Multipliers'!$C$6:$C$70,MATCH(LEFT(AH411,6),'Prior Multipliers'!$A$6:$A$70,0)),IFERROR(INDEX('Prior Multipliers'!$C$6:$C$70,MATCH(LEFT(AH411,2),'Prior Multipliers'!$A$6:$A$70,0)),1))))</f>
        <v/>
      </c>
      <c r="CG411" s="49" t="str">
        <f>IF(CB411="","",IF(AND('Seasonal Tercile Tally'!$B$5=1,BT411="Rating-based"),CB411*CF411,CB411))</f>
        <v/>
      </c>
      <c r="CH411" s="47">
        <f t="shared" si="184"/>
        <v>0</v>
      </c>
      <c r="CI411" s="45"/>
      <c r="CJ411" s="42" t="str">
        <f t="shared" si="185"/>
        <v/>
      </c>
      <c r="CM411" s="42" t="str">
        <f t="shared" si="186"/>
        <v/>
      </c>
      <c r="CP411" s="46" t="str">
        <f t="shared" si="187"/>
        <v/>
      </c>
      <c r="CS411" s="46" t="str">
        <f t="shared" si="188"/>
        <v/>
      </c>
      <c r="CT411" s="42" t="str">
        <f t="shared" si="189"/>
        <v/>
      </c>
      <c r="CU411" s="42" t="str">
        <f t="shared" si="190"/>
        <v/>
      </c>
      <c r="CV411" s="42" t="str">
        <f t="shared" si="191"/>
        <v/>
      </c>
      <c r="DB411" s="45"/>
      <c r="DH411" s="42" t="str">
        <f t="shared" si="192"/>
        <v/>
      </c>
      <c r="DI411" s="43" t="str">
        <f t="shared" si="193"/>
        <v/>
      </c>
      <c r="DK411" s="46" t="str">
        <f t="shared" si="194"/>
        <v/>
      </c>
      <c r="DQ411" s="42" t="str">
        <f>IF(AH411="","",IFERROR(ROUND(100*('Weighting Options'!$D$7*IF(ISNUMBER(CA411),CA411/3,0)+'Weighting Options'!$D$8*MIN(N(BL411),3)/3+'Weighting Options'!$D$9*IF(AP411="Community/Plenary-endorsed",1,IF(AP411="FGD-validated only",0.75,IF(AP411="Sub-community-specific",0.5,IF(AP411="Provisional/emerging",0.25,0))))+'Weighting Options'!$D$10*IF(ISNUMBER(K411),K411/3,0)+'Weighting Options'!$D$11*IF(CC411="",0.5,IF(CC411="OK",1,0.25))+'Weighting Options'!$D$12*IF(DK411="",0.5,IF(DK411="Agrees",1,IF(DK411="Opposite",0,0.5)))+'Weighting Options'!$D$13*MIN(N(BG411),3)/3+'Weighting Options'!$D$14*IF(AE411=1,1,0))/SUM('Weighting Options'!$D$7:$D$14),0),""))</f>
        <v/>
      </c>
      <c r="DR411" s="44" t="str">
        <f>IF(AH411="","",IFERROR(INDEX('Weighting Options'!$D$20:$D$27,VALUE(LEFT(TRIM(BU411),1))),1))</f>
        <v/>
      </c>
      <c r="DS411" s="44" t="str">
        <f t="shared" si="195"/>
        <v/>
      </c>
      <c r="DT411" s="42" t="str">
        <f>IF(AH411="","",IF(COUNTIFS($AH$12:AH411,AH411,$AI$12:AI411,AI411,$AM$12:AM411,AM411)=1,1,0))</f>
        <v/>
      </c>
    </row>
    <row r="412" spans="16:124" ht="12.75" customHeight="1" x14ac:dyDescent="0.35">
      <c r="P412" s="41"/>
      <c r="Q412" s="41"/>
      <c r="R412" s="41"/>
      <c r="S412" s="41"/>
      <c r="AH412" s="40"/>
      <c r="AP412" s="40"/>
      <c r="AS412" s="41"/>
      <c r="AT412" s="41"/>
      <c r="AW412" t="str">
        <f t="shared" si="168"/>
        <v/>
      </c>
      <c r="AX412" t="str">
        <f t="shared" si="169"/>
        <v/>
      </c>
      <c r="AY412" t="str">
        <f t="shared" si="170"/>
        <v/>
      </c>
      <c r="AZ412" s="40"/>
      <c r="BL412" s="47" t="str">
        <f t="shared" si="171"/>
        <v/>
      </c>
      <c r="BM412" s="47" t="str">
        <f t="shared" si="172"/>
        <v/>
      </c>
      <c r="BN412" s="47" t="str">
        <f t="shared" si="173"/>
        <v/>
      </c>
      <c r="BO412" s="47" t="str">
        <f t="shared" si="174"/>
        <v/>
      </c>
      <c r="BP412" s="47" t="str">
        <f t="shared" si="175"/>
        <v/>
      </c>
      <c r="BQ412" s="48" t="str">
        <f t="shared" si="176"/>
        <v/>
      </c>
      <c r="BR412" s="48" t="str">
        <f t="shared" si="177"/>
        <v/>
      </c>
      <c r="BS412" s="48" t="str">
        <f t="shared" si="178"/>
        <v/>
      </c>
      <c r="BT412" s="47" t="str">
        <f t="shared" si="179"/>
        <v/>
      </c>
      <c r="CA412" s="47" t="str">
        <f t="shared" si="180"/>
        <v/>
      </c>
      <c r="CB412" s="47" t="str">
        <f t="shared" si="181"/>
        <v/>
      </c>
      <c r="CC412" s="47" t="str">
        <f t="shared" si="182"/>
        <v/>
      </c>
      <c r="CD412" s="47" t="str">
        <f t="shared" si="183"/>
        <v/>
      </c>
      <c r="CE412" s="47" t="str">
        <f>IF(AH412="","",IF(OR(AI412&lt;&gt;'Seasonal Tercile Tally'!$B$3,AM412&lt;&gt;'Seasonal Tercile Tally'!$B$4),"Other site/ season",IF(DT412=0,"Excluded: duplicate (later row)",IF(N412&lt;&gt;1,"Excluded: not sighted",IF(AC412&lt;&gt;1,"Excluded: not confirmed",IF(AD412&lt;&gt;1,"Excluded: not approved",IF(AP412="Contested","Excluded: contested",IF(OR(U412="",U412=0),"Excluded: no tercile",IF(CB412="","Counted (simple tally only — no weight)","Counted")))))))))</f>
        <v/>
      </c>
      <c r="CF412" s="49" t="str">
        <f>IF(AH412="","",IFERROR(INDEX('Prior Multipliers'!$C$6:$C$70,MATCH(LEFT(AH412,10),'Prior Multipliers'!$A$6:$A$70,0)),IFERROR(INDEX('Prior Multipliers'!$C$6:$C$70,MATCH(LEFT(AH412,6),'Prior Multipliers'!$A$6:$A$70,0)),IFERROR(INDEX('Prior Multipliers'!$C$6:$C$70,MATCH(LEFT(AH412,2),'Prior Multipliers'!$A$6:$A$70,0)),1))))</f>
        <v/>
      </c>
      <c r="CG412" s="49" t="str">
        <f>IF(CB412="","",IF(AND('Seasonal Tercile Tally'!$B$5=1,BT412="Rating-based"),CB412*CF412,CB412))</f>
        <v/>
      </c>
      <c r="CH412" s="47">
        <f t="shared" si="184"/>
        <v>0</v>
      </c>
      <c r="CI412" s="45"/>
      <c r="CJ412" s="42" t="str">
        <f t="shared" si="185"/>
        <v/>
      </c>
      <c r="CM412" s="42" t="str">
        <f t="shared" si="186"/>
        <v/>
      </c>
      <c r="CP412" s="46" t="str">
        <f t="shared" si="187"/>
        <v/>
      </c>
      <c r="CS412" s="46" t="str">
        <f t="shared" si="188"/>
        <v/>
      </c>
      <c r="CT412" s="42" t="str">
        <f t="shared" si="189"/>
        <v/>
      </c>
      <c r="CU412" s="42" t="str">
        <f t="shared" si="190"/>
        <v/>
      </c>
      <c r="CV412" s="42" t="str">
        <f t="shared" si="191"/>
        <v/>
      </c>
      <c r="DB412" s="45"/>
      <c r="DH412" s="42" t="str">
        <f t="shared" si="192"/>
        <v/>
      </c>
      <c r="DI412" s="43" t="str">
        <f t="shared" si="193"/>
        <v/>
      </c>
      <c r="DK412" s="46" t="str">
        <f t="shared" si="194"/>
        <v/>
      </c>
      <c r="DQ412" s="42" t="str">
        <f>IF(AH412="","",IFERROR(ROUND(100*('Weighting Options'!$D$7*IF(ISNUMBER(CA412),CA412/3,0)+'Weighting Options'!$D$8*MIN(N(BL412),3)/3+'Weighting Options'!$D$9*IF(AP412="Community/Plenary-endorsed",1,IF(AP412="FGD-validated only",0.75,IF(AP412="Sub-community-specific",0.5,IF(AP412="Provisional/emerging",0.25,0))))+'Weighting Options'!$D$10*IF(ISNUMBER(K412),K412/3,0)+'Weighting Options'!$D$11*IF(CC412="",0.5,IF(CC412="OK",1,0.25))+'Weighting Options'!$D$12*IF(DK412="",0.5,IF(DK412="Agrees",1,IF(DK412="Opposite",0,0.5)))+'Weighting Options'!$D$13*MIN(N(BG412),3)/3+'Weighting Options'!$D$14*IF(AE412=1,1,0))/SUM('Weighting Options'!$D$7:$D$14),0),""))</f>
        <v/>
      </c>
      <c r="DR412" s="44" t="str">
        <f>IF(AH412="","",IFERROR(INDEX('Weighting Options'!$D$20:$D$27,VALUE(LEFT(TRIM(BU412),1))),1))</f>
        <v/>
      </c>
      <c r="DS412" s="44" t="str">
        <f t="shared" si="195"/>
        <v/>
      </c>
      <c r="DT412" s="42" t="str">
        <f>IF(AH412="","",IF(COUNTIFS($AH$12:AH412,AH412,$AI$12:AI412,AI412,$AM$12:AM412,AM412)=1,1,0))</f>
        <v/>
      </c>
    </row>
    <row r="413" spans="16:124" ht="12.75" customHeight="1" x14ac:dyDescent="0.35">
      <c r="P413" s="41"/>
      <c r="Q413" s="41"/>
      <c r="R413" s="41"/>
      <c r="S413" s="41"/>
      <c r="AH413" s="40"/>
      <c r="AP413" s="40"/>
      <c r="AS413" s="41"/>
      <c r="AT413" s="41"/>
      <c r="AW413" t="str">
        <f t="shared" si="168"/>
        <v/>
      </c>
      <c r="AX413" t="str">
        <f t="shared" si="169"/>
        <v/>
      </c>
      <c r="AY413" t="str">
        <f t="shared" si="170"/>
        <v/>
      </c>
      <c r="AZ413" s="40"/>
      <c r="BL413" s="47" t="str">
        <f t="shared" si="171"/>
        <v/>
      </c>
      <c r="BM413" s="47" t="str">
        <f t="shared" si="172"/>
        <v/>
      </c>
      <c r="BN413" s="47" t="str">
        <f t="shared" si="173"/>
        <v/>
      </c>
      <c r="BO413" s="47" t="str">
        <f t="shared" si="174"/>
        <v/>
      </c>
      <c r="BP413" s="47" t="str">
        <f t="shared" si="175"/>
        <v/>
      </c>
      <c r="BQ413" s="48" t="str">
        <f t="shared" si="176"/>
        <v/>
      </c>
      <c r="BR413" s="48" t="str">
        <f t="shared" si="177"/>
        <v/>
      </c>
      <c r="BS413" s="48" t="str">
        <f t="shared" si="178"/>
        <v/>
      </c>
      <c r="BT413" s="47" t="str">
        <f t="shared" si="179"/>
        <v/>
      </c>
      <c r="CA413" s="47" t="str">
        <f t="shared" si="180"/>
        <v/>
      </c>
      <c r="CB413" s="47" t="str">
        <f t="shared" si="181"/>
        <v/>
      </c>
      <c r="CC413" s="47" t="str">
        <f t="shared" si="182"/>
        <v/>
      </c>
      <c r="CD413" s="47" t="str">
        <f t="shared" si="183"/>
        <v/>
      </c>
      <c r="CE413" s="47" t="str">
        <f>IF(AH413="","",IF(OR(AI413&lt;&gt;'Seasonal Tercile Tally'!$B$3,AM413&lt;&gt;'Seasonal Tercile Tally'!$B$4),"Other site/ season",IF(DT413=0,"Excluded: duplicate (later row)",IF(N413&lt;&gt;1,"Excluded: not sighted",IF(AC413&lt;&gt;1,"Excluded: not confirmed",IF(AD413&lt;&gt;1,"Excluded: not approved",IF(AP413="Contested","Excluded: contested",IF(OR(U413="",U413=0),"Excluded: no tercile",IF(CB413="","Counted (simple tally only — no weight)","Counted")))))))))</f>
        <v/>
      </c>
      <c r="CF413" s="49" t="str">
        <f>IF(AH413="","",IFERROR(INDEX('Prior Multipliers'!$C$6:$C$70,MATCH(LEFT(AH413,10),'Prior Multipliers'!$A$6:$A$70,0)),IFERROR(INDEX('Prior Multipliers'!$C$6:$C$70,MATCH(LEFT(AH413,6),'Prior Multipliers'!$A$6:$A$70,0)),IFERROR(INDEX('Prior Multipliers'!$C$6:$C$70,MATCH(LEFT(AH413,2),'Prior Multipliers'!$A$6:$A$70,0)),1))))</f>
        <v/>
      </c>
      <c r="CG413" s="49" t="str">
        <f>IF(CB413="","",IF(AND('Seasonal Tercile Tally'!$B$5=1,BT413="Rating-based"),CB413*CF413,CB413))</f>
        <v/>
      </c>
      <c r="CH413" s="47">
        <f t="shared" si="184"/>
        <v>0</v>
      </c>
      <c r="CI413" s="45"/>
      <c r="CJ413" s="42" t="str">
        <f t="shared" si="185"/>
        <v/>
      </c>
      <c r="CM413" s="42" t="str">
        <f t="shared" si="186"/>
        <v/>
      </c>
      <c r="CP413" s="46" t="str">
        <f t="shared" si="187"/>
        <v/>
      </c>
      <c r="CS413" s="46" t="str">
        <f t="shared" si="188"/>
        <v/>
      </c>
      <c r="CT413" s="42" t="str">
        <f t="shared" si="189"/>
        <v/>
      </c>
      <c r="CU413" s="42" t="str">
        <f t="shared" si="190"/>
        <v/>
      </c>
      <c r="CV413" s="42" t="str">
        <f t="shared" si="191"/>
        <v/>
      </c>
      <c r="DB413" s="45"/>
      <c r="DH413" s="42" t="str">
        <f t="shared" si="192"/>
        <v/>
      </c>
      <c r="DI413" s="43" t="str">
        <f t="shared" si="193"/>
        <v/>
      </c>
      <c r="DK413" s="46" t="str">
        <f t="shared" si="194"/>
        <v/>
      </c>
      <c r="DQ413" s="42" t="str">
        <f>IF(AH413="","",IFERROR(ROUND(100*('Weighting Options'!$D$7*IF(ISNUMBER(CA413),CA413/3,0)+'Weighting Options'!$D$8*MIN(N(BL413),3)/3+'Weighting Options'!$D$9*IF(AP413="Community/Plenary-endorsed",1,IF(AP413="FGD-validated only",0.75,IF(AP413="Sub-community-specific",0.5,IF(AP413="Provisional/emerging",0.25,0))))+'Weighting Options'!$D$10*IF(ISNUMBER(K413),K413/3,0)+'Weighting Options'!$D$11*IF(CC413="",0.5,IF(CC413="OK",1,0.25))+'Weighting Options'!$D$12*IF(DK413="",0.5,IF(DK413="Agrees",1,IF(DK413="Opposite",0,0.5)))+'Weighting Options'!$D$13*MIN(N(BG413),3)/3+'Weighting Options'!$D$14*IF(AE413=1,1,0))/SUM('Weighting Options'!$D$7:$D$14),0),""))</f>
        <v/>
      </c>
      <c r="DR413" s="44" t="str">
        <f>IF(AH413="","",IFERROR(INDEX('Weighting Options'!$D$20:$D$27,VALUE(LEFT(TRIM(BU413),1))),1))</f>
        <v/>
      </c>
      <c r="DS413" s="44" t="str">
        <f t="shared" si="195"/>
        <v/>
      </c>
      <c r="DT413" s="42" t="str">
        <f>IF(AH413="","",IF(COUNTIFS($AH$12:AH413,AH413,$AI$12:AI413,AI413,$AM$12:AM413,AM413)=1,1,0))</f>
        <v/>
      </c>
    </row>
    <row r="414" spans="16:124" ht="12.75" customHeight="1" x14ac:dyDescent="0.35">
      <c r="P414" s="41"/>
      <c r="Q414" s="41"/>
      <c r="R414" s="41"/>
      <c r="S414" s="41"/>
      <c r="AH414" s="40"/>
      <c r="AP414" s="40"/>
      <c r="AS414" s="41"/>
      <c r="AT414" s="41"/>
      <c r="AW414" t="str">
        <f t="shared" si="168"/>
        <v/>
      </c>
      <c r="AX414" t="str">
        <f t="shared" si="169"/>
        <v/>
      </c>
      <c r="AY414" t="str">
        <f t="shared" si="170"/>
        <v/>
      </c>
      <c r="AZ414" s="40"/>
      <c r="BL414" s="47" t="str">
        <f t="shared" si="171"/>
        <v/>
      </c>
      <c r="BM414" s="47" t="str">
        <f t="shared" si="172"/>
        <v/>
      </c>
      <c r="BN414" s="47" t="str">
        <f t="shared" si="173"/>
        <v/>
      </c>
      <c r="BO414" s="47" t="str">
        <f t="shared" si="174"/>
        <v/>
      </c>
      <c r="BP414" s="47" t="str">
        <f t="shared" si="175"/>
        <v/>
      </c>
      <c r="BQ414" s="48" t="str">
        <f t="shared" si="176"/>
        <v/>
      </c>
      <c r="BR414" s="48" t="str">
        <f t="shared" si="177"/>
        <v/>
      </c>
      <c r="BS414" s="48" t="str">
        <f t="shared" si="178"/>
        <v/>
      </c>
      <c r="BT414" s="47" t="str">
        <f t="shared" si="179"/>
        <v/>
      </c>
      <c r="CA414" s="47" t="str">
        <f t="shared" si="180"/>
        <v/>
      </c>
      <c r="CB414" s="47" t="str">
        <f t="shared" si="181"/>
        <v/>
      </c>
      <c r="CC414" s="47" t="str">
        <f t="shared" si="182"/>
        <v/>
      </c>
      <c r="CD414" s="47" t="str">
        <f t="shared" si="183"/>
        <v/>
      </c>
      <c r="CE414" s="47" t="str">
        <f>IF(AH414="","",IF(OR(AI414&lt;&gt;'Seasonal Tercile Tally'!$B$3,AM414&lt;&gt;'Seasonal Tercile Tally'!$B$4),"Other site/ season",IF(DT414=0,"Excluded: duplicate (later row)",IF(N414&lt;&gt;1,"Excluded: not sighted",IF(AC414&lt;&gt;1,"Excluded: not confirmed",IF(AD414&lt;&gt;1,"Excluded: not approved",IF(AP414="Contested","Excluded: contested",IF(OR(U414="",U414=0),"Excluded: no tercile",IF(CB414="","Counted (simple tally only — no weight)","Counted")))))))))</f>
        <v/>
      </c>
      <c r="CF414" s="49" t="str">
        <f>IF(AH414="","",IFERROR(INDEX('Prior Multipliers'!$C$6:$C$70,MATCH(LEFT(AH414,10),'Prior Multipliers'!$A$6:$A$70,0)),IFERROR(INDEX('Prior Multipliers'!$C$6:$C$70,MATCH(LEFT(AH414,6),'Prior Multipliers'!$A$6:$A$70,0)),IFERROR(INDEX('Prior Multipliers'!$C$6:$C$70,MATCH(LEFT(AH414,2),'Prior Multipliers'!$A$6:$A$70,0)),1))))</f>
        <v/>
      </c>
      <c r="CG414" s="49" t="str">
        <f>IF(CB414="","",IF(AND('Seasonal Tercile Tally'!$B$5=1,BT414="Rating-based"),CB414*CF414,CB414))</f>
        <v/>
      </c>
      <c r="CH414" s="47">
        <f t="shared" si="184"/>
        <v>0</v>
      </c>
      <c r="CI414" s="45"/>
      <c r="CJ414" s="42" t="str">
        <f t="shared" si="185"/>
        <v/>
      </c>
      <c r="CM414" s="42" t="str">
        <f t="shared" si="186"/>
        <v/>
      </c>
      <c r="CP414" s="46" t="str">
        <f t="shared" si="187"/>
        <v/>
      </c>
      <c r="CS414" s="46" t="str">
        <f t="shared" si="188"/>
        <v/>
      </c>
      <c r="CT414" s="42" t="str">
        <f t="shared" si="189"/>
        <v/>
      </c>
      <c r="CU414" s="42" t="str">
        <f t="shared" si="190"/>
        <v/>
      </c>
      <c r="CV414" s="42" t="str">
        <f t="shared" si="191"/>
        <v/>
      </c>
      <c r="DB414" s="45"/>
      <c r="DH414" s="42" t="str">
        <f t="shared" si="192"/>
        <v/>
      </c>
      <c r="DI414" s="43" t="str">
        <f t="shared" si="193"/>
        <v/>
      </c>
      <c r="DK414" s="46" t="str">
        <f t="shared" si="194"/>
        <v/>
      </c>
      <c r="DQ414" s="42" t="str">
        <f>IF(AH414="","",IFERROR(ROUND(100*('Weighting Options'!$D$7*IF(ISNUMBER(CA414),CA414/3,0)+'Weighting Options'!$D$8*MIN(N(BL414),3)/3+'Weighting Options'!$D$9*IF(AP414="Community/Plenary-endorsed",1,IF(AP414="FGD-validated only",0.75,IF(AP414="Sub-community-specific",0.5,IF(AP414="Provisional/emerging",0.25,0))))+'Weighting Options'!$D$10*IF(ISNUMBER(K414),K414/3,0)+'Weighting Options'!$D$11*IF(CC414="",0.5,IF(CC414="OK",1,0.25))+'Weighting Options'!$D$12*IF(DK414="",0.5,IF(DK414="Agrees",1,IF(DK414="Opposite",0,0.5)))+'Weighting Options'!$D$13*MIN(N(BG414),3)/3+'Weighting Options'!$D$14*IF(AE414=1,1,0))/SUM('Weighting Options'!$D$7:$D$14),0),""))</f>
        <v/>
      </c>
      <c r="DR414" s="44" t="str">
        <f>IF(AH414="","",IFERROR(INDEX('Weighting Options'!$D$20:$D$27,VALUE(LEFT(TRIM(BU414),1))),1))</f>
        <v/>
      </c>
      <c r="DS414" s="44" t="str">
        <f t="shared" si="195"/>
        <v/>
      </c>
      <c r="DT414" s="42" t="str">
        <f>IF(AH414="","",IF(COUNTIFS($AH$12:AH414,AH414,$AI$12:AI414,AI414,$AM$12:AM414,AM414)=1,1,0))</f>
        <v/>
      </c>
    </row>
    <row r="415" spans="16:124" ht="12.75" customHeight="1" x14ac:dyDescent="0.35">
      <c r="P415" s="41"/>
      <c r="Q415" s="41"/>
      <c r="R415" s="41"/>
      <c r="S415" s="41"/>
      <c r="AH415" s="40"/>
      <c r="AP415" s="40"/>
      <c r="AS415" s="41"/>
      <c r="AT415" s="41"/>
      <c r="AW415" t="str">
        <f t="shared" si="168"/>
        <v/>
      </c>
      <c r="AX415" t="str">
        <f t="shared" si="169"/>
        <v/>
      </c>
      <c r="AY415" t="str">
        <f t="shared" si="170"/>
        <v/>
      </c>
      <c r="AZ415" s="40"/>
      <c r="BL415" s="47" t="str">
        <f t="shared" si="171"/>
        <v/>
      </c>
      <c r="BM415" s="47" t="str">
        <f t="shared" si="172"/>
        <v/>
      </c>
      <c r="BN415" s="47" t="str">
        <f t="shared" si="173"/>
        <v/>
      </c>
      <c r="BO415" s="47" t="str">
        <f t="shared" si="174"/>
        <v/>
      </c>
      <c r="BP415" s="47" t="str">
        <f t="shared" si="175"/>
        <v/>
      </c>
      <c r="BQ415" s="48" t="str">
        <f t="shared" si="176"/>
        <v/>
      </c>
      <c r="BR415" s="48" t="str">
        <f t="shared" si="177"/>
        <v/>
      </c>
      <c r="BS415" s="48" t="str">
        <f t="shared" si="178"/>
        <v/>
      </c>
      <c r="BT415" s="47" t="str">
        <f t="shared" si="179"/>
        <v/>
      </c>
      <c r="CA415" s="47" t="str">
        <f t="shared" si="180"/>
        <v/>
      </c>
      <c r="CB415" s="47" t="str">
        <f t="shared" si="181"/>
        <v/>
      </c>
      <c r="CC415" s="47" t="str">
        <f t="shared" si="182"/>
        <v/>
      </c>
      <c r="CD415" s="47" t="str">
        <f t="shared" si="183"/>
        <v/>
      </c>
      <c r="CE415" s="47" t="str">
        <f>IF(AH415="","",IF(OR(AI415&lt;&gt;'Seasonal Tercile Tally'!$B$3,AM415&lt;&gt;'Seasonal Tercile Tally'!$B$4),"Other site/ season",IF(DT415=0,"Excluded: duplicate (later row)",IF(N415&lt;&gt;1,"Excluded: not sighted",IF(AC415&lt;&gt;1,"Excluded: not confirmed",IF(AD415&lt;&gt;1,"Excluded: not approved",IF(AP415="Contested","Excluded: contested",IF(OR(U415="",U415=0),"Excluded: no tercile",IF(CB415="","Counted (simple tally only — no weight)","Counted")))))))))</f>
        <v/>
      </c>
      <c r="CF415" s="49" t="str">
        <f>IF(AH415="","",IFERROR(INDEX('Prior Multipliers'!$C$6:$C$70,MATCH(LEFT(AH415,10),'Prior Multipliers'!$A$6:$A$70,0)),IFERROR(INDEX('Prior Multipliers'!$C$6:$C$70,MATCH(LEFT(AH415,6),'Prior Multipliers'!$A$6:$A$70,0)),IFERROR(INDEX('Prior Multipliers'!$C$6:$C$70,MATCH(LEFT(AH415,2),'Prior Multipliers'!$A$6:$A$70,0)),1))))</f>
        <v/>
      </c>
      <c r="CG415" s="49" t="str">
        <f>IF(CB415="","",IF(AND('Seasonal Tercile Tally'!$B$5=1,BT415="Rating-based"),CB415*CF415,CB415))</f>
        <v/>
      </c>
      <c r="CH415" s="47">
        <f t="shared" si="184"/>
        <v>0</v>
      </c>
      <c r="CI415" s="45"/>
      <c r="CJ415" s="42" t="str">
        <f t="shared" si="185"/>
        <v/>
      </c>
      <c r="CM415" s="42" t="str">
        <f t="shared" si="186"/>
        <v/>
      </c>
      <c r="CP415" s="46" t="str">
        <f t="shared" si="187"/>
        <v/>
      </c>
      <c r="CS415" s="46" t="str">
        <f t="shared" si="188"/>
        <v/>
      </c>
      <c r="CT415" s="42" t="str">
        <f t="shared" si="189"/>
        <v/>
      </c>
      <c r="CU415" s="42" t="str">
        <f t="shared" si="190"/>
        <v/>
      </c>
      <c r="CV415" s="42" t="str">
        <f t="shared" si="191"/>
        <v/>
      </c>
      <c r="DB415" s="45"/>
      <c r="DH415" s="42" t="str">
        <f t="shared" si="192"/>
        <v/>
      </c>
      <c r="DI415" s="43" t="str">
        <f t="shared" si="193"/>
        <v/>
      </c>
      <c r="DK415" s="46" t="str">
        <f t="shared" si="194"/>
        <v/>
      </c>
      <c r="DQ415" s="42" t="str">
        <f>IF(AH415="","",IFERROR(ROUND(100*('Weighting Options'!$D$7*IF(ISNUMBER(CA415),CA415/3,0)+'Weighting Options'!$D$8*MIN(N(BL415),3)/3+'Weighting Options'!$D$9*IF(AP415="Community/Plenary-endorsed",1,IF(AP415="FGD-validated only",0.75,IF(AP415="Sub-community-specific",0.5,IF(AP415="Provisional/emerging",0.25,0))))+'Weighting Options'!$D$10*IF(ISNUMBER(K415),K415/3,0)+'Weighting Options'!$D$11*IF(CC415="",0.5,IF(CC415="OK",1,0.25))+'Weighting Options'!$D$12*IF(DK415="",0.5,IF(DK415="Agrees",1,IF(DK415="Opposite",0,0.5)))+'Weighting Options'!$D$13*MIN(N(BG415),3)/3+'Weighting Options'!$D$14*IF(AE415=1,1,0))/SUM('Weighting Options'!$D$7:$D$14),0),""))</f>
        <v/>
      </c>
      <c r="DR415" s="44" t="str">
        <f>IF(AH415="","",IFERROR(INDEX('Weighting Options'!$D$20:$D$27,VALUE(LEFT(TRIM(BU415),1))),1))</f>
        <v/>
      </c>
      <c r="DS415" s="44" t="str">
        <f t="shared" si="195"/>
        <v/>
      </c>
      <c r="DT415" s="42" t="str">
        <f>IF(AH415="","",IF(COUNTIFS($AH$12:AH415,AH415,$AI$12:AI415,AI415,$AM$12:AM415,AM415)=1,1,0))</f>
        <v/>
      </c>
    </row>
    <row r="416" spans="16:124" ht="12.75" customHeight="1" x14ac:dyDescent="0.35">
      <c r="P416" s="41"/>
      <c r="Q416" s="41"/>
      <c r="R416" s="41"/>
      <c r="S416" s="41"/>
      <c r="AH416" s="40"/>
      <c r="AP416" s="40"/>
      <c r="AS416" s="41"/>
      <c r="AT416" s="41"/>
      <c r="AW416" t="str">
        <f t="shared" si="168"/>
        <v/>
      </c>
      <c r="AX416" t="str">
        <f t="shared" si="169"/>
        <v/>
      </c>
      <c r="AY416" t="str">
        <f t="shared" si="170"/>
        <v/>
      </c>
      <c r="AZ416" s="40"/>
      <c r="BL416" s="47" t="str">
        <f t="shared" si="171"/>
        <v/>
      </c>
      <c r="BM416" s="47" t="str">
        <f t="shared" si="172"/>
        <v/>
      </c>
      <c r="BN416" s="47" t="str">
        <f t="shared" si="173"/>
        <v/>
      </c>
      <c r="BO416" s="47" t="str">
        <f t="shared" si="174"/>
        <v/>
      </c>
      <c r="BP416" s="47" t="str">
        <f t="shared" si="175"/>
        <v/>
      </c>
      <c r="BQ416" s="48" t="str">
        <f t="shared" si="176"/>
        <v/>
      </c>
      <c r="BR416" s="48" t="str">
        <f t="shared" si="177"/>
        <v/>
      </c>
      <c r="BS416" s="48" t="str">
        <f t="shared" si="178"/>
        <v/>
      </c>
      <c r="BT416" s="47" t="str">
        <f t="shared" si="179"/>
        <v/>
      </c>
      <c r="CA416" s="47" t="str">
        <f t="shared" si="180"/>
        <v/>
      </c>
      <c r="CB416" s="47" t="str">
        <f t="shared" si="181"/>
        <v/>
      </c>
      <c r="CC416" s="47" t="str">
        <f t="shared" si="182"/>
        <v/>
      </c>
      <c r="CD416" s="47" t="str">
        <f t="shared" si="183"/>
        <v/>
      </c>
      <c r="CE416" s="47" t="str">
        <f>IF(AH416="","",IF(OR(AI416&lt;&gt;'Seasonal Tercile Tally'!$B$3,AM416&lt;&gt;'Seasonal Tercile Tally'!$B$4),"Other site/ season",IF(DT416=0,"Excluded: duplicate (later row)",IF(N416&lt;&gt;1,"Excluded: not sighted",IF(AC416&lt;&gt;1,"Excluded: not confirmed",IF(AD416&lt;&gt;1,"Excluded: not approved",IF(AP416="Contested","Excluded: contested",IF(OR(U416="",U416=0),"Excluded: no tercile",IF(CB416="","Counted (simple tally only — no weight)","Counted")))))))))</f>
        <v/>
      </c>
      <c r="CF416" s="49" t="str">
        <f>IF(AH416="","",IFERROR(INDEX('Prior Multipliers'!$C$6:$C$70,MATCH(LEFT(AH416,10),'Prior Multipliers'!$A$6:$A$70,0)),IFERROR(INDEX('Prior Multipliers'!$C$6:$C$70,MATCH(LEFT(AH416,6),'Prior Multipliers'!$A$6:$A$70,0)),IFERROR(INDEX('Prior Multipliers'!$C$6:$C$70,MATCH(LEFT(AH416,2),'Prior Multipliers'!$A$6:$A$70,0)),1))))</f>
        <v/>
      </c>
      <c r="CG416" s="49" t="str">
        <f>IF(CB416="","",IF(AND('Seasonal Tercile Tally'!$B$5=1,BT416="Rating-based"),CB416*CF416,CB416))</f>
        <v/>
      </c>
      <c r="CH416" s="47">
        <f t="shared" si="184"/>
        <v>0</v>
      </c>
      <c r="CI416" s="45"/>
      <c r="CJ416" s="42" t="str">
        <f t="shared" si="185"/>
        <v/>
      </c>
      <c r="CM416" s="42" t="str">
        <f t="shared" si="186"/>
        <v/>
      </c>
      <c r="CP416" s="46" t="str">
        <f t="shared" si="187"/>
        <v/>
      </c>
      <c r="CS416" s="46" t="str">
        <f t="shared" si="188"/>
        <v/>
      </c>
      <c r="CT416" s="42" t="str">
        <f t="shared" si="189"/>
        <v/>
      </c>
      <c r="CU416" s="42" t="str">
        <f t="shared" si="190"/>
        <v/>
      </c>
      <c r="CV416" s="42" t="str">
        <f t="shared" si="191"/>
        <v/>
      </c>
      <c r="DB416" s="45"/>
      <c r="DH416" s="42" t="str">
        <f t="shared" si="192"/>
        <v/>
      </c>
      <c r="DI416" s="43" t="str">
        <f t="shared" si="193"/>
        <v/>
      </c>
      <c r="DK416" s="46" t="str">
        <f t="shared" si="194"/>
        <v/>
      </c>
      <c r="DQ416" s="42" t="str">
        <f>IF(AH416="","",IFERROR(ROUND(100*('Weighting Options'!$D$7*IF(ISNUMBER(CA416),CA416/3,0)+'Weighting Options'!$D$8*MIN(N(BL416),3)/3+'Weighting Options'!$D$9*IF(AP416="Community/Plenary-endorsed",1,IF(AP416="FGD-validated only",0.75,IF(AP416="Sub-community-specific",0.5,IF(AP416="Provisional/emerging",0.25,0))))+'Weighting Options'!$D$10*IF(ISNUMBER(K416),K416/3,0)+'Weighting Options'!$D$11*IF(CC416="",0.5,IF(CC416="OK",1,0.25))+'Weighting Options'!$D$12*IF(DK416="",0.5,IF(DK416="Agrees",1,IF(DK416="Opposite",0,0.5)))+'Weighting Options'!$D$13*MIN(N(BG416),3)/3+'Weighting Options'!$D$14*IF(AE416=1,1,0))/SUM('Weighting Options'!$D$7:$D$14),0),""))</f>
        <v/>
      </c>
      <c r="DR416" s="44" t="str">
        <f>IF(AH416="","",IFERROR(INDEX('Weighting Options'!$D$20:$D$27,VALUE(LEFT(TRIM(BU416),1))),1))</f>
        <v/>
      </c>
      <c r="DS416" s="44" t="str">
        <f t="shared" si="195"/>
        <v/>
      </c>
      <c r="DT416" s="42" t="str">
        <f>IF(AH416="","",IF(COUNTIFS($AH$12:AH416,AH416,$AI$12:AI416,AI416,$AM$12:AM416,AM416)=1,1,0))</f>
        <v/>
      </c>
    </row>
    <row r="417" spans="16:124" ht="12.75" customHeight="1" x14ac:dyDescent="0.35">
      <c r="P417" s="41"/>
      <c r="Q417" s="41"/>
      <c r="R417" s="41"/>
      <c r="S417" s="41"/>
      <c r="AH417" s="40"/>
      <c r="AP417" s="40"/>
      <c r="AS417" s="41"/>
      <c r="AT417" s="41"/>
      <c r="AW417" t="str">
        <f t="shared" si="168"/>
        <v/>
      </c>
      <c r="AX417" t="str">
        <f t="shared" si="169"/>
        <v/>
      </c>
      <c r="AY417" t="str">
        <f t="shared" si="170"/>
        <v/>
      </c>
      <c r="AZ417" s="40"/>
      <c r="BL417" s="47" t="str">
        <f t="shared" si="171"/>
        <v/>
      </c>
      <c r="BM417" s="47" t="str">
        <f t="shared" si="172"/>
        <v/>
      </c>
      <c r="BN417" s="47" t="str">
        <f t="shared" si="173"/>
        <v/>
      </c>
      <c r="BO417" s="47" t="str">
        <f t="shared" si="174"/>
        <v/>
      </c>
      <c r="BP417" s="47" t="str">
        <f t="shared" si="175"/>
        <v/>
      </c>
      <c r="BQ417" s="48" t="str">
        <f t="shared" si="176"/>
        <v/>
      </c>
      <c r="BR417" s="48" t="str">
        <f t="shared" si="177"/>
        <v/>
      </c>
      <c r="BS417" s="48" t="str">
        <f t="shared" si="178"/>
        <v/>
      </c>
      <c r="BT417" s="47" t="str">
        <f t="shared" si="179"/>
        <v/>
      </c>
      <c r="CA417" s="47" t="str">
        <f t="shared" si="180"/>
        <v/>
      </c>
      <c r="CB417" s="47" t="str">
        <f t="shared" si="181"/>
        <v/>
      </c>
      <c r="CC417" s="47" t="str">
        <f t="shared" si="182"/>
        <v/>
      </c>
      <c r="CD417" s="47" t="str">
        <f t="shared" si="183"/>
        <v/>
      </c>
      <c r="CE417" s="47" t="str">
        <f>IF(AH417="","",IF(OR(AI417&lt;&gt;'Seasonal Tercile Tally'!$B$3,AM417&lt;&gt;'Seasonal Tercile Tally'!$B$4),"Other site/ season",IF(DT417=0,"Excluded: duplicate (later row)",IF(N417&lt;&gt;1,"Excluded: not sighted",IF(AC417&lt;&gt;1,"Excluded: not confirmed",IF(AD417&lt;&gt;1,"Excluded: not approved",IF(AP417="Contested","Excluded: contested",IF(OR(U417="",U417=0),"Excluded: no tercile",IF(CB417="","Counted (simple tally only — no weight)","Counted")))))))))</f>
        <v/>
      </c>
      <c r="CF417" s="49" t="str">
        <f>IF(AH417="","",IFERROR(INDEX('Prior Multipliers'!$C$6:$C$70,MATCH(LEFT(AH417,10),'Prior Multipliers'!$A$6:$A$70,0)),IFERROR(INDEX('Prior Multipliers'!$C$6:$C$70,MATCH(LEFT(AH417,6),'Prior Multipliers'!$A$6:$A$70,0)),IFERROR(INDEX('Prior Multipliers'!$C$6:$C$70,MATCH(LEFT(AH417,2),'Prior Multipliers'!$A$6:$A$70,0)),1))))</f>
        <v/>
      </c>
      <c r="CG417" s="49" t="str">
        <f>IF(CB417="","",IF(AND('Seasonal Tercile Tally'!$B$5=1,BT417="Rating-based"),CB417*CF417,CB417))</f>
        <v/>
      </c>
      <c r="CH417" s="47">
        <f t="shared" si="184"/>
        <v>0</v>
      </c>
      <c r="CI417" s="45"/>
      <c r="CJ417" s="42" t="str">
        <f t="shared" si="185"/>
        <v/>
      </c>
      <c r="CM417" s="42" t="str">
        <f t="shared" si="186"/>
        <v/>
      </c>
      <c r="CP417" s="46" t="str">
        <f t="shared" si="187"/>
        <v/>
      </c>
      <c r="CS417" s="46" t="str">
        <f t="shared" si="188"/>
        <v/>
      </c>
      <c r="CT417" s="42" t="str">
        <f t="shared" si="189"/>
        <v/>
      </c>
      <c r="CU417" s="42" t="str">
        <f t="shared" si="190"/>
        <v/>
      </c>
      <c r="CV417" s="42" t="str">
        <f t="shared" si="191"/>
        <v/>
      </c>
      <c r="DB417" s="45"/>
      <c r="DH417" s="42" t="str">
        <f t="shared" si="192"/>
        <v/>
      </c>
      <c r="DI417" s="43" t="str">
        <f t="shared" si="193"/>
        <v/>
      </c>
      <c r="DK417" s="46" t="str">
        <f t="shared" si="194"/>
        <v/>
      </c>
      <c r="DQ417" s="42" t="str">
        <f>IF(AH417="","",IFERROR(ROUND(100*('Weighting Options'!$D$7*IF(ISNUMBER(CA417),CA417/3,0)+'Weighting Options'!$D$8*MIN(N(BL417),3)/3+'Weighting Options'!$D$9*IF(AP417="Community/Plenary-endorsed",1,IF(AP417="FGD-validated only",0.75,IF(AP417="Sub-community-specific",0.5,IF(AP417="Provisional/emerging",0.25,0))))+'Weighting Options'!$D$10*IF(ISNUMBER(K417),K417/3,0)+'Weighting Options'!$D$11*IF(CC417="",0.5,IF(CC417="OK",1,0.25))+'Weighting Options'!$D$12*IF(DK417="",0.5,IF(DK417="Agrees",1,IF(DK417="Opposite",0,0.5)))+'Weighting Options'!$D$13*MIN(N(BG417),3)/3+'Weighting Options'!$D$14*IF(AE417=1,1,0))/SUM('Weighting Options'!$D$7:$D$14),0),""))</f>
        <v/>
      </c>
      <c r="DR417" s="44" t="str">
        <f>IF(AH417="","",IFERROR(INDEX('Weighting Options'!$D$20:$D$27,VALUE(LEFT(TRIM(BU417),1))),1))</f>
        <v/>
      </c>
      <c r="DS417" s="44" t="str">
        <f t="shared" si="195"/>
        <v/>
      </c>
      <c r="DT417" s="42" t="str">
        <f>IF(AH417="","",IF(COUNTIFS($AH$12:AH417,AH417,$AI$12:AI417,AI417,$AM$12:AM417,AM417)=1,1,0))</f>
        <v/>
      </c>
    </row>
    <row r="418" spans="16:124" ht="12.75" customHeight="1" x14ac:dyDescent="0.35">
      <c r="P418" s="41"/>
      <c r="Q418" s="41"/>
      <c r="R418" s="41"/>
      <c r="S418" s="41"/>
      <c r="AH418" s="40"/>
      <c r="AP418" s="40"/>
      <c r="AS418" s="41"/>
      <c r="AT418" s="41"/>
      <c r="AW418" t="str">
        <f t="shared" si="168"/>
        <v/>
      </c>
      <c r="AX418" t="str">
        <f t="shared" si="169"/>
        <v/>
      </c>
      <c r="AY418" t="str">
        <f t="shared" si="170"/>
        <v/>
      </c>
      <c r="AZ418" s="40"/>
      <c r="BL418" s="47" t="str">
        <f t="shared" si="171"/>
        <v/>
      </c>
      <c r="BM418" s="47" t="str">
        <f t="shared" si="172"/>
        <v/>
      </c>
      <c r="BN418" s="47" t="str">
        <f t="shared" si="173"/>
        <v/>
      </c>
      <c r="BO418" s="47" t="str">
        <f t="shared" si="174"/>
        <v/>
      </c>
      <c r="BP418" s="47" t="str">
        <f t="shared" si="175"/>
        <v/>
      </c>
      <c r="BQ418" s="48" t="str">
        <f t="shared" si="176"/>
        <v/>
      </c>
      <c r="BR418" s="48" t="str">
        <f t="shared" si="177"/>
        <v/>
      </c>
      <c r="BS418" s="48" t="str">
        <f t="shared" si="178"/>
        <v/>
      </c>
      <c r="BT418" s="47" t="str">
        <f t="shared" si="179"/>
        <v/>
      </c>
      <c r="CA418" s="47" t="str">
        <f t="shared" si="180"/>
        <v/>
      </c>
      <c r="CB418" s="47" t="str">
        <f t="shared" si="181"/>
        <v/>
      </c>
      <c r="CC418" s="47" t="str">
        <f t="shared" si="182"/>
        <v/>
      </c>
      <c r="CD418" s="47" t="str">
        <f t="shared" si="183"/>
        <v/>
      </c>
      <c r="CE418" s="47" t="str">
        <f>IF(AH418="","",IF(OR(AI418&lt;&gt;'Seasonal Tercile Tally'!$B$3,AM418&lt;&gt;'Seasonal Tercile Tally'!$B$4),"Other site/ season",IF(DT418=0,"Excluded: duplicate (later row)",IF(N418&lt;&gt;1,"Excluded: not sighted",IF(AC418&lt;&gt;1,"Excluded: not confirmed",IF(AD418&lt;&gt;1,"Excluded: not approved",IF(AP418="Contested","Excluded: contested",IF(OR(U418="",U418=0),"Excluded: no tercile",IF(CB418="","Counted (simple tally only — no weight)","Counted")))))))))</f>
        <v/>
      </c>
      <c r="CF418" s="49" t="str">
        <f>IF(AH418="","",IFERROR(INDEX('Prior Multipliers'!$C$6:$C$70,MATCH(LEFT(AH418,10),'Prior Multipliers'!$A$6:$A$70,0)),IFERROR(INDEX('Prior Multipliers'!$C$6:$C$70,MATCH(LEFT(AH418,6),'Prior Multipliers'!$A$6:$A$70,0)),IFERROR(INDEX('Prior Multipliers'!$C$6:$C$70,MATCH(LEFT(AH418,2),'Prior Multipliers'!$A$6:$A$70,0)),1))))</f>
        <v/>
      </c>
      <c r="CG418" s="49" t="str">
        <f>IF(CB418="","",IF(AND('Seasonal Tercile Tally'!$B$5=1,BT418="Rating-based"),CB418*CF418,CB418))</f>
        <v/>
      </c>
      <c r="CH418" s="47">
        <f t="shared" si="184"/>
        <v>0</v>
      </c>
      <c r="CI418" s="45"/>
      <c r="CJ418" s="42" t="str">
        <f t="shared" si="185"/>
        <v/>
      </c>
      <c r="CM418" s="42" t="str">
        <f t="shared" si="186"/>
        <v/>
      </c>
      <c r="CP418" s="46" t="str">
        <f t="shared" si="187"/>
        <v/>
      </c>
      <c r="CS418" s="46" t="str">
        <f t="shared" si="188"/>
        <v/>
      </c>
      <c r="CT418" s="42" t="str">
        <f t="shared" si="189"/>
        <v/>
      </c>
      <c r="CU418" s="42" t="str">
        <f t="shared" si="190"/>
        <v/>
      </c>
      <c r="CV418" s="42" t="str">
        <f t="shared" si="191"/>
        <v/>
      </c>
      <c r="DB418" s="45"/>
      <c r="DH418" s="42" t="str">
        <f t="shared" si="192"/>
        <v/>
      </c>
      <c r="DI418" s="43" t="str">
        <f t="shared" si="193"/>
        <v/>
      </c>
      <c r="DK418" s="46" t="str">
        <f t="shared" si="194"/>
        <v/>
      </c>
      <c r="DQ418" s="42" t="str">
        <f>IF(AH418="","",IFERROR(ROUND(100*('Weighting Options'!$D$7*IF(ISNUMBER(CA418),CA418/3,0)+'Weighting Options'!$D$8*MIN(N(BL418),3)/3+'Weighting Options'!$D$9*IF(AP418="Community/Plenary-endorsed",1,IF(AP418="FGD-validated only",0.75,IF(AP418="Sub-community-specific",0.5,IF(AP418="Provisional/emerging",0.25,0))))+'Weighting Options'!$D$10*IF(ISNUMBER(K418),K418/3,0)+'Weighting Options'!$D$11*IF(CC418="",0.5,IF(CC418="OK",1,0.25))+'Weighting Options'!$D$12*IF(DK418="",0.5,IF(DK418="Agrees",1,IF(DK418="Opposite",0,0.5)))+'Weighting Options'!$D$13*MIN(N(BG418),3)/3+'Weighting Options'!$D$14*IF(AE418=1,1,0))/SUM('Weighting Options'!$D$7:$D$14),0),""))</f>
        <v/>
      </c>
      <c r="DR418" s="44" t="str">
        <f>IF(AH418="","",IFERROR(INDEX('Weighting Options'!$D$20:$D$27,VALUE(LEFT(TRIM(BU418),1))),1))</f>
        <v/>
      </c>
      <c r="DS418" s="44" t="str">
        <f t="shared" si="195"/>
        <v/>
      </c>
      <c r="DT418" s="42" t="str">
        <f>IF(AH418="","",IF(COUNTIFS($AH$12:AH418,AH418,$AI$12:AI418,AI418,$AM$12:AM418,AM418)=1,1,0))</f>
        <v/>
      </c>
    </row>
    <row r="419" spans="16:124" ht="12.75" customHeight="1" x14ac:dyDescent="0.35">
      <c r="P419" s="41"/>
      <c r="Q419" s="41"/>
      <c r="R419" s="41"/>
      <c r="S419" s="41"/>
      <c r="AH419" s="40"/>
      <c r="AP419" s="40"/>
      <c r="AS419" s="41"/>
      <c r="AT419" s="41"/>
      <c r="AW419" t="str">
        <f t="shared" si="168"/>
        <v/>
      </c>
      <c r="AX419" t="str">
        <f t="shared" si="169"/>
        <v/>
      </c>
      <c r="AY419" t="str">
        <f t="shared" si="170"/>
        <v/>
      </c>
      <c r="AZ419" s="40"/>
      <c r="BL419" s="47" t="str">
        <f t="shared" si="171"/>
        <v/>
      </c>
      <c r="BM419" s="47" t="str">
        <f t="shared" si="172"/>
        <v/>
      </c>
      <c r="BN419" s="47" t="str">
        <f t="shared" si="173"/>
        <v/>
      </c>
      <c r="BO419" s="47" t="str">
        <f t="shared" si="174"/>
        <v/>
      </c>
      <c r="BP419" s="47" t="str">
        <f t="shared" si="175"/>
        <v/>
      </c>
      <c r="BQ419" s="48" t="str">
        <f t="shared" si="176"/>
        <v/>
      </c>
      <c r="BR419" s="48" t="str">
        <f t="shared" si="177"/>
        <v/>
      </c>
      <c r="BS419" s="48" t="str">
        <f t="shared" si="178"/>
        <v/>
      </c>
      <c r="BT419" s="47" t="str">
        <f t="shared" si="179"/>
        <v/>
      </c>
      <c r="CA419" s="47" t="str">
        <f t="shared" si="180"/>
        <v/>
      </c>
      <c r="CB419" s="47" t="str">
        <f t="shared" si="181"/>
        <v/>
      </c>
      <c r="CC419" s="47" t="str">
        <f t="shared" si="182"/>
        <v/>
      </c>
      <c r="CD419" s="47" t="str">
        <f t="shared" si="183"/>
        <v/>
      </c>
      <c r="CE419" s="47" t="str">
        <f>IF(AH419="","",IF(OR(AI419&lt;&gt;'Seasonal Tercile Tally'!$B$3,AM419&lt;&gt;'Seasonal Tercile Tally'!$B$4),"Other site/ season",IF(DT419=0,"Excluded: duplicate (later row)",IF(N419&lt;&gt;1,"Excluded: not sighted",IF(AC419&lt;&gt;1,"Excluded: not confirmed",IF(AD419&lt;&gt;1,"Excluded: not approved",IF(AP419="Contested","Excluded: contested",IF(OR(U419="",U419=0),"Excluded: no tercile",IF(CB419="","Counted (simple tally only — no weight)","Counted")))))))))</f>
        <v/>
      </c>
      <c r="CF419" s="49" t="str">
        <f>IF(AH419="","",IFERROR(INDEX('Prior Multipliers'!$C$6:$C$70,MATCH(LEFT(AH419,10),'Prior Multipliers'!$A$6:$A$70,0)),IFERROR(INDEX('Prior Multipliers'!$C$6:$C$70,MATCH(LEFT(AH419,6),'Prior Multipliers'!$A$6:$A$70,0)),IFERROR(INDEX('Prior Multipliers'!$C$6:$C$70,MATCH(LEFT(AH419,2),'Prior Multipliers'!$A$6:$A$70,0)),1))))</f>
        <v/>
      </c>
      <c r="CG419" s="49" t="str">
        <f>IF(CB419="","",IF(AND('Seasonal Tercile Tally'!$B$5=1,BT419="Rating-based"),CB419*CF419,CB419))</f>
        <v/>
      </c>
      <c r="CH419" s="47">
        <f t="shared" si="184"/>
        <v>0</v>
      </c>
      <c r="CI419" s="45"/>
      <c r="CJ419" s="42" t="str">
        <f t="shared" si="185"/>
        <v/>
      </c>
      <c r="CM419" s="42" t="str">
        <f t="shared" si="186"/>
        <v/>
      </c>
      <c r="CP419" s="46" t="str">
        <f t="shared" si="187"/>
        <v/>
      </c>
      <c r="CS419" s="46" t="str">
        <f t="shared" si="188"/>
        <v/>
      </c>
      <c r="CT419" s="42" t="str">
        <f t="shared" si="189"/>
        <v/>
      </c>
      <c r="CU419" s="42" t="str">
        <f t="shared" si="190"/>
        <v/>
      </c>
      <c r="CV419" s="42" t="str">
        <f t="shared" si="191"/>
        <v/>
      </c>
      <c r="DB419" s="45"/>
      <c r="DH419" s="42" t="str">
        <f t="shared" si="192"/>
        <v/>
      </c>
      <c r="DI419" s="43" t="str">
        <f t="shared" si="193"/>
        <v/>
      </c>
      <c r="DK419" s="46" t="str">
        <f t="shared" si="194"/>
        <v/>
      </c>
      <c r="DQ419" s="42" t="str">
        <f>IF(AH419="","",IFERROR(ROUND(100*('Weighting Options'!$D$7*IF(ISNUMBER(CA419),CA419/3,0)+'Weighting Options'!$D$8*MIN(N(BL419),3)/3+'Weighting Options'!$D$9*IF(AP419="Community/Plenary-endorsed",1,IF(AP419="FGD-validated only",0.75,IF(AP419="Sub-community-specific",0.5,IF(AP419="Provisional/emerging",0.25,0))))+'Weighting Options'!$D$10*IF(ISNUMBER(K419),K419/3,0)+'Weighting Options'!$D$11*IF(CC419="",0.5,IF(CC419="OK",1,0.25))+'Weighting Options'!$D$12*IF(DK419="",0.5,IF(DK419="Agrees",1,IF(DK419="Opposite",0,0.5)))+'Weighting Options'!$D$13*MIN(N(BG419),3)/3+'Weighting Options'!$D$14*IF(AE419=1,1,0))/SUM('Weighting Options'!$D$7:$D$14),0),""))</f>
        <v/>
      </c>
      <c r="DR419" s="44" t="str">
        <f>IF(AH419="","",IFERROR(INDEX('Weighting Options'!$D$20:$D$27,VALUE(LEFT(TRIM(BU419),1))),1))</f>
        <v/>
      </c>
      <c r="DS419" s="44" t="str">
        <f t="shared" si="195"/>
        <v/>
      </c>
      <c r="DT419" s="42" t="str">
        <f>IF(AH419="","",IF(COUNTIFS($AH$12:AH419,AH419,$AI$12:AI419,AI419,$AM$12:AM419,AM419)=1,1,0))</f>
        <v/>
      </c>
    </row>
    <row r="420" spans="16:124" ht="12.75" customHeight="1" x14ac:dyDescent="0.35">
      <c r="P420" s="41"/>
      <c r="Q420" s="41"/>
      <c r="R420" s="41"/>
      <c r="S420" s="41"/>
      <c r="AH420" s="40"/>
      <c r="AP420" s="40"/>
      <c r="AS420" s="41"/>
      <c r="AT420" s="41"/>
      <c r="AW420" t="str">
        <f t="shared" si="168"/>
        <v/>
      </c>
      <c r="AX420" t="str">
        <f t="shared" si="169"/>
        <v/>
      </c>
      <c r="AY420" t="str">
        <f t="shared" si="170"/>
        <v/>
      </c>
      <c r="AZ420" s="40"/>
      <c r="BL420" s="47" t="str">
        <f t="shared" si="171"/>
        <v/>
      </c>
      <c r="BM420" s="47" t="str">
        <f t="shared" si="172"/>
        <v/>
      </c>
      <c r="BN420" s="47" t="str">
        <f t="shared" si="173"/>
        <v/>
      </c>
      <c r="BO420" s="47" t="str">
        <f t="shared" si="174"/>
        <v/>
      </c>
      <c r="BP420" s="47" t="str">
        <f t="shared" si="175"/>
        <v/>
      </c>
      <c r="BQ420" s="48" t="str">
        <f t="shared" si="176"/>
        <v/>
      </c>
      <c r="BR420" s="48" t="str">
        <f t="shared" si="177"/>
        <v/>
      </c>
      <c r="BS420" s="48" t="str">
        <f t="shared" si="178"/>
        <v/>
      </c>
      <c r="BT420" s="47" t="str">
        <f t="shared" si="179"/>
        <v/>
      </c>
      <c r="CA420" s="47" t="str">
        <f t="shared" si="180"/>
        <v/>
      </c>
      <c r="CB420" s="47" t="str">
        <f t="shared" si="181"/>
        <v/>
      </c>
      <c r="CC420" s="47" t="str">
        <f t="shared" si="182"/>
        <v/>
      </c>
      <c r="CD420" s="47" t="str">
        <f t="shared" si="183"/>
        <v/>
      </c>
      <c r="CE420" s="47" t="str">
        <f>IF(AH420="","",IF(OR(AI420&lt;&gt;'Seasonal Tercile Tally'!$B$3,AM420&lt;&gt;'Seasonal Tercile Tally'!$B$4),"Other site/ season",IF(DT420=0,"Excluded: duplicate (later row)",IF(N420&lt;&gt;1,"Excluded: not sighted",IF(AC420&lt;&gt;1,"Excluded: not confirmed",IF(AD420&lt;&gt;1,"Excluded: not approved",IF(AP420="Contested","Excluded: contested",IF(OR(U420="",U420=0),"Excluded: no tercile",IF(CB420="","Counted (simple tally only — no weight)","Counted")))))))))</f>
        <v/>
      </c>
      <c r="CF420" s="49" t="str">
        <f>IF(AH420="","",IFERROR(INDEX('Prior Multipliers'!$C$6:$C$70,MATCH(LEFT(AH420,10),'Prior Multipliers'!$A$6:$A$70,0)),IFERROR(INDEX('Prior Multipliers'!$C$6:$C$70,MATCH(LEFT(AH420,6),'Prior Multipliers'!$A$6:$A$70,0)),IFERROR(INDEX('Prior Multipliers'!$C$6:$C$70,MATCH(LEFT(AH420,2),'Prior Multipliers'!$A$6:$A$70,0)),1))))</f>
        <v/>
      </c>
      <c r="CG420" s="49" t="str">
        <f>IF(CB420="","",IF(AND('Seasonal Tercile Tally'!$B$5=1,BT420="Rating-based"),CB420*CF420,CB420))</f>
        <v/>
      </c>
      <c r="CH420" s="47">
        <f t="shared" si="184"/>
        <v>0</v>
      </c>
      <c r="CI420" s="45"/>
      <c r="CJ420" s="42" t="str">
        <f t="shared" si="185"/>
        <v/>
      </c>
      <c r="CM420" s="42" t="str">
        <f t="shared" si="186"/>
        <v/>
      </c>
      <c r="CP420" s="46" t="str">
        <f t="shared" si="187"/>
        <v/>
      </c>
      <c r="CS420" s="46" t="str">
        <f t="shared" si="188"/>
        <v/>
      </c>
      <c r="CT420" s="42" t="str">
        <f t="shared" si="189"/>
        <v/>
      </c>
      <c r="CU420" s="42" t="str">
        <f t="shared" si="190"/>
        <v/>
      </c>
      <c r="CV420" s="42" t="str">
        <f t="shared" si="191"/>
        <v/>
      </c>
      <c r="DB420" s="45"/>
      <c r="DH420" s="42" t="str">
        <f t="shared" si="192"/>
        <v/>
      </c>
      <c r="DI420" s="43" t="str">
        <f t="shared" si="193"/>
        <v/>
      </c>
      <c r="DK420" s="46" t="str">
        <f t="shared" si="194"/>
        <v/>
      </c>
      <c r="DQ420" s="42" t="str">
        <f>IF(AH420="","",IFERROR(ROUND(100*('Weighting Options'!$D$7*IF(ISNUMBER(CA420),CA420/3,0)+'Weighting Options'!$D$8*MIN(N(BL420),3)/3+'Weighting Options'!$D$9*IF(AP420="Community/Plenary-endorsed",1,IF(AP420="FGD-validated only",0.75,IF(AP420="Sub-community-specific",0.5,IF(AP420="Provisional/emerging",0.25,0))))+'Weighting Options'!$D$10*IF(ISNUMBER(K420),K420/3,0)+'Weighting Options'!$D$11*IF(CC420="",0.5,IF(CC420="OK",1,0.25))+'Weighting Options'!$D$12*IF(DK420="",0.5,IF(DK420="Agrees",1,IF(DK420="Opposite",0,0.5)))+'Weighting Options'!$D$13*MIN(N(BG420),3)/3+'Weighting Options'!$D$14*IF(AE420=1,1,0))/SUM('Weighting Options'!$D$7:$D$14),0),""))</f>
        <v/>
      </c>
      <c r="DR420" s="44" t="str">
        <f>IF(AH420="","",IFERROR(INDEX('Weighting Options'!$D$20:$D$27,VALUE(LEFT(TRIM(BU420),1))),1))</f>
        <v/>
      </c>
      <c r="DS420" s="44" t="str">
        <f t="shared" si="195"/>
        <v/>
      </c>
      <c r="DT420" s="42" t="str">
        <f>IF(AH420="","",IF(COUNTIFS($AH$12:AH420,AH420,$AI$12:AI420,AI420,$AM$12:AM420,AM420)=1,1,0))</f>
        <v/>
      </c>
    </row>
    <row r="421" spans="16:124" ht="12.75" customHeight="1" x14ac:dyDescent="0.35">
      <c r="P421" s="41"/>
      <c r="Q421" s="41"/>
      <c r="R421" s="41"/>
      <c r="S421" s="41"/>
      <c r="AH421" s="40"/>
      <c r="AP421" s="40"/>
      <c r="AS421" s="41"/>
      <c r="AT421" s="41"/>
      <c r="AW421" t="str">
        <f t="shared" si="168"/>
        <v/>
      </c>
      <c r="AX421" t="str">
        <f t="shared" si="169"/>
        <v/>
      </c>
      <c r="AY421" t="str">
        <f t="shared" si="170"/>
        <v/>
      </c>
      <c r="AZ421" s="40"/>
      <c r="BL421" s="47" t="str">
        <f t="shared" si="171"/>
        <v/>
      </c>
      <c r="BM421" s="47" t="str">
        <f t="shared" si="172"/>
        <v/>
      </c>
      <c r="BN421" s="47" t="str">
        <f t="shared" si="173"/>
        <v/>
      </c>
      <c r="BO421" s="47" t="str">
        <f t="shared" si="174"/>
        <v/>
      </c>
      <c r="BP421" s="47" t="str">
        <f t="shared" si="175"/>
        <v/>
      </c>
      <c r="BQ421" s="48" t="str">
        <f t="shared" si="176"/>
        <v/>
      </c>
      <c r="BR421" s="48" t="str">
        <f t="shared" si="177"/>
        <v/>
      </c>
      <c r="BS421" s="48" t="str">
        <f t="shared" si="178"/>
        <v/>
      </c>
      <c r="BT421" s="47" t="str">
        <f t="shared" si="179"/>
        <v/>
      </c>
      <c r="CA421" s="47" t="str">
        <f t="shared" si="180"/>
        <v/>
      </c>
      <c r="CB421" s="47" t="str">
        <f t="shared" si="181"/>
        <v/>
      </c>
      <c r="CC421" s="47" t="str">
        <f t="shared" si="182"/>
        <v/>
      </c>
      <c r="CD421" s="47" t="str">
        <f t="shared" si="183"/>
        <v/>
      </c>
      <c r="CE421" s="47" t="str">
        <f>IF(AH421="","",IF(OR(AI421&lt;&gt;'Seasonal Tercile Tally'!$B$3,AM421&lt;&gt;'Seasonal Tercile Tally'!$B$4),"Other site/ season",IF(DT421=0,"Excluded: duplicate (later row)",IF(N421&lt;&gt;1,"Excluded: not sighted",IF(AC421&lt;&gt;1,"Excluded: not confirmed",IF(AD421&lt;&gt;1,"Excluded: not approved",IF(AP421="Contested","Excluded: contested",IF(OR(U421="",U421=0),"Excluded: no tercile",IF(CB421="","Counted (simple tally only — no weight)","Counted")))))))))</f>
        <v/>
      </c>
      <c r="CF421" s="49" t="str">
        <f>IF(AH421="","",IFERROR(INDEX('Prior Multipliers'!$C$6:$C$70,MATCH(LEFT(AH421,10),'Prior Multipliers'!$A$6:$A$70,0)),IFERROR(INDEX('Prior Multipliers'!$C$6:$C$70,MATCH(LEFT(AH421,6),'Prior Multipliers'!$A$6:$A$70,0)),IFERROR(INDEX('Prior Multipliers'!$C$6:$C$70,MATCH(LEFT(AH421,2),'Prior Multipliers'!$A$6:$A$70,0)),1))))</f>
        <v/>
      </c>
      <c r="CG421" s="49" t="str">
        <f>IF(CB421="","",IF(AND('Seasonal Tercile Tally'!$B$5=1,BT421="Rating-based"),CB421*CF421,CB421))</f>
        <v/>
      </c>
      <c r="CH421" s="47">
        <f t="shared" si="184"/>
        <v>0</v>
      </c>
      <c r="CI421" s="45"/>
      <c r="CJ421" s="42" t="str">
        <f t="shared" si="185"/>
        <v/>
      </c>
      <c r="CM421" s="42" t="str">
        <f t="shared" si="186"/>
        <v/>
      </c>
      <c r="CP421" s="46" t="str">
        <f t="shared" si="187"/>
        <v/>
      </c>
      <c r="CS421" s="46" t="str">
        <f t="shared" si="188"/>
        <v/>
      </c>
      <c r="CT421" s="42" t="str">
        <f t="shared" si="189"/>
        <v/>
      </c>
      <c r="CU421" s="42" t="str">
        <f t="shared" si="190"/>
        <v/>
      </c>
      <c r="CV421" s="42" t="str">
        <f t="shared" si="191"/>
        <v/>
      </c>
      <c r="DB421" s="45"/>
      <c r="DH421" s="42" t="str">
        <f t="shared" si="192"/>
        <v/>
      </c>
      <c r="DI421" s="43" t="str">
        <f t="shared" si="193"/>
        <v/>
      </c>
      <c r="DK421" s="46" t="str">
        <f t="shared" si="194"/>
        <v/>
      </c>
      <c r="DQ421" s="42" t="str">
        <f>IF(AH421="","",IFERROR(ROUND(100*('Weighting Options'!$D$7*IF(ISNUMBER(CA421),CA421/3,0)+'Weighting Options'!$D$8*MIN(N(BL421),3)/3+'Weighting Options'!$D$9*IF(AP421="Community/Plenary-endorsed",1,IF(AP421="FGD-validated only",0.75,IF(AP421="Sub-community-specific",0.5,IF(AP421="Provisional/emerging",0.25,0))))+'Weighting Options'!$D$10*IF(ISNUMBER(K421),K421/3,0)+'Weighting Options'!$D$11*IF(CC421="",0.5,IF(CC421="OK",1,0.25))+'Weighting Options'!$D$12*IF(DK421="",0.5,IF(DK421="Agrees",1,IF(DK421="Opposite",0,0.5)))+'Weighting Options'!$D$13*MIN(N(BG421),3)/3+'Weighting Options'!$D$14*IF(AE421=1,1,0))/SUM('Weighting Options'!$D$7:$D$14),0),""))</f>
        <v/>
      </c>
      <c r="DR421" s="44" t="str">
        <f>IF(AH421="","",IFERROR(INDEX('Weighting Options'!$D$20:$D$27,VALUE(LEFT(TRIM(BU421),1))),1))</f>
        <v/>
      </c>
      <c r="DS421" s="44" t="str">
        <f t="shared" si="195"/>
        <v/>
      </c>
      <c r="DT421" s="42" t="str">
        <f>IF(AH421="","",IF(COUNTIFS($AH$12:AH421,AH421,$AI$12:AI421,AI421,$AM$12:AM421,AM421)=1,1,0))</f>
        <v/>
      </c>
    </row>
    <row r="422" spans="16:124" ht="12.75" customHeight="1" x14ac:dyDescent="0.35">
      <c r="P422" s="41"/>
      <c r="Q422" s="41"/>
      <c r="R422" s="41"/>
      <c r="S422" s="41"/>
      <c r="AH422" s="40"/>
      <c r="AP422" s="40"/>
      <c r="AS422" s="41"/>
      <c r="AT422" s="41"/>
      <c r="AW422" t="str">
        <f t="shared" si="168"/>
        <v/>
      </c>
      <c r="AX422" t="str">
        <f t="shared" si="169"/>
        <v/>
      </c>
      <c r="AY422" t="str">
        <f t="shared" si="170"/>
        <v/>
      </c>
      <c r="AZ422" s="40"/>
      <c r="BL422" s="47" t="str">
        <f t="shared" si="171"/>
        <v/>
      </c>
      <c r="BM422" s="47" t="str">
        <f t="shared" si="172"/>
        <v/>
      </c>
      <c r="BN422" s="47" t="str">
        <f t="shared" si="173"/>
        <v/>
      </c>
      <c r="BO422" s="47" t="str">
        <f t="shared" si="174"/>
        <v/>
      </c>
      <c r="BP422" s="47" t="str">
        <f t="shared" si="175"/>
        <v/>
      </c>
      <c r="BQ422" s="48" t="str">
        <f t="shared" si="176"/>
        <v/>
      </c>
      <c r="BR422" s="48" t="str">
        <f t="shared" si="177"/>
        <v/>
      </c>
      <c r="BS422" s="48" t="str">
        <f t="shared" si="178"/>
        <v/>
      </c>
      <c r="BT422" s="47" t="str">
        <f t="shared" si="179"/>
        <v/>
      </c>
      <c r="CA422" s="47" t="str">
        <f t="shared" si="180"/>
        <v/>
      </c>
      <c r="CB422" s="47" t="str">
        <f t="shared" si="181"/>
        <v/>
      </c>
      <c r="CC422" s="47" t="str">
        <f t="shared" si="182"/>
        <v/>
      </c>
      <c r="CD422" s="47" t="str">
        <f t="shared" si="183"/>
        <v/>
      </c>
      <c r="CE422" s="47" t="str">
        <f>IF(AH422="","",IF(OR(AI422&lt;&gt;'Seasonal Tercile Tally'!$B$3,AM422&lt;&gt;'Seasonal Tercile Tally'!$B$4),"Other site/ season",IF(DT422=0,"Excluded: duplicate (later row)",IF(N422&lt;&gt;1,"Excluded: not sighted",IF(AC422&lt;&gt;1,"Excluded: not confirmed",IF(AD422&lt;&gt;1,"Excluded: not approved",IF(AP422="Contested","Excluded: contested",IF(OR(U422="",U422=0),"Excluded: no tercile",IF(CB422="","Counted (simple tally only — no weight)","Counted")))))))))</f>
        <v/>
      </c>
      <c r="CF422" s="49" t="str">
        <f>IF(AH422="","",IFERROR(INDEX('Prior Multipliers'!$C$6:$C$70,MATCH(LEFT(AH422,10),'Prior Multipliers'!$A$6:$A$70,0)),IFERROR(INDEX('Prior Multipliers'!$C$6:$C$70,MATCH(LEFT(AH422,6),'Prior Multipliers'!$A$6:$A$70,0)),IFERROR(INDEX('Prior Multipliers'!$C$6:$C$70,MATCH(LEFT(AH422,2),'Prior Multipliers'!$A$6:$A$70,0)),1))))</f>
        <v/>
      </c>
      <c r="CG422" s="49" t="str">
        <f>IF(CB422="","",IF(AND('Seasonal Tercile Tally'!$B$5=1,BT422="Rating-based"),CB422*CF422,CB422))</f>
        <v/>
      </c>
      <c r="CH422" s="47">
        <f t="shared" si="184"/>
        <v>0</v>
      </c>
      <c r="CI422" s="45"/>
      <c r="CJ422" s="42" t="str">
        <f t="shared" si="185"/>
        <v/>
      </c>
      <c r="CM422" s="42" t="str">
        <f t="shared" si="186"/>
        <v/>
      </c>
      <c r="CP422" s="46" t="str">
        <f t="shared" si="187"/>
        <v/>
      </c>
      <c r="CS422" s="46" t="str">
        <f t="shared" si="188"/>
        <v/>
      </c>
      <c r="CT422" s="42" t="str">
        <f t="shared" si="189"/>
        <v/>
      </c>
      <c r="CU422" s="42" t="str">
        <f t="shared" si="190"/>
        <v/>
      </c>
      <c r="CV422" s="42" t="str">
        <f t="shared" si="191"/>
        <v/>
      </c>
      <c r="DB422" s="45"/>
      <c r="DH422" s="42" t="str">
        <f t="shared" si="192"/>
        <v/>
      </c>
      <c r="DI422" s="43" t="str">
        <f t="shared" si="193"/>
        <v/>
      </c>
      <c r="DK422" s="46" t="str">
        <f t="shared" si="194"/>
        <v/>
      </c>
      <c r="DQ422" s="42" t="str">
        <f>IF(AH422="","",IFERROR(ROUND(100*('Weighting Options'!$D$7*IF(ISNUMBER(CA422),CA422/3,0)+'Weighting Options'!$D$8*MIN(N(BL422),3)/3+'Weighting Options'!$D$9*IF(AP422="Community/Plenary-endorsed",1,IF(AP422="FGD-validated only",0.75,IF(AP422="Sub-community-specific",0.5,IF(AP422="Provisional/emerging",0.25,0))))+'Weighting Options'!$D$10*IF(ISNUMBER(K422),K422/3,0)+'Weighting Options'!$D$11*IF(CC422="",0.5,IF(CC422="OK",1,0.25))+'Weighting Options'!$D$12*IF(DK422="",0.5,IF(DK422="Agrees",1,IF(DK422="Opposite",0,0.5)))+'Weighting Options'!$D$13*MIN(N(BG422),3)/3+'Weighting Options'!$D$14*IF(AE422=1,1,0))/SUM('Weighting Options'!$D$7:$D$14),0),""))</f>
        <v/>
      </c>
      <c r="DR422" s="44" t="str">
        <f>IF(AH422="","",IFERROR(INDEX('Weighting Options'!$D$20:$D$27,VALUE(LEFT(TRIM(BU422),1))),1))</f>
        <v/>
      </c>
      <c r="DS422" s="44" t="str">
        <f t="shared" si="195"/>
        <v/>
      </c>
      <c r="DT422" s="42" t="str">
        <f>IF(AH422="","",IF(COUNTIFS($AH$12:AH422,AH422,$AI$12:AI422,AI422,$AM$12:AM422,AM422)=1,1,0))</f>
        <v/>
      </c>
    </row>
    <row r="423" spans="16:124" ht="12.75" customHeight="1" x14ac:dyDescent="0.35">
      <c r="P423" s="41"/>
      <c r="Q423" s="41"/>
      <c r="R423" s="41"/>
      <c r="S423" s="41"/>
      <c r="AH423" s="40"/>
      <c r="AP423" s="40"/>
      <c r="AS423" s="41"/>
      <c r="AT423" s="41"/>
      <c r="AW423" t="str">
        <f t="shared" si="168"/>
        <v/>
      </c>
      <c r="AX423" t="str">
        <f t="shared" si="169"/>
        <v/>
      </c>
      <c r="AY423" t="str">
        <f t="shared" si="170"/>
        <v/>
      </c>
      <c r="AZ423" s="40"/>
      <c r="BL423" s="47" t="str">
        <f t="shared" si="171"/>
        <v/>
      </c>
      <c r="BM423" s="47" t="str">
        <f t="shared" si="172"/>
        <v/>
      </c>
      <c r="BN423" s="47" t="str">
        <f t="shared" si="173"/>
        <v/>
      </c>
      <c r="BO423" s="47" t="str">
        <f t="shared" si="174"/>
        <v/>
      </c>
      <c r="BP423" s="47" t="str">
        <f t="shared" si="175"/>
        <v/>
      </c>
      <c r="BQ423" s="48" t="str">
        <f t="shared" si="176"/>
        <v/>
      </c>
      <c r="BR423" s="48" t="str">
        <f t="shared" si="177"/>
        <v/>
      </c>
      <c r="BS423" s="48" t="str">
        <f t="shared" si="178"/>
        <v/>
      </c>
      <c r="BT423" s="47" t="str">
        <f t="shared" si="179"/>
        <v/>
      </c>
      <c r="CA423" s="47" t="str">
        <f t="shared" si="180"/>
        <v/>
      </c>
      <c r="CB423" s="47" t="str">
        <f t="shared" si="181"/>
        <v/>
      </c>
      <c r="CC423" s="47" t="str">
        <f t="shared" si="182"/>
        <v/>
      </c>
      <c r="CD423" s="47" t="str">
        <f t="shared" si="183"/>
        <v/>
      </c>
      <c r="CE423" s="47" t="str">
        <f>IF(AH423="","",IF(OR(AI423&lt;&gt;'Seasonal Tercile Tally'!$B$3,AM423&lt;&gt;'Seasonal Tercile Tally'!$B$4),"Other site/ season",IF(DT423=0,"Excluded: duplicate (later row)",IF(N423&lt;&gt;1,"Excluded: not sighted",IF(AC423&lt;&gt;1,"Excluded: not confirmed",IF(AD423&lt;&gt;1,"Excluded: not approved",IF(AP423="Contested","Excluded: contested",IF(OR(U423="",U423=0),"Excluded: no tercile",IF(CB423="","Counted (simple tally only — no weight)","Counted")))))))))</f>
        <v/>
      </c>
      <c r="CF423" s="49" t="str">
        <f>IF(AH423="","",IFERROR(INDEX('Prior Multipliers'!$C$6:$C$70,MATCH(LEFT(AH423,10),'Prior Multipliers'!$A$6:$A$70,0)),IFERROR(INDEX('Prior Multipliers'!$C$6:$C$70,MATCH(LEFT(AH423,6),'Prior Multipliers'!$A$6:$A$70,0)),IFERROR(INDEX('Prior Multipliers'!$C$6:$C$70,MATCH(LEFT(AH423,2),'Prior Multipliers'!$A$6:$A$70,0)),1))))</f>
        <v/>
      </c>
      <c r="CG423" s="49" t="str">
        <f>IF(CB423="","",IF(AND('Seasonal Tercile Tally'!$B$5=1,BT423="Rating-based"),CB423*CF423,CB423))</f>
        <v/>
      </c>
      <c r="CH423" s="47">
        <f t="shared" si="184"/>
        <v>0</v>
      </c>
      <c r="CI423" s="45"/>
      <c r="CJ423" s="42" t="str">
        <f t="shared" si="185"/>
        <v/>
      </c>
      <c r="CM423" s="42" t="str">
        <f t="shared" si="186"/>
        <v/>
      </c>
      <c r="CP423" s="46" t="str">
        <f t="shared" si="187"/>
        <v/>
      </c>
      <c r="CS423" s="46" t="str">
        <f t="shared" si="188"/>
        <v/>
      </c>
      <c r="CT423" s="42" t="str">
        <f t="shared" si="189"/>
        <v/>
      </c>
      <c r="CU423" s="42" t="str">
        <f t="shared" si="190"/>
        <v/>
      </c>
      <c r="CV423" s="42" t="str">
        <f t="shared" si="191"/>
        <v/>
      </c>
      <c r="DB423" s="45"/>
      <c r="DH423" s="42" t="str">
        <f t="shared" si="192"/>
        <v/>
      </c>
      <c r="DI423" s="43" t="str">
        <f t="shared" si="193"/>
        <v/>
      </c>
      <c r="DK423" s="46" t="str">
        <f t="shared" si="194"/>
        <v/>
      </c>
      <c r="DQ423" s="42" t="str">
        <f>IF(AH423="","",IFERROR(ROUND(100*('Weighting Options'!$D$7*IF(ISNUMBER(CA423),CA423/3,0)+'Weighting Options'!$D$8*MIN(N(BL423),3)/3+'Weighting Options'!$D$9*IF(AP423="Community/Plenary-endorsed",1,IF(AP423="FGD-validated only",0.75,IF(AP423="Sub-community-specific",0.5,IF(AP423="Provisional/emerging",0.25,0))))+'Weighting Options'!$D$10*IF(ISNUMBER(K423),K423/3,0)+'Weighting Options'!$D$11*IF(CC423="",0.5,IF(CC423="OK",1,0.25))+'Weighting Options'!$D$12*IF(DK423="",0.5,IF(DK423="Agrees",1,IF(DK423="Opposite",0,0.5)))+'Weighting Options'!$D$13*MIN(N(BG423),3)/3+'Weighting Options'!$D$14*IF(AE423=1,1,0))/SUM('Weighting Options'!$D$7:$D$14),0),""))</f>
        <v/>
      </c>
      <c r="DR423" s="44" t="str">
        <f>IF(AH423="","",IFERROR(INDEX('Weighting Options'!$D$20:$D$27,VALUE(LEFT(TRIM(BU423),1))),1))</f>
        <v/>
      </c>
      <c r="DS423" s="44" t="str">
        <f t="shared" si="195"/>
        <v/>
      </c>
      <c r="DT423" s="42" t="str">
        <f>IF(AH423="","",IF(COUNTIFS($AH$12:AH423,AH423,$AI$12:AI423,AI423,$AM$12:AM423,AM423)=1,1,0))</f>
        <v/>
      </c>
    </row>
    <row r="424" spans="16:124" ht="12.75" customHeight="1" x14ac:dyDescent="0.35">
      <c r="P424" s="41"/>
      <c r="Q424" s="41"/>
      <c r="R424" s="41"/>
      <c r="S424" s="41"/>
      <c r="AH424" s="40"/>
      <c r="AP424" s="40"/>
      <c r="AS424" s="41"/>
      <c r="AT424" s="41"/>
      <c r="AW424" t="str">
        <f t="shared" si="168"/>
        <v/>
      </c>
      <c r="AX424" t="str">
        <f t="shared" si="169"/>
        <v/>
      </c>
      <c r="AY424" t="str">
        <f t="shared" si="170"/>
        <v/>
      </c>
      <c r="AZ424" s="40"/>
      <c r="BL424" s="47" t="str">
        <f t="shared" si="171"/>
        <v/>
      </c>
      <c r="BM424" s="47" t="str">
        <f t="shared" si="172"/>
        <v/>
      </c>
      <c r="BN424" s="47" t="str">
        <f t="shared" si="173"/>
        <v/>
      </c>
      <c r="BO424" s="47" t="str">
        <f t="shared" si="174"/>
        <v/>
      </c>
      <c r="BP424" s="47" t="str">
        <f t="shared" si="175"/>
        <v/>
      </c>
      <c r="BQ424" s="48" t="str">
        <f t="shared" si="176"/>
        <v/>
      </c>
      <c r="BR424" s="48" t="str">
        <f t="shared" si="177"/>
        <v/>
      </c>
      <c r="BS424" s="48" t="str">
        <f t="shared" si="178"/>
        <v/>
      </c>
      <c r="BT424" s="47" t="str">
        <f t="shared" si="179"/>
        <v/>
      </c>
      <c r="CA424" s="47" t="str">
        <f t="shared" si="180"/>
        <v/>
      </c>
      <c r="CB424" s="47" t="str">
        <f t="shared" si="181"/>
        <v/>
      </c>
      <c r="CC424" s="47" t="str">
        <f t="shared" si="182"/>
        <v/>
      </c>
      <c r="CD424" s="47" t="str">
        <f t="shared" si="183"/>
        <v/>
      </c>
      <c r="CE424" s="47" t="str">
        <f>IF(AH424="","",IF(OR(AI424&lt;&gt;'Seasonal Tercile Tally'!$B$3,AM424&lt;&gt;'Seasonal Tercile Tally'!$B$4),"Other site/ season",IF(DT424=0,"Excluded: duplicate (later row)",IF(N424&lt;&gt;1,"Excluded: not sighted",IF(AC424&lt;&gt;1,"Excluded: not confirmed",IF(AD424&lt;&gt;1,"Excluded: not approved",IF(AP424="Contested","Excluded: contested",IF(OR(U424="",U424=0),"Excluded: no tercile",IF(CB424="","Counted (simple tally only — no weight)","Counted")))))))))</f>
        <v/>
      </c>
      <c r="CF424" s="49" t="str">
        <f>IF(AH424="","",IFERROR(INDEX('Prior Multipliers'!$C$6:$C$70,MATCH(LEFT(AH424,10),'Prior Multipliers'!$A$6:$A$70,0)),IFERROR(INDEX('Prior Multipliers'!$C$6:$C$70,MATCH(LEFT(AH424,6),'Prior Multipliers'!$A$6:$A$70,0)),IFERROR(INDEX('Prior Multipliers'!$C$6:$C$70,MATCH(LEFT(AH424,2),'Prior Multipliers'!$A$6:$A$70,0)),1))))</f>
        <v/>
      </c>
      <c r="CG424" s="49" t="str">
        <f>IF(CB424="","",IF(AND('Seasonal Tercile Tally'!$B$5=1,BT424="Rating-based"),CB424*CF424,CB424))</f>
        <v/>
      </c>
      <c r="CH424" s="47">
        <f t="shared" si="184"/>
        <v>0</v>
      </c>
      <c r="CI424" s="45"/>
      <c r="CJ424" s="42" t="str">
        <f t="shared" si="185"/>
        <v/>
      </c>
      <c r="CM424" s="42" t="str">
        <f t="shared" si="186"/>
        <v/>
      </c>
      <c r="CP424" s="46" t="str">
        <f t="shared" si="187"/>
        <v/>
      </c>
      <c r="CS424" s="46" t="str">
        <f t="shared" si="188"/>
        <v/>
      </c>
      <c r="CT424" s="42" t="str">
        <f t="shared" si="189"/>
        <v/>
      </c>
      <c r="CU424" s="42" t="str">
        <f t="shared" si="190"/>
        <v/>
      </c>
      <c r="CV424" s="42" t="str">
        <f t="shared" si="191"/>
        <v/>
      </c>
      <c r="DB424" s="45"/>
      <c r="DH424" s="42" t="str">
        <f t="shared" si="192"/>
        <v/>
      </c>
      <c r="DI424" s="43" t="str">
        <f t="shared" si="193"/>
        <v/>
      </c>
      <c r="DK424" s="46" t="str">
        <f t="shared" si="194"/>
        <v/>
      </c>
      <c r="DQ424" s="42" t="str">
        <f>IF(AH424="","",IFERROR(ROUND(100*('Weighting Options'!$D$7*IF(ISNUMBER(CA424),CA424/3,0)+'Weighting Options'!$D$8*MIN(N(BL424),3)/3+'Weighting Options'!$D$9*IF(AP424="Community/Plenary-endorsed",1,IF(AP424="FGD-validated only",0.75,IF(AP424="Sub-community-specific",0.5,IF(AP424="Provisional/emerging",0.25,0))))+'Weighting Options'!$D$10*IF(ISNUMBER(K424),K424/3,0)+'Weighting Options'!$D$11*IF(CC424="",0.5,IF(CC424="OK",1,0.25))+'Weighting Options'!$D$12*IF(DK424="",0.5,IF(DK424="Agrees",1,IF(DK424="Opposite",0,0.5)))+'Weighting Options'!$D$13*MIN(N(BG424),3)/3+'Weighting Options'!$D$14*IF(AE424=1,1,0))/SUM('Weighting Options'!$D$7:$D$14),0),""))</f>
        <v/>
      </c>
      <c r="DR424" s="44" t="str">
        <f>IF(AH424="","",IFERROR(INDEX('Weighting Options'!$D$20:$D$27,VALUE(LEFT(TRIM(BU424),1))),1))</f>
        <v/>
      </c>
      <c r="DS424" s="44" t="str">
        <f t="shared" si="195"/>
        <v/>
      </c>
      <c r="DT424" s="42" t="str">
        <f>IF(AH424="","",IF(COUNTIFS($AH$12:AH424,AH424,$AI$12:AI424,AI424,$AM$12:AM424,AM424)=1,1,0))</f>
        <v/>
      </c>
    </row>
    <row r="425" spans="16:124" ht="12.75" customHeight="1" x14ac:dyDescent="0.35">
      <c r="P425" s="41"/>
      <c r="Q425" s="41"/>
      <c r="R425" s="41"/>
      <c r="S425" s="41"/>
      <c r="AH425" s="40"/>
      <c r="AP425" s="40"/>
      <c r="AS425" s="41"/>
      <c r="AT425" s="41"/>
      <c r="AW425" t="str">
        <f t="shared" si="168"/>
        <v/>
      </c>
      <c r="AX425" t="str">
        <f t="shared" si="169"/>
        <v/>
      </c>
      <c r="AY425" t="str">
        <f t="shared" si="170"/>
        <v/>
      </c>
      <c r="AZ425" s="40"/>
      <c r="BL425" s="47" t="str">
        <f t="shared" si="171"/>
        <v/>
      </c>
      <c r="BM425" s="47" t="str">
        <f t="shared" si="172"/>
        <v/>
      </c>
      <c r="BN425" s="47" t="str">
        <f t="shared" si="173"/>
        <v/>
      </c>
      <c r="BO425" s="47" t="str">
        <f t="shared" si="174"/>
        <v/>
      </c>
      <c r="BP425" s="47" t="str">
        <f t="shared" si="175"/>
        <v/>
      </c>
      <c r="BQ425" s="48" t="str">
        <f t="shared" si="176"/>
        <v/>
      </c>
      <c r="BR425" s="48" t="str">
        <f t="shared" si="177"/>
        <v/>
      </c>
      <c r="BS425" s="48" t="str">
        <f t="shared" si="178"/>
        <v/>
      </c>
      <c r="BT425" s="47" t="str">
        <f t="shared" si="179"/>
        <v/>
      </c>
      <c r="CA425" s="47" t="str">
        <f t="shared" si="180"/>
        <v/>
      </c>
      <c r="CB425" s="47" t="str">
        <f t="shared" si="181"/>
        <v/>
      </c>
      <c r="CC425" s="47" t="str">
        <f t="shared" si="182"/>
        <v/>
      </c>
      <c r="CD425" s="47" t="str">
        <f t="shared" si="183"/>
        <v/>
      </c>
      <c r="CE425" s="47" t="str">
        <f>IF(AH425="","",IF(OR(AI425&lt;&gt;'Seasonal Tercile Tally'!$B$3,AM425&lt;&gt;'Seasonal Tercile Tally'!$B$4),"Other site/ season",IF(DT425=0,"Excluded: duplicate (later row)",IF(N425&lt;&gt;1,"Excluded: not sighted",IF(AC425&lt;&gt;1,"Excluded: not confirmed",IF(AD425&lt;&gt;1,"Excluded: not approved",IF(AP425="Contested","Excluded: contested",IF(OR(U425="",U425=0),"Excluded: no tercile",IF(CB425="","Counted (simple tally only — no weight)","Counted")))))))))</f>
        <v/>
      </c>
      <c r="CF425" s="49" t="str">
        <f>IF(AH425="","",IFERROR(INDEX('Prior Multipliers'!$C$6:$C$70,MATCH(LEFT(AH425,10),'Prior Multipliers'!$A$6:$A$70,0)),IFERROR(INDEX('Prior Multipliers'!$C$6:$C$70,MATCH(LEFT(AH425,6),'Prior Multipliers'!$A$6:$A$70,0)),IFERROR(INDEX('Prior Multipliers'!$C$6:$C$70,MATCH(LEFT(AH425,2),'Prior Multipliers'!$A$6:$A$70,0)),1))))</f>
        <v/>
      </c>
      <c r="CG425" s="49" t="str">
        <f>IF(CB425="","",IF(AND('Seasonal Tercile Tally'!$B$5=1,BT425="Rating-based"),CB425*CF425,CB425))</f>
        <v/>
      </c>
      <c r="CH425" s="47">
        <f t="shared" si="184"/>
        <v>0</v>
      </c>
      <c r="CI425" s="45"/>
      <c r="CJ425" s="42" t="str">
        <f t="shared" si="185"/>
        <v/>
      </c>
      <c r="CM425" s="42" t="str">
        <f t="shared" si="186"/>
        <v/>
      </c>
      <c r="CP425" s="46" t="str">
        <f t="shared" si="187"/>
        <v/>
      </c>
      <c r="CS425" s="46" t="str">
        <f t="shared" si="188"/>
        <v/>
      </c>
      <c r="CT425" s="42" t="str">
        <f t="shared" si="189"/>
        <v/>
      </c>
      <c r="CU425" s="42" t="str">
        <f t="shared" si="190"/>
        <v/>
      </c>
      <c r="CV425" s="42" t="str">
        <f t="shared" si="191"/>
        <v/>
      </c>
      <c r="DB425" s="45"/>
      <c r="DH425" s="42" t="str">
        <f t="shared" si="192"/>
        <v/>
      </c>
      <c r="DI425" s="43" t="str">
        <f t="shared" si="193"/>
        <v/>
      </c>
      <c r="DK425" s="46" t="str">
        <f t="shared" si="194"/>
        <v/>
      </c>
      <c r="DQ425" s="42" t="str">
        <f>IF(AH425="","",IFERROR(ROUND(100*('Weighting Options'!$D$7*IF(ISNUMBER(CA425),CA425/3,0)+'Weighting Options'!$D$8*MIN(N(BL425),3)/3+'Weighting Options'!$D$9*IF(AP425="Community/Plenary-endorsed",1,IF(AP425="FGD-validated only",0.75,IF(AP425="Sub-community-specific",0.5,IF(AP425="Provisional/emerging",0.25,0))))+'Weighting Options'!$D$10*IF(ISNUMBER(K425),K425/3,0)+'Weighting Options'!$D$11*IF(CC425="",0.5,IF(CC425="OK",1,0.25))+'Weighting Options'!$D$12*IF(DK425="",0.5,IF(DK425="Agrees",1,IF(DK425="Opposite",0,0.5)))+'Weighting Options'!$D$13*MIN(N(BG425),3)/3+'Weighting Options'!$D$14*IF(AE425=1,1,0))/SUM('Weighting Options'!$D$7:$D$14),0),""))</f>
        <v/>
      </c>
      <c r="DR425" s="44" t="str">
        <f>IF(AH425="","",IFERROR(INDEX('Weighting Options'!$D$20:$D$27,VALUE(LEFT(TRIM(BU425),1))),1))</f>
        <v/>
      </c>
      <c r="DS425" s="44" t="str">
        <f t="shared" si="195"/>
        <v/>
      </c>
      <c r="DT425" s="42" t="str">
        <f>IF(AH425="","",IF(COUNTIFS($AH$12:AH425,AH425,$AI$12:AI425,AI425,$AM$12:AM425,AM425)=1,1,0))</f>
        <v/>
      </c>
    </row>
    <row r="426" spans="16:124" ht="12.75" customHeight="1" x14ac:dyDescent="0.35">
      <c r="P426" s="41"/>
      <c r="Q426" s="41"/>
      <c r="R426" s="41"/>
      <c r="S426" s="41"/>
      <c r="AH426" s="40"/>
      <c r="AP426" s="40"/>
      <c r="AS426" s="41"/>
      <c r="AT426" s="41"/>
      <c r="AW426" t="str">
        <f t="shared" si="168"/>
        <v/>
      </c>
      <c r="AX426" t="str">
        <f t="shared" si="169"/>
        <v/>
      </c>
      <c r="AY426" t="str">
        <f t="shared" si="170"/>
        <v/>
      </c>
      <c r="AZ426" s="40"/>
      <c r="BL426" s="47" t="str">
        <f t="shared" si="171"/>
        <v/>
      </c>
      <c r="BM426" s="47" t="str">
        <f t="shared" si="172"/>
        <v/>
      </c>
      <c r="BN426" s="47" t="str">
        <f t="shared" si="173"/>
        <v/>
      </c>
      <c r="BO426" s="47" t="str">
        <f t="shared" si="174"/>
        <v/>
      </c>
      <c r="BP426" s="47" t="str">
        <f t="shared" si="175"/>
        <v/>
      </c>
      <c r="BQ426" s="48" t="str">
        <f t="shared" si="176"/>
        <v/>
      </c>
      <c r="BR426" s="48" t="str">
        <f t="shared" si="177"/>
        <v/>
      </c>
      <c r="BS426" s="48" t="str">
        <f t="shared" si="178"/>
        <v/>
      </c>
      <c r="BT426" s="47" t="str">
        <f t="shared" si="179"/>
        <v/>
      </c>
      <c r="CA426" s="47" t="str">
        <f t="shared" si="180"/>
        <v/>
      </c>
      <c r="CB426" s="47" t="str">
        <f t="shared" si="181"/>
        <v/>
      </c>
      <c r="CC426" s="47" t="str">
        <f t="shared" si="182"/>
        <v/>
      </c>
      <c r="CD426" s="47" t="str">
        <f t="shared" si="183"/>
        <v/>
      </c>
      <c r="CE426" s="47" t="str">
        <f>IF(AH426="","",IF(OR(AI426&lt;&gt;'Seasonal Tercile Tally'!$B$3,AM426&lt;&gt;'Seasonal Tercile Tally'!$B$4),"Other site/ season",IF(DT426=0,"Excluded: duplicate (later row)",IF(N426&lt;&gt;1,"Excluded: not sighted",IF(AC426&lt;&gt;1,"Excluded: not confirmed",IF(AD426&lt;&gt;1,"Excluded: not approved",IF(AP426="Contested","Excluded: contested",IF(OR(U426="",U426=0),"Excluded: no tercile",IF(CB426="","Counted (simple tally only — no weight)","Counted")))))))))</f>
        <v/>
      </c>
      <c r="CF426" s="49" t="str">
        <f>IF(AH426="","",IFERROR(INDEX('Prior Multipliers'!$C$6:$C$70,MATCH(LEFT(AH426,10),'Prior Multipliers'!$A$6:$A$70,0)),IFERROR(INDEX('Prior Multipliers'!$C$6:$C$70,MATCH(LEFT(AH426,6),'Prior Multipliers'!$A$6:$A$70,0)),IFERROR(INDEX('Prior Multipliers'!$C$6:$C$70,MATCH(LEFT(AH426,2),'Prior Multipliers'!$A$6:$A$70,0)),1))))</f>
        <v/>
      </c>
      <c r="CG426" s="49" t="str">
        <f>IF(CB426="","",IF(AND('Seasonal Tercile Tally'!$B$5=1,BT426="Rating-based"),CB426*CF426,CB426))</f>
        <v/>
      </c>
      <c r="CH426" s="47">
        <f t="shared" si="184"/>
        <v>0</v>
      </c>
      <c r="CI426" s="45"/>
      <c r="CJ426" s="42" t="str">
        <f t="shared" si="185"/>
        <v/>
      </c>
      <c r="CM426" s="42" t="str">
        <f t="shared" si="186"/>
        <v/>
      </c>
      <c r="CP426" s="46" t="str">
        <f t="shared" si="187"/>
        <v/>
      </c>
      <c r="CS426" s="46" t="str">
        <f t="shared" si="188"/>
        <v/>
      </c>
      <c r="CT426" s="42" t="str">
        <f t="shared" si="189"/>
        <v/>
      </c>
      <c r="CU426" s="42" t="str">
        <f t="shared" si="190"/>
        <v/>
      </c>
      <c r="CV426" s="42" t="str">
        <f t="shared" si="191"/>
        <v/>
      </c>
      <c r="DB426" s="45"/>
      <c r="DH426" s="42" t="str">
        <f t="shared" si="192"/>
        <v/>
      </c>
      <c r="DI426" s="43" t="str">
        <f t="shared" si="193"/>
        <v/>
      </c>
      <c r="DK426" s="46" t="str">
        <f t="shared" si="194"/>
        <v/>
      </c>
      <c r="DQ426" s="42" t="str">
        <f>IF(AH426="","",IFERROR(ROUND(100*('Weighting Options'!$D$7*IF(ISNUMBER(CA426),CA426/3,0)+'Weighting Options'!$D$8*MIN(N(BL426),3)/3+'Weighting Options'!$D$9*IF(AP426="Community/Plenary-endorsed",1,IF(AP426="FGD-validated only",0.75,IF(AP426="Sub-community-specific",0.5,IF(AP426="Provisional/emerging",0.25,0))))+'Weighting Options'!$D$10*IF(ISNUMBER(K426),K426/3,0)+'Weighting Options'!$D$11*IF(CC426="",0.5,IF(CC426="OK",1,0.25))+'Weighting Options'!$D$12*IF(DK426="",0.5,IF(DK426="Agrees",1,IF(DK426="Opposite",0,0.5)))+'Weighting Options'!$D$13*MIN(N(BG426),3)/3+'Weighting Options'!$D$14*IF(AE426=1,1,0))/SUM('Weighting Options'!$D$7:$D$14),0),""))</f>
        <v/>
      </c>
      <c r="DR426" s="44" t="str">
        <f>IF(AH426="","",IFERROR(INDEX('Weighting Options'!$D$20:$D$27,VALUE(LEFT(TRIM(BU426),1))),1))</f>
        <v/>
      </c>
      <c r="DS426" s="44" t="str">
        <f t="shared" si="195"/>
        <v/>
      </c>
      <c r="DT426" s="42" t="str">
        <f>IF(AH426="","",IF(COUNTIFS($AH$12:AH426,AH426,$AI$12:AI426,AI426,$AM$12:AM426,AM426)=1,1,0))</f>
        <v/>
      </c>
    </row>
    <row r="427" spans="16:124" ht="12.75" customHeight="1" x14ac:dyDescent="0.35">
      <c r="P427" s="41"/>
      <c r="Q427" s="41"/>
      <c r="R427" s="41"/>
      <c r="S427" s="41"/>
      <c r="AH427" s="40"/>
      <c r="AP427" s="40"/>
      <c r="AS427" s="41"/>
      <c r="AT427" s="41"/>
      <c r="AW427" t="str">
        <f t="shared" si="168"/>
        <v/>
      </c>
      <c r="AX427" t="str">
        <f t="shared" si="169"/>
        <v/>
      </c>
      <c r="AY427" t="str">
        <f t="shared" si="170"/>
        <v/>
      </c>
      <c r="AZ427" s="40"/>
      <c r="BL427" s="47" t="str">
        <f t="shared" si="171"/>
        <v/>
      </c>
      <c r="BM427" s="47" t="str">
        <f t="shared" si="172"/>
        <v/>
      </c>
      <c r="BN427" s="47" t="str">
        <f t="shared" si="173"/>
        <v/>
      </c>
      <c r="BO427" s="47" t="str">
        <f t="shared" si="174"/>
        <v/>
      </c>
      <c r="BP427" s="47" t="str">
        <f t="shared" si="175"/>
        <v/>
      </c>
      <c r="BQ427" s="48" t="str">
        <f t="shared" si="176"/>
        <v/>
      </c>
      <c r="BR427" s="48" t="str">
        <f t="shared" si="177"/>
        <v/>
      </c>
      <c r="BS427" s="48" t="str">
        <f t="shared" si="178"/>
        <v/>
      </c>
      <c r="BT427" s="47" t="str">
        <f t="shared" si="179"/>
        <v/>
      </c>
      <c r="CA427" s="47" t="str">
        <f t="shared" si="180"/>
        <v/>
      </c>
      <c r="CB427" s="47" t="str">
        <f t="shared" si="181"/>
        <v/>
      </c>
      <c r="CC427" s="47" t="str">
        <f t="shared" si="182"/>
        <v/>
      </c>
      <c r="CD427" s="47" t="str">
        <f t="shared" si="183"/>
        <v/>
      </c>
      <c r="CE427" s="47" t="str">
        <f>IF(AH427="","",IF(OR(AI427&lt;&gt;'Seasonal Tercile Tally'!$B$3,AM427&lt;&gt;'Seasonal Tercile Tally'!$B$4),"Other site/ season",IF(DT427=0,"Excluded: duplicate (later row)",IF(N427&lt;&gt;1,"Excluded: not sighted",IF(AC427&lt;&gt;1,"Excluded: not confirmed",IF(AD427&lt;&gt;1,"Excluded: not approved",IF(AP427="Contested","Excluded: contested",IF(OR(U427="",U427=0),"Excluded: no tercile",IF(CB427="","Counted (simple tally only — no weight)","Counted")))))))))</f>
        <v/>
      </c>
      <c r="CF427" s="49" t="str">
        <f>IF(AH427="","",IFERROR(INDEX('Prior Multipliers'!$C$6:$C$70,MATCH(LEFT(AH427,10),'Prior Multipliers'!$A$6:$A$70,0)),IFERROR(INDEX('Prior Multipliers'!$C$6:$C$70,MATCH(LEFT(AH427,6),'Prior Multipliers'!$A$6:$A$70,0)),IFERROR(INDEX('Prior Multipliers'!$C$6:$C$70,MATCH(LEFT(AH427,2),'Prior Multipliers'!$A$6:$A$70,0)),1))))</f>
        <v/>
      </c>
      <c r="CG427" s="49" t="str">
        <f>IF(CB427="","",IF(AND('Seasonal Tercile Tally'!$B$5=1,BT427="Rating-based"),CB427*CF427,CB427))</f>
        <v/>
      </c>
      <c r="CH427" s="47">
        <f t="shared" si="184"/>
        <v>0</v>
      </c>
      <c r="CI427" s="45"/>
      <c r="CJ427" s="42" t="str">
        <f t="shared" si="185"/>
        <v/>
      </c>
      <c r="CM427" s="42" t="str">
        <f t="shared" si="186"/>
        <v/>
      </c>
      <c r="CP427" s="46" t="str">
        <f t="shared" si="187"/>
        <v/>
      </c>
      <c r="CS427" s="46" t="str">
        <f t="shared" si="188"/>
        <v/>
      </c>
      <c r="CT427" s="42" t="str">
        <f t="shared" si="189"/>
        <v/>
      </c>
      <c r="CU427" s="42" t="str">
        <f t="shared" si="190"/>
        <v/>
      </c>
      <c r="CV427" s="42" t="str">
        <f t="shared" si="191"/>
        <v/>
      </c>
      <c r="DB427" s="45"/>
      <c r="DH427" s="42" t="str">
        <f t="shared" si="192"/>
        <v/>
      </c>
      <c r="DI427" s="43" t="str">
        <f t="shared" si="193"/>
        <v/>
      </c>
      <c r="DK427" s="46" t="str">
        <f t="shared" si="194"/>
        <v/>
      </c>
      <c r="DQ427" s="42" t="str">
        <f>IF(AH427="","",IFERROR(ROUND(100*('Weighting Options'!$D$7*IF(ISNUMBER(CA427),CA427/3,0)+'Weighting Options'!$D$8*MIN(N(BL427),3)/3+'Weighting Options'!$D$9*IF(AP427="Community/Plenary-endorsed",1,IF(AP427="FGD-validated only",0.75,IF(AP427="Sub-community-specific",0.5,IF(AP427="Provisional/emerging",0.25,0))))+'Weighting Options'!$D$10*IF(ISNUMBER(K427),K427/3,0)+'Weighting Options'!$D$11*IF(CC427="",0.5,IF(CC427="OK",1,0.25))+'Weighting Options'!$D$12*IF(DK427="",0.5,IF(DK427="Agrees",1,IF(DK427="Opposite",0,0.5)))+'Weighting Options'!$D$13*MIN(N(BG427),3)/3+'Weighting Options'!$D$14*IF(AE427=1,1,0))/SUM('Weighting Options'!$D$7:$D$14),0),""))</f>
        <v/>
      </c>
      <c r="DR427" s="44" t="str">
        <f>IF(AH427="","",IFERROR(INDEX('Weighting Options'!$D$20:$D$27,VALUE(LEFT(TRIM(BU427),1))),1))</f>
        <v/>
      </c>
      <c r="DS427" s="44" t="str">
        <f t="shared" si="195"/>
        <v/>
      </c>
      <c r="DT427" s="42" t="str">
        <f>IF(AH427="","",IF(COUNTIFS($AH$12:AH427,AH427,$AI$12:AI427,AI427,$AM$12:AM427,AM427)=1,1,0))</f>
        <v/>
      </c>
    </row>
    <row r="428" spans="16:124" ht="12.75" customHeight="1" x14ac:dyDescent="0.35">
      <c r="P428" s="41"/>
      <c r="Q428" s="41"/>
      <c r="R428" s="41"/>
      <c r="S428" s="41"/>
      <c r="AH428" s="40"/>
      <c r="AP428" s="40"/>
      <c r="AS428" s="41"/>
      <c r="AT428" s="41"/>
      <c r="AW428" t="str">
        <f t="shared" si="168"/>
        <v/>
      </c>
      <c r="AX428" t="str">
        <f t="shared" si="169"/>
        <v/>
      </c>
      <c r="AY428" t="str">
        <f t="shared" si="170"/>
        <v/>
      </c>
      <c r="AZ428" s="40"/>
      <c r="BL428" s="47" t="str">
        <f t="shared" si="171"/>
        <v/>
      </c>
      <c r="BM428" s="47" t="str">
        <f t="shared" si="172"/>
        <v/>
      </c>
      <c r="BN428" s="47" t="str">
        <f t="shared" si="173"/>
        <v/>
      </c>
      <c r="BO428" s="47" t="str">
        <f t="shared" si="174"/>
        <v/>
      </c>
      <c r="BP428" s="47" t="str">
        <f t="shared" si="175"/>
        <v/>
      </c>
      <c r="BQ428" s="48" t="str">
        <f t="shared" si="176"/>
        <v/>
      </c>
      <c r="BR428" s="48" t="str">
        <f t="shared" si="177"/>
        <v/>
      </c>
      <c r="BS428" s="48" t="str">
        <f t="shared" si="178"/>
        <v/>
      </c>
      <c r="BT428" s="47" t="str">
        <f t="shared" si="179"/>
        <v/>
      </c>
      <c r="CA428" s="47" t="str">
        <f t="shared" si="180"/>
        <v/>
      </c>
      <c r="CB428" s="47" t="str">
        <f t="shared" si="181"/>
        <v/>
      </c>
      <c r="CC428" s="47" t="str">
        <f t="shared" si="182"/>
        <v/>
      </c>
      <c r="CD428" s="47" t="str">
        <f t="shared" si="183"/>
        <v/>
      </c>
      <c r="CE428" s="47" t="str">
        <f>IF(AH428="","",IF(OR(AI428&lt;&gt;'Seasonal Tercile Tally'!$B$3,AM428&lt;&gt;'Seasonal Tercile Tally'!$B$4),"Other site/ season",IF(DT428=0,"Excluded: duplicate (later row)",IF(N428&lt;&gt;1,"Excluded: not sighted",IF(AC428&lt;&gt;1,"Excluded: not confirmed",IF(AD428&lt;&gt;1,"Excluded: not approved",IF(AP428="Contested","Excluded: contested",IF(OR(U428="",U428=0),"Excluded: no tercile",IF(CB428="","Counted (simple tally only — no weight)","Counted")))))))))</f>
        <v/>
      </c>
      <c r="CF428" s="49" t="str">
        <f>IF(AH428="","",IFERROR(INDEX('Prior Multipliers'!$C$6:$C$70,MATCH(LEFT(AH428,10),'Prior Multipliers'!$A$6:$A$70,0)),IFERROR(INDEX('Prior Multipliers'!$C$6:$C$70,MATCH(LEFT(AH428,6),'Prior Multipliers'!$A$6:$A$70,0)),IFERROR(INDEX('Prior Multipliers'!$C$6:$C$70,MATCH(LEFT(AH428,2),'Prior Multipliers'!$A$6:$A$70,0)),1))))</f>
        <v/>
      </c>
      <c r="CG428" s="49" t="str">
        <f>IF(CB428="","",IF(AND('Seasonal Tercile Tally'!$B$5=1,BT428="Rating-based"),CB428*CF428,CB428))</f>
        <v/>
      </c>
      <c r="CH428" s="47">
        <f t="shared" si="184"/>
        <v>0</v>
      </c>
      <c r="CI428" s="45"/>
      <c r="CJ428" s="42" t="str">
        <f t="shared" si="185"/>
        <v/>
      </c>
      <c r="CM428" s="42" t="str">
        <f t="shared" si="186"/>
        <v/>
      </c>
      <c r="CP428" s="46" t="str">
        <f t="shared" si="187"/>
        <v/>
      </c>
      <c r="CS428" s="46" t="str">
        <f t="shared" si="188"/>
        <v/>
      </c>
      <c r="CT428" s="42" t="str">
        <f t="shared" si="189"/>
        <v/>
      </c>
      <c r="CU428" s="42" t="str">
        <f t="shared" si="190"/>
        <v/>
      </c>
      <c r="CV428" s="42" t="str">
        <f t="shared" si="191"/>
        <v/>
      </c>
      <c r="DB428" s="45"/>
      <c r="DH428" s="42" t="str">
        <f t="shared" si="192"/>
        <v/>
      </c>
      <c r="DI428" s="43" t="str">
        <f t="shared" si="193"/>
        <v/>
      </c>
      <c r="DK428" s="46" t="str">
        <f t="shared" si="194"/>
        <v/>
      </c>
      <c r="DQ428" s="42" t="str">
        <f>IF(AH428="","",IFERROR(ROUND(100*('Weighting Options'!$D$7*IF(ISNUMBER(CA428),CA428/3,0)+'Weighting Options'!$D$8*MIN(N(BL428),3)/3+'Weighting Options'!$D$9*IF(AP428="Community/Plenary-endorsed",1,IF(AP428="FGD-validated only",0.75,IF(AP428="Sub-community-specific",0.5,IF(AP428="Provisional/emerging",0.25,0))))+'Weighting Options'!$D$10*IF(ISNUMBER(K428),K428/3,0)+'Weighting Options'!$D$11*IF(CC428="",0.5,IF(CC428="OK",1,0.25))+'Weighting Options'!$D$12*IF(DK428="",0.5,IF(DK428="Agrees",1,IF(DK428="Opposite",0,0.5)))+'Weighting Options'!$D$13*MIN(N(BG428),3)/3+'Weighting Options'!$D$14*IF(AE428=1,1,0))/SUM('Weighting Options'!$D$7:$D$14),0),""))</f>
        <v/>
      </c>
      <c r="DR428" s="44" t="str">
        <f>IF(AH428="","",IFERROR(INDEX('Weighting Options'!$D$20:$D$27,VALUE(LEFT(TRIM(BU428),1))),1))</f>
        <v/>
      </c>
      <c r="DS428" s="44" t="str">
        <f t="shared" si="195"/>
        <v/>
      </c>
      <c r="DT428" s="42" t="str">
        <f>IF(AH428="","",IF(COUNTIFS($AH$12:AH428,AH428,$AI$12:AI428,AI428,$AM$12:AM428,AM428)=1,1,0))</f>
        <v/>
      </c>
    </row>
    <row r="429" spans="16:124" ht="12.75" customHeight="1" x14ac:dyDescent="0.35">
      <c r="P429" s="41"/>
      <c r="Q429" s="41"/>
      <c r="R429" s="41"/>
      <c r="S429" s="41"/>
      <c r="AH429" s="40"/>
      <c r="AP429" s="40"/>
      <c r="AS429" s="41"/>
      <c r="AT429" s="41"/>
      <c r="AW429" t="str">
        <f t="shared" si="168"/>
        <v/>
      </c>
      <c r="AX429" t="str">
        <f t="shared" si="169"/>
        <v/>
      </c>
      <c r="AY429" t="str">
        <f t="shared" si="170"/>
        <v/>
      </c>
      <c r="AZ429" s="40"/>
      <c r="BL429" s="47" t="str">
        <f t="shared" si="171"/>
        <v/>
      </c>
      <c r="BM429" s="47" t="str">
        <f t="shared" si="172"/>
        <v/>
      </c>
      <c r="BN429" s="47" t="str">
        <f t="shared" si="173"/>
        <v/>
      </c>
      <c r="BO429" s="47" t="str">
        <f t="shared" si="174"/>
        <v/>
      </c>
      <c r="BP429" s="47" t="str">
        <f t="shared" si="175"/>
        <v/>
      </c>
      <c r="BQ429" s="48" t="str">
        <f t="shared" si="176"/>
        <v/>
      </c>
      <c r="BR429" s="48" t="str">
        <f t="shared" si="177"/>
        <v/>
      </c>
      <c r="BS429" s="48" t="str">
        <f t="shared" si="178"/>
        <v/>
      </c>
      <c r="BT429" s="47" t="str">
        <f t="shared" si="179"/>
        <v/>
      </c>
      <c r="CA429" s="47" t="str">
        <f t="shared" si="180"/>
        <v/>
      </c>
      <c r="CB429" s="47" t="str">
        <f t="shared" si="181"/>
        <v/>
      </c>
      <c r="CC429" s="47" t="str">
        <f t="shared" si="182"/>
        <v/>
      </c>
      <c r="CD429" s="47" t="str">
        <f t="shared" si="183"/>
        <v/>
      </c>
      <c r="CE429" s="47" t="str">
        <f>IF(AH429="","",IF(OR(AI429&lt;&gt;'Seasonal Tercile Tally'!$B$3,AM429&lt;&gt;'Seasonal Tercile Tally'!$B$4),"Other site/ season",IF(DT429=0,"Excluded: duplicate (later row)",IF(N429&lt;&gt;1,"Excluded: not sighted",IF(AC429&lt;&gt;1,"Excluded: not confirmed",IF(AD429&lt;&gt;1,"Excluded: not approved",IF(AP429="Contested","Excluded: contested",IF(OR(U429="",U429=0),"Excluded: no tercile",IF(CB429="","Counted (simple tally only — no weight)","Counted")))))))))</f>
        <v/>
      </c>
      <c r="CF429" s="49" t="str">
        <f>IF(AH429="","",IFERROR(INDEX('Prior Multipliers'!$C$6:$C$70,MATCH(LEFT(AH429,10),'Prior Multipliers'!$A$6:$A$70,0)),IFERROR(INDEX('Prior Multipliers'!$C$6:$C$70,MATCH(LEFT(AH429,6),'Prior Multipliers'!$A$6:$A$70,0)),IFERROR(INDEX('Prior Multipliers'!$C$6:$C$70,MATCH(LEFT(AH429,2),'Prior Multipliers'!$A$6:$A$70,0)),1))))</f>
        <v/>
      </c>
      <c r="CG429" s="49" t="str">
        <f>IF(CB429="","",IF(AND('Seasonal Tercile Tally'!$B$5=1,BT429="Rating-based"),CB429*CF429,CB429))</f>
        <v/>
      </c>
      <c r="CH429" s="47">
        <f t="shared" si="184"/>
        <v>0</v>
      </c>
      <c r="CI429" s="45"/>
      <c r="CJ429" s="42" t="str">
        <f t="shared" si="185"/>
        <v/>
      </c>
      <c r="CM429" s="42" t="str">
        <f t="shared" si="186"/>
        <v/>
      </c>
      <c r="CP429" s="46" t="str">
        <f t="shared" si="187"/>
        <v/>
      </c>
      <c r="CS429" s="46" t="str">
        <f t="shared" si="188"/>
        <v/>
      </c>
      <c r="CT429" s="42" t="str">
        <f t="shared" si="189"/>
        <v/>
      </c>
      <c r="CU429" s="42" t="str">
        <f t="shared" si="190"/>
        <v/>
      </c>
      <c r="CV429" s="42" t="str">
        <f t="shared" si="191"/>
        <v/>
      </c>
      <c r="DB429" s="45"/>
      <c r="DH429" s="42" t="str">
        <f t="shared" si="192"/>
        <v/>
      </c>
      <c r="DI429" s="43" t="str">
        <f t="shared" si="193"/>
        <v/>
      </c>
      <c r="DK429" s="46" t="str">
        <f t="shared" si="194"/>
        <v/>
      </c>
      <c r="DQ429" s="42" t="str">
        <f>IF(AH429="","",IFERROR(ROUND(100*('Weighting Options'!$D$7*IF(ISNUMBER(CA429),CA429/3,0)+'Weighting Options'!$D$8*MIN(N(BL429),3)/3+'Weighting Options'!$D$9*IF(AP429="Community/Plenary-endorsed",1,IF(AP429="FGD-validated only",0.75,IF(AP429="Sub-community-specific",0.5,IF(AP429="Provisional/emerging",0.25,0))))+'Weighting Options'!$D$10*IF(ISNUMBER(K429),K429/3,0)+'Weighting Options'!$D$11*IF(CC429="",0.5,IF(CC429="OK",1,0.25))+'Weighting Options'!$D$12*IF(DK429="",0.5,IF(DK429="Agrees",1,IF(DK429="Opposite",0,0.5)))+'Weighting Options'!$D$13*MIN(N(BG429),3)/3+'Weighting Options'!$D$14*IF(AE429=1,1,0))/SUM('Weighting Options'!$D$7:$D$14),0),""))</f>
        <v/>
      </c>
      <c r="DR429" s="44" t="str">
        <f>IF(AH429="","",IFERROR(INDEX('Weighting Options'!$D$20:$D$27,VALUE(LEFT(TRIM(BU429),1))),1))</f>
        <v/>
      </c>
      <c r="DS429" s="44" t="str">
        <f t="shared" si="195"/>
        <v/>
      </c>
      <c r="DT429" s="42" t="str">
        <f>IF(AH429="","",IF(COUNTIFS($AH$12:AH429,AH429,$AI$12:AI429,AI429,$AM$12:AM429,AM429)=1,1,0))</f>
        <v/>
      </c>
    </row>
    <row r="430" spans="16:124" ht="12.75" customHeight="1" x14ac:dyDescent="0.35">
      <c r="P430" s="41"/>
      <c r="Q430" s="41"/>
      <c r="R430" s="41"/>
      <c r="S430" s="41"/>
      <c r="AH430" s="40"/>
      <c r="AP430" s="40"/>
      <c r="AS430" s="41"/>
      <c r="AT430" s="41"/>
      <c r="AW430" t="str">
        <f t="shared" si="168"/>
        <v/>
      </c>
      <c r="AX430" t="str">
        <f t="shared" si="169"/>
        <v/>
      </c>
      <c r="AY430" t="str">
        <f t="shared" si="170"/>
        <v/>
      </c>
      <c r="AZ430" s="40"/>
      <c r="BL430" s="47" t="str">
        <f t="shared" si="171"/>
        <v/>
      </c>
      <c r="BM430" s="47" t="str">
        <f t="shared" si="172"/>
        <v/>
      </c>
      <c r="BN430" s="47" t="str">
        <f t="shared" si="173"/>
        <v/>
      </c>
      <c r="BO430" s="47" t="str">
        <f t="shared" si="174"/>
        <v/>
      </c>
      <c r="BP430" s="47" t="str">
        <f t="shared" si="175"/>
        <v/>
      </c>
      <c r="BQ430" s="48" t="str">
        <f t="shared" si="176"/>
        <v/>
      </c>
      <c r="BR430" s="48" t="str">
        <f t="shared" si="177"/>
        <v/>
      </c>
      <c r="BS430" s="48" t="str">
        <f t="shared" si="178"/>
        <v/>
      </c>
      <c r="BT430" s="47" t="str">
        <f t="shared" si="179"/>
        <v/>
      </c>
      <c r="CA430" s="47" t="str">
        <f t="shared" si="180"/>
        <v/>
      </c>
      <c r="CB430" s="47" t="str">
        <f t="shared" si="181"/>
        <v/>
      </c>
      <c r="CC430" s="47" t="str">
        <f t="shared" si="182"/>
        <v/>
      </c>
      <c r="CD430" s="47" t="str">
        <f t="shared" si="183"/>
        <v/>
      </c>
      <c r="CE430" s="47" t="str">
        <f>IF(AH430="","",IF(OR(AI430&lt;&gt;'Seasonal Tercile Tally'!$B$3,AM430&lt;&gt;'Seasonal Tercile Tally'!$B$4),"Other site/ season",IF(DT430=0,"Excluded: duplicate (later row)",IF(N430&lt;&gt;1,"Excluded: not sighted",IF(AC430&lt;&gt;1,"Excluded: not confirmed",IF(AD430&lt;&gt;1,"Excluded: not approved",IF(AP430="Contested","Excluded: contested",IF(OR(U430="",U430=0),"Excluded: no tercile",IF(CB430="","Counted (simple tally only — no weight)","Counted")))))))))</f>
        <v/>
      </c>
      <c r="CF430" s="49" t="str">
        <f>IF(AH430="","",IFERROR(INDEX('Prior Multipliers'!$C$6:$C$70,MATCH(LEFT(AH430,10),'Prior Multipliers'!$A$6:$A$70,0)),IFERROR(INDEX('Prior Multipliers'!$C$6:$C$70,MATCH(LEFT(AH430,6),'Prior Multipliers'!$A$6:$A$70,0)),IFERROR(INDEX('Prior Multipliers'!$C$6:$C$70,MATCH(LEFT(AH430,2),'Prior Multipliers'!$A$6:$A$70,0)),1))))</f>
        <v/>
      </c>
      <c r="CG430" s="49" t="str">
        <f>IF(CB430="","",IF(AND('Seasonal Tercile Tally'!$B$5=1,BT430="Rating-based"),CB430*CF430,CB430))</f>
        <v/>
      </c>
      <c r="CH430" s="47">
        <f t="shared" si="184"/>
        <v>0</v>
      </c>
      <c r="CI430" s="45"/>
      <c r="CJ430" s="42" t="str">
        <f t="shared" si="185"/>
        <v/>
      </c>
      <c r="CM430" s="42" t="str">
        <f t="shared" si="186"/>
        <v/>
      </c>
      <c r="CP430" s="46" t="str">
        <f t="shared" si="187"/>
        <v/>
      </c>
      <c r="CS430" s="46" t="str">
        <f t="shared" si="188"/>
        <v/>
      </c>
      <c r="CT430" s="42" t="str">
        <f t="shared" si="189"/>
        <v/>
      </c>
      <c r="CU430" s="42" t="str">
        <f t="shared" si="190"/>
        <v/>
      </c>
      <c r="CV430" s="42" t="str">
        <f t="shared" si="191"/>
        <v/>
      </c>
      <c r="DB430" s="45"/>
      <c r="DH430" s="42" t="str">
        <f t="shared" si="192"/>
        <v/>
      </c>
      <c r="DI430" s="43" t="str">
        <f t="shared" si="193"/>
        <v/>
      </c>
      <c r="DK430" s="46" t="str">
        <f t="shared" si="194"/>
        <v/>
      </c>
      <c r="DQ430" s="42" t="str">
        <f>IF(AH430="","",IFERROR(ROUND(100*('Weighting Options'!$D$7*IF(ISNUMBER(CA430),CA430/3,0)+'Weighting Options'!$D$8*MIN(N(BL430),3)/3+'Weighting Options'!$D$9*IF(AP430="Community/Plenary-endorsed",1,IF(AP430="FGD-validated only",0.75,IF(AP430="Sub-community-specific",0.5,IF(AP430="Provisional/emerging",0.25,0))))+'Weighting Options'!$D$10*IF(ISNUMBER(K430),K430/3,0)+'Weighting Options'!$D$11*IF(CC430="",0.5,IF(CC430="OK",1,0.25))+'Weighting Options'!$D$12*IF(DK430="",0.5,IF(DK430="Agrees",1,IF(DK430="Opposite",0,0.5)))+'Weighting Options'!$D$13*MIN(N(BG430),3)/3+'Weighting Options'!$D$14*IF(AE430=1,1,0))/SUM('Weighting Options'!$D$7:$D$14),0),""))</f>
        <v/>
      </c>
      <c r="DR430" s="44" t="str">
        <f>IF(AH430="","",IFERROR(INDEX('Weighting Options'!$D$20:$D$27,VALUE(LEFT(TRIM(BU430),1))),1))</f>
        <v/>
      </c>
      <c r="DS430" s="44" t="str">
        <f t="shared" si="195"/>
        <v/>
      </c>
      <c r="DT430" s="42" t="str">
        <f>IF(AH430="","",IF(COUNTIFS($AH$12:AH430,AH430,$AI$12:AI430,AI430,$AM$12:AM430,AM430)=1,1,0))</f>
        <v/>
      </c>
    </row>
    <row r="431" spans="16:124" ht="12.75" customHeight="1" x14ac:dyDescent="0.35">
      <c r="P431" s="41"/>
      <c r="Q431" s="41"/>
      <c r="R431" s="41"/>
      <c r="S431" s="41"/>
      <c r="AH431" s="40"/>
      <c r="AP431" s="40"/>
      <c r="AS431" s="41"/>
      <c r="AT431" s="41"/>
      <c r="AW431" t="str">
        <f t="shared" si="168"/>
        <v/>
      </c>
      <c r="AX431" t="str">
        <f t="shared" si="169"/>
        <v/>
      </c>
      <c r="AY431" t="str">
        <f t="shared" si="170"/>
        <v/>
      </c>
      <c r="AZ431" s="40"/>
      <c r="BL431" s="47" t="str">
        <f t="shared" si="171"/>
        <v/>
      </c>
      <c r="BM431" s="47" t="str">
        <f t="shared" si="172"/>
        <v/>
      </c>
      <c r="BN431" s="47" t="str">
        <f t="shared" si="173"/>
        <v/>
      </c>
      <c r="BO431" s="47" t="str">
        <f t="shared" si="174"/>
        <v/>
      </c>
      <c r="BP431" s="47" t="str">
        <f t="shared" si="175"/>
        <v/>
      </c>
      <c r="BQ431" s="48" t="str">
        <f t="shared" si="176"/>
        <v/>
      </c>
      <c r="BR431" s="48" t="str">
        <f t="shared" si="177"/>
        <v/>
      </c>
      <c r="BS431" s="48" t="str">
        <f t="shared" si="178"/>
        <v/>
      </c>
      <c r="BT431" s="47" t="str">
        <f t="shared" si="179"/>
        <v/>
      </c>
      <c r="CA431" s="47" t="str">
        <f t="shared" si="180"/>
        <v/>
      </c>
      <c r="CB431" s="47" t="str">
        <f t="shared" si="181"/>
        <v/>
      </c>
      <c r="CC431" s="47" t="str">
        <f t="shared" si="182"/>
        <v/>
      </c>
      <c r="CD431" s="47" t="str">
        <f t="shared" si="183"/>
        <v/>
      </c>
      <c r="CE431" s="47" t="str">
        <f>IF(AH431="","",IF(OR(AI431&lt;&gt;'Seasonal Tercile Tally'!$B$3,AM431&lt;&gt;'Seasonal Tercile Tally'!$B$4),"Other site/ season",IF(DT431=0,"Excluded: duplicate (later row)",IF(N431&lt;&gt;1,"Excluded: not sighted",IF(AC431&lt;&gt;1,"Excluded: not confirmed",IF(AD431&lt;&gt;1,"Excluded: not approved",IF(AP431="Contested","Excluded: contested",IF(OR(U431="",U431=0),"Excluded: no tercile",IF(CB431="","Counted (simple tally only — no weight)","Counted")))))))))</f>
        <v/>
      </c>
      <c r="CF431" s="49" t="str">
        <f>IF(AH431="","",IFERROR(INDEX('Prior Multipliers'!$C$6:$C$70,MATCH(LEFT(AH431,10),'Prior Multipliers'!$A$6:$A$70,0)),IFERROR(INDEX('Prior Multipliers'!$C$6:$C$70,MATCH(LEFT(AH431,6),'Prior Multipliers'!$A$6:$A$70,0)),IFERROR(INDEX('Prior Multipliers'!$C$6:$C$70,MATCH(LEFT(AH431,2),'Prior Multipliers'!$A$6:$A$70,0)),1))))</f>
        <v/>
      </c>
      <c r="CG431" s="49" t="str">
        <f>IF(CB431="","",IF(AND('Seasonal Tercile Tally'!$B$5=1,BT431="Rating-based"),CB431*CF431,CB431))</f>
        <v/>
      </c>
      <c r="CH431" s="47">
        <f t="shared" si="184"/>
        <v>0</v>
      </c>
      <c r="CI431" s="45"/>
      <c r="CJ431" s="42" t="str">
        <f t="shared" si="185"/>
        <v/>
      </c>
      <c r="CM431" s="42" t="str">
        <f t="shared" si="186"/>
        <v/>
      </c>
      <c r="CP431" s="46" t="str">
        <f t="shared" si="187"/>
        <v/>
      </c>
      <c r="CS431" s="46" t="str">
        <f t="shared" si="188"/>
        <v/>
      </c>
      <c r="CT431" s="42" t="str">
        <f t="shared" si="189"/>
        <v/>
      </c>
      <c r="CU431" s="42" t="str">
        <f t="shared" si="190"/>
        <v/>
      </c>
      <c r="CV431" s="42" t="str">
        <f t="shared" si="191"/>
        <v/>
      </c>
      <c r="DB431" s="45"/>
      <c r="DH431" s="42" t="str">
        <f t="shared" si="192"/>
        <v/>
      </c>
      <c r="DI431" s="43" t="str">
        <f t="shared" si="193"/>
        <v/>
      </c>
      <c r="DK431" s="46" t="str">
        <f t="shared" si="194"/>
        <v/>
      </c>
      <c r="DQ431" s="42" t="str">
        <f>IF(AH431="","",IFERROR(ROUND(100*('Weighting Options'!$D$7*IF(ISNUMBER(CA431),CA431/3,0)+'Weighting Options'!$D$8*MIN(N(BL431),3)/3+'Weighting Options'!$D$9*IF(AP431="Community/Plenary-endorsed",1,IF(AP431="FGD-validated only",0.75,IF(AP431="Sub-community-specific",0.5,IF(AP431="Provisional/emerging",0.25,0))))+'Weighting Options'!$D$10*IF(ISNUMBER(K431),K431/3,0)+'Weighting Options'!$D$11*IF(CC431="",0.5,IF(CC431="OK",1,0.25))+'Weighting Options'!$D$12*IF(DK431="",0.5,IF(DK431="Agrees",1,IF(DK431="Opposite",0,0.5)))+'Weighting Options'!$D$13*MIN(N(BG431),3)/3+'Weighting Options'!$D$14*IF(AE431=1,1,0))/SUM('Weighting Options'!$D$7:$D$14),0),""))</f>
        <v/>
      </c>
      <c r="DR431" s="44" t="str">
        <f>IF(AH431="","",IFERROR(INDEX('Weighting Options'!$D$20:$D$27,VALUE(LEFT(TRIM(BU431),1))),1))</f>
        <v/>
      </c>
      <c r="DS431" s="44" t="str">
        <f t="shared" si="195"/>
        <v/>
      </c>
      <c r="DT431" s="42" t="str">
        <f>IF(AH431="","",IF(COUNTIFS($AH$12:AH431,AH431,$AI$12:AI431,AI431,$AM$12:AM431,AM431)=1,1,0))</f>
        <v/>
      </c>
    </row>
    <row r="432" spans="16:124" ht="12.75" customHeight="1" x14ac:dyDescent="0.35">
      <c r="P432" s="41"/>
      <c r="Q432" s="41"/>
      <c r="R432" s="41"/>
      <c r="S432" s="41"/>
      <c r="AH432" s="40"/>
      <c r="AP432" s="40"/>
      <c r="AS432" s="41"/>
      <c r="AT432" s="41"/>
      <c r="AW432" t="str">
        <f t="shared" si="168"/>
        <v/>
      </c>
      <c r="AX432" t="str">
        <f t="shared" si="169"/>
        <v/>
      </c>
      <c r="AY432" t="str">
        <f t="shared" si="170"/>
        <v/>
      </c>
      <c r="AZ432" s="40"/>
      <c r="BL432" s="47" t="str">
        <f t="shared" si="171"/>
        <v/>
      </c>
      <c r="BM432" s="47" t="str">
        <f t="shared" si="172"/>
        <v/>
      </c>
      <c r="BN432" s="47" t="str">
        <f t="shared" si="173"/>
        <v/>
      </c>
      <c r="BO432" s="47" t="str">
        <f t="shared" si="174"/>
        <v/>
      </c>
      <c r="BP432" s="47" t="str">
        <f t="shared" si="175"/>
        <v/>
      </c>
      <c r="BQ432" s="48" t="str">
        <f t="shared" si="176"/>
        <v/>
      </c>
      <c r="BR432" s="48" t="str">
        <f t="shared" si="177"/>
        <v/>
      </c>
      <c r="BS432" s="48" t="str">
        <f t="shared" si="178"/>
        <v/>
      </c>
      <c r="BT432" s="47" t="str">
        <f t="shared" si="179"/>
        <v/>
      </c>
      <c r="CA432" s="47" t="str">
        <f t="shared" si="180"/>
        <v/>
      </c>
      <c r="CB432" s="47" t="str">
        <f t="shared" si="181"/>
        <v/>
      </c>
      <c r="CC432" s="47" t="str">
        <f t="shared" si="182"/>
        <v/>
      </c>
      <c r="CD432" s="47" t="str">
        <f t="shared" si="183"/>
        <v/>
      </c>
      <c r="CE432" s="47" t="str">
        <f>IF(AH432="","",IF(OR(AI432&lt;&gt;'Seasonal Tercile Tally'!$B$3,AM432&lt;&gt;'Seasonal Tercile Tally'!$B$4),"Other site/ season",IF(DT432=0,"Excluded: duplicate (later row)",IF(N432&lt;&gt;1,"Excluded: not sighted",IF(AC432&lt;&gt;1,"Excluded: not confirmed",IF(AD432&lt;&gt;1,"Excluded: not approved",IF(AP432="Contested","Excluded: contested",IF(OR(U432="",U432=0),"Excluded: no tercile",IF(CB432="","Counted (simple tally only — no weight)","Counted")))))))))</f>
        <v/>
      </c>
      <c r="CF432" s="49" t="str">
        <f>IF(AH432="","",IFERROR(INDEX('Prior Multipliers'!$C$6:$C$70,MATCH(LEFT(AH432,10),'Prior Multipliers'!$A$6:$A$70,0)),IFERROR(INDEX('Prior Multipliers'!$C$6:$C$70,MATCH(LEFT(AH432,6),'Prior Multipliers'!$A$6:$A$70,0)),IFERROR(INDEX('Prior Multipliers'!$C$6:$C$70,MATCH(LEFT(AH432,2),'Prior Multipliers'!$A$6:$A$70,0)),1))))</f>
        <v/>
      </c>
      <c r="CG432" s="49" t="str">
        <f>IF(CB432="","",IF(AND('Seasonal Tercile Tally'!$B$5=1,BT432="Rating-based"),CB432*CF432,CB432))</f>
        <v/>
      </c>
      <c r="CH432" s="47">
        <f t="shared" si="184"/>
        <v>0</v>
      </c>
      <c r="CI432" s="45"/>
      <c r="CJ432" s="42" t="str">
        <f t="shared" si="185"/>
        <v/>
      </c>
      <c r="CM432" s="42" t="str">
        <f t="shared" si="186"/>
        <v/>
      </c>
      <c r="CP432" s="46" t="str">
        <f t="shared" si="187"/>
        <v/>
      </c>
      <c r="CS432" s="46" t="str">
        <f t="shared" si="188"/>
        <v/>
      </c>
      <c r="CT432" s="42" t="str">
        <f t="shared" si="189"/>
        <v/>
      </c>
      <c r="CU432" s="42" t="str">
        <f t="shared" si="190"/>
        <v/>
      </c>
      <c r="CV432" s="42" t="str">
        <f t="shared" si="191"/>
        <v/>
      </c>
      <c r="DB432" s="45"/>
      <c r="DH432" s="42" t="str">
        <f t="shared" si="192"/>
        <v/>
      </c>
      <c r="DI432" s="43" t="str">
        <f t="shared" si="193"/>
        <v/>
      </c>
      <c r="DK432" s="46" t="str">
        <f t="shared" si="194"/>
        <v/>
      </c>
      <c r="DQ432" s="42" t="str">
        <f>IF(AH432="","",IFERROR(ROUND(100*('Weighting Options'!$D$7*IF(ISNUMBER(CA432),CA432/3,0)+'Weighting Options'!$D$8*MIN(N(BL432),3)/3+'Weighting Options'!$D$9*IF(AP432="Community/Plenary-endorsed",1,IF(AP432="FGD-validated only",0.75,IF(AP432="Sub-community-specific",0.5,IF(AP432="Provisional/emerging",0.25,0))))+'Weighting Options'!$D$10*IF(ISNUMBER(K432),K432/3,0)+'Weighting Options'!$D$11*IF(CC432="",0.5,IF(CC432="OK",1,0.25))+'Weighting Options'!$D$12*IF(DK432="",0.5,IF(DK432="Agrees",1,IF(DK432="Opposite",0,0.5)))+'Weighting Options'!$D$13*MIN(N(BG432),3)/3+'Weighting Options'!$D$14*IF(AE432=1,1,0))/SUM('Weighting Options'!$D$7:$D$14),0),""))</f>
        <v/>
      </c>
      <c r="DR432" s="44" t="str">
        <f>IF(AH432="","",IFERROR(INDEX('Weighting Options'!$D$20:$D$27,VALUE(LEFT(TRIM(BU432),1))),1))</f>
        <v/>
      </c>
      <c r="DS432" s="44" t="str">
        <f t="shared" si="195"/>
        <v/>
      </c>
      <c r="DT432" s="42" t="str">
        <f>IF(AH432="","",IF(COUNTIFS($AH$12:AH432,AH432,$AI$12:AI432,AI432,$AM$12:AM432,AM432)=1,1,0))</f>
        <v/>
      </c>
    </row>
    <row r="433" spans="16:124" ht="12.75" customHeight="1" x14ac:dyDescent="0.35">
      <c r="P433" s="41"/>
      <c r="Q433" s="41"/>
      <c r="R433" s="41"/>
      <c r="S433" s="41"/>
      <c r="AH433" s="40"/>
      <c r="AP433" s="40"/>
      <c r="AS433" s="41"/>
      <c r="AT433" s="41"/>
      <c r="AW433" t="str">
        <f t="shared" si="168"/>
        <v/>
      </c>
      <c r="AX433" t="str">
        <f t="shared" si="169"/>
        <v/>
      </c>
      <c r="AY433" t="str">
        <f t="shared" si="170"/>
        <v/>
      </c>
      <c r="AZ433" s="40"/>
      <c r="BL433" s="47" t="str">
        <f t="shared" si="171"/>
        <v/>
      </c>
      <c r="BM433" s="47" t="str">
        <f t="shared" si="172"/>
        <v/>
      </c>
      <c r="BN433" s="47" t="str">
        <f t="shared" si="173"/>
        <v/>
      </c>
      <c r="BO433" s="47" t="str">
        <f t="shared" si="174"/>
        <v/>
      </c>
      <c r="BP433" s="47" t="str">
        <f t="shared" si="175"/>
        <v/>
      </c>
      <c r="BQ433" s="48" t="str">
        <f t="shared" si="176"/>
        <v/>
      </c>
      <c r="BR433" s="48" t="str">
        <f t="shared" si="177"/>
        <v/>
      </c>
      <c r="BS433" s="48" t="str">
        <f t="shared" si="178"/>
        <v/>
      </c>
      <c r="BT433" s="47" t="str">
        <f t="shared" si="179"/>
        <v/>
      </c>
      <c r="CA433" s="47" t="str">
        <f t="shared" si="180"/>
        <v/>
      </c>
      <c r="CB433" s="47" t="str">
        <f t="shared" si="181"/>
        <v/>
      </c>
      <c r="CC433" s="47" t="str">
        <f t="shared" si="182"/>
        <v/>
      </c>
      <c r="CD433" s="47" t="str">
        <f t="shared" si="183"/>
        <v/>
      </c>
      <c r="CE433" s="47" t="str">
        <f>IF(AH433="","",IF(OR(AI433&lt;&gt;'Seasonal Tercile Tally'!$B$3,AM433&lt;&gt;'Seasonal Tercile Tally'!$B$4),"Other site/ season",IF(DT433=0,"Excluded: duplicate (later row)",IF(N433&lt;&gt;1,"Excluded: not sighted",IF(AC433&lt;&gt;1,"Excluded: not confirmed",IF(AD433&lt;&gt;1,"Excluded: not approved",IF(AP433="Contested","Excluded: contested",IF(OR(U433="",U433=0),"Excluded: no tercile",IF(CB433="","Counted (simple tally only — no weight)","Counted")))))))))</f>
        <v/>
      </c>
      <c r="CF433" s="49" t="str">
        <f>IF(AH433="","",IFERROR(INDEX('Prior Multipliers'!$C$6:$C$70,MATCH(LEFT(AH433,10),'Prior Multipliers'!$A$6:$A$70,0)),IFERROR(INDEX('Prior Multipliers'!$C$6:$C$70,MATCH(LEFT(AH433,6),'Prior Multipliers'!$A$6:$A$70,0)),IFERROR(INDEX('Prior Multipliers'!$C$6:$C$70,MATCH(LEFT(AH433,2),'Prior Multipliers'!$A$6:$A$70,0)),1))))</f>
        <v/>
      </c>
      <c r="CG433" s="49" t="str">
        <f>IF(CB433="","",IF(AND('Seasonal Tercile Tally'!$B$5=1,BT433="Rating-based"),CB433*CF433,CB433))</f>
        <v/>
      </c>
      <c r="CH433" s="47">
        <f t="shared" si="184"/>
        <v>0</v>
      </c>
      <c r="CI433" s="45"/>
      <c r="CJ433" s="42" t="str">
        <f t="shared" si="185"/>
        <v/>
      </c>
      <c r="CM433" s="42" t="str">
        <f t="shared" si="186"/>
        <v/>
      </c>
      <c r="CP433" s="46" t="str">
        <f t="shared" si="187"/>
        <v/>
      </c>
      <c r="CS433" s="46" t="str">
        <f t="shared" si="188"/>
        <v/>
      </c>
      <c r="CT433" s="42" t="str">
        <f t="shared" si="189"/>
        <v/>
      </c>
      <c r="CU433" s="42" t="str">
        <f t="shared" si="190"/>
        <v/>
      </c>
      <c r="CV433" s="42" t="str">
        <f t="shared" si="191"/>
        <v/>
      </c>
      <c r="DB433" s="45"/>
      <c r="DH433" s="42" t="str">
        <f t="shared" si="192"/>
        <v/>
      </c>
      <c r="DI433" s="43" t="str">
        <f t="shared" si="193"/>
        <v/>
      </c>
      <c r="DK433" s="46" t="str">
        <f t="shared" si="194"/>
        <v/>
      </c>
      <c r="DQ433" s="42" t="str">
        <f>IF(AH433="","",IFERROR(ROUND(100*('Weighting Options'!$D$7*IF(ISNUMBER(CA433),CA433/3,0)+'Weighting Options'!$D$8*MIN(N(BL433),3)/3+'Weighting Options'!$D$9*IF(AP433="Community/Plenary-endorsed",1,IF(AP433="FGD-validated only",0.75,IF(AP433="Sub-community-specific",0.5,IF(AP433="Provisional/emerging",0.25,0))))+'Weighting Options'!$D$10*IF(ISNUMBER(K433),K433/3,0)+'Weighting Options'!$D$11*IF(CC433="",0.5,IF(CC433="OK",1,0.25))+'Weighting Options'!$D$12*IF(DK433="",0.5,IF(DK433="Agrees",1,IF(DK433="Opposite",0,0.5)))+'Weighting Options'!$D$13*MIN(N(BG433),3)/3+'Weighting Options'!$D$14*IF(AE433=1,1,0))/SUM('Weighting Options'!$D$7:$D$14),0),""))</f>
        <v/>
      </c>
      <c r="DR433" s="44" t="str">
        <f>IF(AH433="","",IFERROR(INDEX('Weighting Options'!$D$20:$D$27,VALUE(LEFT(TRIM(BU433),1))),1))</f>
        <v/>
      </c>
      <c r="DS433" s="44" t="str">
        <f t="shared" si="195"/>
        <v/>
      </c>
      <c r="DT433" s="42" t="str">
        <f>IF(AH433="","",IF(COUNTIFS($AH$12:AH433,AH433,$AI$12:AI433,AI433,$AM$12:AM433,AM433)=1,1,0))</f>
        <v/>
      </c>
    </row>
    <row r="434" spans="16:124" ht="12.75" customHeight="1" x14ac:dyDescent="0.35">
      <c r="P434" s="41"/>
      <c r="Q434" s="41"/>
      <c r="R434" s="41"/>
      <c r="S434" s="41"/>
      <c r="AH434" s="40"/>
      <c r="AP434" s="40"/>
      <c r="AS434" s="41"/>
      <c r="AT434" s="41"/>
      <c r="AW434" t="str">
        <f t="shared" si="168"/>
        <v/>
      </c>
      <c r="AX434" t="str">
        <f t="shared" si="169"/>
        <v/>
      </c>
      <c r="AY434" t="str">
        <f t="shared" si="170"/>
        <v/>
      </c>
      <c r="AZ434" s="40"/>
      <c r="BL434" s="47" t="str">
        <f t="shared" si="171"/>
        <v/>
      </c>
      <c r="BM434" s="47" t="str">
        <f t="shared" si="172"/>
        <v/>
      </c>
      <c r="BN434" s="47" t="str">
        <f t="shared" si="173"/>
        <v/>
      </c>
      <c r="BO434" s="47" t="str">
        <f t="shared" si="174"/>
        <v/>
      </c>
      <c r="BP434" s="47" t="str">
        <f t="shared" si="175"/>
        <v/>
      </c>
      <c r="BQ434" s="48" t="str">
        <f t="shared" si="176"/>
        <v/>
      </c>
      <c r="BR434" s="48" t="str">
        <f t="shared" si="177"/>
        <v/>
      </c>
      <c r="BS434" s="48" t="str">
        <f t="shared" si="178"/>
        <v/>
      </c>
      <c r="BT434" s="47" t="str">
        <f t="shared" si="179"/>
        <v/>
      </c>
      <c r="CA434" s="47" t="str">
        <f t="shared" si="180"/>
        <v/>
      </c>
      <c r="CB434" s="47" t="str">
        <f t="shared" si="181"/>
        <v/>
      </c>
      <c r="CC434" s="47" t="str">
        <f t="shared" si="182"/>
        <v/>
      </c>
      <c r="CD434" s="47" t="str">
        <f t="shared" si="183"/>
        <v/>
      </c>
      <c r="CE434" s="47" t="str">
        <f>IF(AH434="","",IF(OR(AI434&lt;&gt;'Seasonal Tercile Tally'!$B$3,AM434&lt;&gt;'Seasonal Tercile Tally'!$B$4),"Other site/ season",IF(DT434=0,"Excluded: duplicate (later row)",IF(N434&lt;&gt;1,"Excluded: not sighted",IF(AC434&lt;&gt;1,"Excluded: not confirmed",IF(AD434&lt;&gt;1,"Excluded: not approved",IF(AP434="Contested","Excluded: contested",IF(OR(U434="",U434=0),"Excluded: no tercile",IF(CB434="","Counted (simple tally only — no weight)","Counted")))))))))</f>
        <v/>
      </c>
      <c r="CF434" s="49" t="str">
        <f>IF(AH434="","",IFERROR(INDEX('Prior Multipliers'!$C$6:$C$70,MATCH(LEFT(AH434,10),'Prior Multipliers'!$A$6:$A$70,0)),IFERROR(INDEX('Prior Multipliers'!$C$6:$C$70,MATCH(LEFT(AH434,6),'Prior Multipliers'!$A$6:$A$70,0)),IFERROR(INDEX('Prior Multipliers'!$C$6:$C$70,MATCH(LEFT(AH434,2),'Prior Multipliers'!$A$6:$A$70,0)),1))))</f>
        <v/>
      </c>
      <c r="CG434" s="49" t="str">
        <f>IF(CB434="","",IF(AND('Seasonal Tercile Tally'!$B$5=1,BT434="Rating-based"),CB434*CF434,CB434))</f>
        <v/>
      </c>
      <c r="CH434" s="47">
        <f t="shared" si="184"/>
        <v>0</v>
      </c>
      <c r="CI434" s="45"/>
      <c r="CJ434" s="42" t="str">
        <f t="shared" si="185"/>
        <v/>
      </c>
      <c r="CM434" s="42" t="str">
        <f t="shared" si="186"/>
        <v/>
      </c>
      <c r="CP434" s="46" t="str">
        <f t="shared" si="187"/>
        <v/>
      </c>
      <c r="CS434" s="46" t="str">
        <f t="shared" si="188"/>
        <v/>
      </c>
      <c r="CT434" s="42" t="str">
        <f t="shared" si="189"/>
        <v/>
      </c>
      <c r="CU434" s="42" t="str">
        <f t="shared" si="190"/>
        <v/>
      </c>
      <c r="CV434" s="42" t="str">
        <f t="shared" si="191"/>
        <v/>
      </c>
      <c r="DB434" s="45"/>
      <c r="DH434" s="42" t="str">
        <f t="shared" si="192"/>
        <v/>
      </c>
      <c r="DI434" s="43" t="str">
        <f t="shared" si="193"/>
        <v/>
      </c>
      <c r="DK434" s="46" t="str">
        <f t="shared" si="194"/>
        <v/>
      </c>
      <c r="DQ434" s="42" t="str">
        <f>IF(AH434="","",IFERROR(ROUND(100*('Weighting Options'!$D$7*IF(ISNUMBER(CA434),CA434/3,0)+'Weighting Options'!$D$8*MIN(N(BL434),3)/3+'Weighting Options'!$D$9*IF(AP434="Community/Plenary-endorsed",1,IF(AP434="FGD-validated only",0.75,IF(AP434="Sub-community-specific",0.5,IF(AP434="Provisional/emerging",0.25,0))))+'Weighting Options'!$D$10*IF(ISNUMBER(K434),K434/3,0)+'Weighting Options'!$D$11*IF(CC434="",0.5,IF(CC434="OK",1,0.25))+'Weighting Options'!$D$12*IF(DK434="",0.5,IF(DK434="Agrees",1,IF(DK434="Opposite",0,0.5)))+'Weighting Options'!$D$13*MIN(N(BG434),3)/3+'Weighting Options'!$D$14*IF(AE434=1,1,0))/SUM('Weighting Options'!$D$7:$D$14),0),""))</f>
        <v/>
      </c>
      <c r="DR434" s="44" t="str">
        <f>IF(AH434="","",IFERROR(INDEX('Weighting Options'!$D$20:$D$27,VALUE(LEFT(TRIM(BU434),1))),1))</f>
        <v/>
      </c>
      <c r="DS434" s="44" t="str">
        <f t="shared" si="195"/>
        <v/>
      </c>
      <c r="DT434" s="42" t="str">
        <f>IF(AH434="","",IF(COUNTIFS($AH$12:AH434,AH434,$AI$12:AI434,AI434,$AM$12:AM434,AM434)=1,1,0))</f>
        <v/>
      </c>
    </row>
    <row r="435" spans="16:124" ht="12.75" customHeight="1" x14ac:dyDescent="0.35">
      <c r="P435" s="41"/>
      <c r="Q435" s="41"/>
      <c r="R435" s="41"/>
      <c r="S435" s="41"/>
      <c r="AH435" s="40"/>
      <c r="AP435" s="40"/>
      <c r="AS435" s="41"/>
      <c r="AT435" s="41"/>
      <c r="AW435" t="str">
        <f t="shared" si="168"/>
        <v/>
      </c>
      <c r="AX435" t="str">
        <f t="shared" si="169"/>
        <v/>
      </c>
      <c r="AY435" t="str">
        <f t="shared" si="170"/>
        <v/>
      </c>
      <c r="AZ435" s="40"/>
      <c r="BL435" s="47" t="str">
        <f t="shared" si="171"/>
        <v/>
      </c>
      <c r="BM435" s="47" t="str">
        <f t="shared" si="172"/>
        <v/>
      </c>
      <c r="BN435" s="47" t="str">
        <f t="shared" si="173"/>
        <v/>
      </c>
      <c r="BO435" s="47" t="str">
        <f t="shared" si="174"/>
        <v/>
      </c>
      <c r="BP435" s="47" t="str">
        <f t="shared" si="175"/>
        <v/>
      </c>
      <c r="BQ435" s="48" t="str">
        <f t="shared" si="176"/>
        <v/>
      </c>
      <c r="BR435" s="48" t="str">
        <f t="shared" si="177"/>
        <v/>
      </c>
      <c r="BS435" s="48" t="str">
        <f t="shared" si="178"/>
        <v/>
      </c>
      <c r="BT435" s="47" t="str">
        <f t="shared" si="179"/>
        <v/>
      </c>
      <c r="CA435" s="47" t="str">
        <f t="shared" si="180"/>
        <v/>
      </c>
      <c r="CB435" s="47" t="str">
        <f t="shared" si="181"/>
        <v/>
      </c>
      <c r="CC435" s="47" t="str">
        <f t="shared" si="182"/>
        <v/>
      </c>
      <c r="CD435" s="47" t="str">
        <f t="shared" si="183"/>
        <v/>
      </c>
      <c r="CE435" s="47" t="str">
        <f>IF(AH435="","",IF(OR(AI435&lt;&gt;'Seasonal Tercile Tally'!$B$3,AM435&lt;&gt;'Seasonal Tercile Tally'!$B$4),"Other site/ season",IF(DT435=0,"Excluded: duplicate (later row)",IF(N435&lt;&gt;1,"Excluded: not sighted",IF(AC435&lt;&gt;1,"Excluded: not confirmed",IF(AD435&lt;&gt;1,"Excluded: not approved",IF(AP435="Contested","Excluded: contested",IF(OR(U435="",U435=0),"Excluded: no tercile",IF(CB435="","Counted (simple tally only — no weight)","Counted")))))))))</f>
        <v/>
      </c>
      <c r="CF435" s="49" t="str">
        <f>IF(AH435="","",IFERROR(INDEX('Prior Multipliers'!$C$6:$C$70,MATCH(LEFT(AH435,10),'Prior Multipliers'!$A$6:$A$70,0)),IFERROR(INDEX('Prior Multipliers'!$C$6:$C$70,MATCH(LEFT(AH435,6),'Prior Multipliers'!$A$6:$A$70,0)),IFERROR(INDEX('Prior Multipliers'!$C$6:$C$70,MATCH(LEFT(AH435,2),'Prior Multipliers'!$A$6:$A$70,0)),1))))</f>
        <v/>
      </c>
      <c r="CG435" s="49" t="str">
        <f>IF(CB435="","",IF(AND('Seasonal Tercile Tally'!$B$5=1,BT435="Rating-based"),CB435*CF435,CB435))</f>
        <v/>
      </c>
      <c r="CH435" s="47">
        <f t="shared" si="184"/>
        <v>0</v>
      </c>
      <c r="CI435" s="45"/>
      <c r="CJ435" s="42" t="str">
        <f t="shared" si="185"/>
        <v/>
      </c>
      <c r="CM435" s="42" t="str">
        <f t="shared" si="186"/>
        <v/>
      </c>
      <c r="CP435" s="46" t="str">
        <f t="shared" si="187"/>
        <v/>
      </c>
      <c r="CS435" s="46" t="str">
        <f t="shared" si="188"/>
        <v/>
      </c>
      <c r="CT435" s="42" t="str">
        <f t="shared" si="189"/>
        <v/>
      </c>
      <c r="CU435" s="42" t="str">
        <f t="shared" si="190"/>
        <v/>
      </c>
      <c r="CV435" s="42" t="str">
        <f t="shared" si="191"/>
        <v/>
      </c>
      <c r="DB435" s="45"/>
      <c r="DH435" s="42" t="str">
        <f t="shared" si="192"/>
        <v/>
      </c>
      <c r="DI435" s="43" t="str">
        <f t="shared" si="193"/>
        <v/>
      </c>
      <c r="DK435" s="46" t="str">
        <f t="shared" si="194"/>
        <v/>
      </c>
      <c r="DQ435" s="42" t="str">
        <f>IF(AH435="","",IFERROR(ROUND(100*('Weighting Options'!$D$7*IF(ISNUMBER(CA435),CA435/3,0)+'Weighting Options'!$D$8*MIN(N(BL435),3)/3+'Weighting Options'!$D$9*IF(AP435="Community/Plenary-endorsed",1,IF(AP435="FGD-validated only",0.75,IF(AP435="Sub-community-specific",0.5,IF(AP435="Provisional/emerging",0.25,0))))+'Weighting Options'!$D$10*IF(ISNUMBER(K435),K435/3,0)+'Weighting Options'!$D$11*IF(CC435="",0.5,IF(CC435="OK",1,0.25))+'Weighting Options'!$D$12*IF(DK435="",0.5,IF(DK435="Agrees",1,IF(DK435="Opposite",0,0.5)))+'Weighting Options'!$D$13*MIN(N(BG435),3)/3+'Weighting Options'!$D$14*IF(AE435=1,1,0))/SUM('Weighting Options'!$D$7:$D$14),0),""))</f>
        <v/>
      </c>
      <c r="DR435" s="44" t="str">
        <f>IF(AH435="","",IFERROR(INDEX('Weighting Options'!$D$20:$D$27,VALUE(LEFT(TRIM(BU435),1))),1))</f>
        <v/>
      </c>
      <c r="DS435" s="44" t="str">
        <f t="shared" si="195"/>
        <v/>
      </c>
      <c r="DT435" s="42" t="str">
        <f>IF(AH435="","",IF(COUNTIFS($AH$12:AH435,AH435,$AI$12:AI435,AI435,$AM$12:AM435,AM435)=1,1,0))</f>
        <v/>
      </c>
    </row>
    <row r="436" spans="16:124" ht="12.75" customHeight="1" x14ac:dyDescent="0.35">
      <c r="P436" s="41"/>
      <c r="Q436" s="41"/>
      <c r="R436" s="41"/>
      <c r="S436" s="41"/>
      <c r="AH436" s="40"/>
      <c r="AP436" s="40"/>
      <c r="AS436" s="41"/>
      <c r="AT436" s="41"/>
      <c r="AW436" t="str">
        <f t="shared" si="168"/>
        <v/>
      </c>
      <c r="AX436" t="str">
        <f t="shared" si="169"/>
        <v/>
      </c>
      <c r="AY436" t="str">
        <f t="shared" si="170"/>
        <v/>
      </c>
      <c r="AZ436" s="40"/>
      <c r="BL436" s="47" t="str">
        <f t="shared" si="171"/>
        <v/>
      </c>
      <c r="BM436" s="47" t="str">
        <f t="shared" si="172"/>
        <v/>
      </c>
      <c r="BN436" s="47" t="str">
        <f t="shared" si="173"/>
        <v/>
      </c>
      <c r="BO436" s="47" t="str">
        <f t="shared" si="174"/>
        <v/>
      </c>
      <c r="BP436" s="47" t="str">
        <f t="shared" si="175"/>
        <v/>
      </c>
      <c r="BQ436" s="48" t="str">
        <f t="shared" si="176"/>
        <v/>
      </c>
      <c r="BR436" s="48" t="str">
        <f t="shared" si="177"/>
        <v/>
      </c>
      <c r="BS436" s="48" t="str">
        <f t="shared" si="178"/>
        <v/>
      </c>
      <c r="BT436" s="47" t="str">
        <f t="shared" si="179"/>
        <v/>
      </c>
      <c r="CA436" s="47" t="str">
        <f t="shared" si="180"/>
        <v/>
      </c>
      <c r="CB436" s="47" t="str">
        <f t="shared" si="181"/>
        <v/>
      </c>
      <c r="CC436" s="47" t="str">
        <f t="shared" si="182"/>
        <v/>
      </c>
      <c r="CD436" s="47" t="str">
        <f t="shared" si="183"/>
        <v/>
      </c>
      <c r="CE436" s="47" t="str">
        <f>IF(AH436="","",IF(OR(AI436&lt;&gt;'Seasonal Tercile Tally'!$B$3,AM436&lt;&gt;'Seasonal Tercile Tally'!$B$4),"Other site/ season",IF(DT436=0,"Excluded: duplicate (later row)",IF(N436&lt;&gt;1,"Excluded: not sighted",IF(AC436&lt;&gt;1,"Excluded: not confirmed",IF(AD436&lt;&gt;1,"Excluded: not approved",IF(AP436="Contested","Excluded: contested",IF(OR(U436="",U436=0),"Excluded: no tercile",IF(CB436="","Counted (simple tally only — no weight)","Counted")))))))))</f>
        <v/>
      </c>
      <c r="CF436" s="49" t="str">
        <f>IF(AH436="","",IFERROR(INDEX('Prior Multipliers'!$C$6:$C$70,MATCH(LEFT(AH436,10),'Prior Multipliers'!$A$6:$A$70,0)),IFERROR(INDEX('Prior Multipliers'!$C$6:$C$70,MATCH(LEFT(AH436,6),'Prior Multipliers'!$A$6:$A$70,0)),IFERROR(INDEX('Prior Multipliers'!$C$6:$C$70,MATCH(LEFT(AH436,2),'Prior Multipliers'!$A$6:$A$70,0)),1))))</f>
        <v/>
      </c>
      <c r="CG436" s="49" t="str">
        <f>IF(CB436="","",IF(AND('Seasonal Tercile Tally'!$B$5=1,BT436="Rating-based"),CB436*CF436,CB436))</f>
        <v/>
      </c>
      <c r="CH436" s="47">
        <f t="shared" si="184"/>
        <v>0</v>
      </c>
      <c r="CI436" s="45"/>
      <c r="CJ436" s="42" t="str">
        <f t="shared" si="185"/>
        <v/>
      </c>
      <c r="CM436" s="42" t="str">
        <f t="shared" si="186"/>
        <v/>
      </c>
      <c r="CP436" s="46" t="str">
        <f t="shared" si="187"/>
        <v/>
      </c>
      <c r="CS436" s="46" t="str">
        <f t="shared" si="188"/>
        <v/>
      </c>
      <c r="CT436" s="42" t="str">
        <f t="shared" si="189"/>
        <v/>
      </c>
      <c r="CU436" s="42" t="str">
        <f t="shared" si="190"/>
        <v/>
      </c>
      <c r="CV436" s="42" t="str">
        <f t="shared" si="191"/>
        <v/>
      </c>
      <c r="DB436" s="45"/>
      <c r="DH436" s="42" t="str">
        <f t="shared" si="192"/>
        <v/>
      </c>
      <c r="DI436" s="43" t="str">
        <f t="shared" si="193"/>
        <v/>
      </c>
      <c r="DK436" s="46" t="str">
        <f t="shared" si="194"/>
        <v/>
      </c>
      <c r="DQ436" s="42" t="str">
        <f>IF(AH436="","",IFERROR(ROUND(100*('Weighting Options'!$D$7*IF(ISNUMBER(CA436),CA436/3,0)+'Weighting Options'!$D$8*MIN(N(BL436),3)/3+'Weighting Options'!$D$9*IF(AP436="Community/Plenary-endorsed",1,IF(AP436="FGD-validated only",0.75,IF(AP436="Sub-community-specific",0.5,IF(AP436="Provisional/emerging",0.25,0))))+'Weighting Options'!$D$10*IF(ISNUMBER(K436),K436/3,0)+'Weighting Options'!$D$11*IF(CC436="",0.5,IF(CC436="OK",1,0.25))+'Weighting Options'!$D$12*IF(DK436="",0.5,IF(DK436="Agrees",1,IF(DK436="Opposite",0,0.5)))+'Weighting Options'!$D$13*MIN(N(BG436),3)/3+'Weighting Options'!$D$14*IF(AE436=1,1,0))/SUM('Weighting Options'!$D$7:$D$14),0),""))</f>
        <v/>
      </c>
      <c r="DR436" s="44" t="str">
        <f>IF(AH436="","",IFERROR(INDEX('Weighting Options'!$D$20:$D$27,VALUE(LEFT(TRIM(BU436),1))),1))</f>
        <v/>
      </c>
      <c r="DS436" s="44" t="str">
        <f t="shared" si="195"/>
        <v/>
      </c>
      <c r="DT436" s="42" t="str">
        <f>IF(AH436="","",IF(COUNTIFS($AH$12:AH436,AH436,$AI$12:AI436,AI436,$AM$12:AM436,AM436)=1,1,0))</f>
        <v/>
      </c>
    </row>
    <row r="437" spans="16:124" ht="12.75" customHeight="1" x14ac:dyDescent="0.35">
      <c r="P437" s="41"/>
      <c r="Q437" s="41"/>
      <c r="R437" s="41"/>
      <c r="S437" s="41"/>
      <c r="AH437" s="40"/>
      <c r="AP437" s="40"/>
      <c r="AS437" s="41"/>
      <c r="AT437" s="41"/>
      <c r="AW437" t="str">
        <f t="shared" si="168"/>
        <v/>
      </c>
      <c r="AX437" t="str">
        <f t="shared" si="169"/>
        <v/>
      </c>
      <c r="AY437" t="str">
        <f t="shared" si="170"/>
        <v/>
      </c>
      <c r="AZ437" s="40"/>
      <c r="BL437" s="47" t="str">
        <f t="shared" si="171"/>
        <v/>
      </c>
      <c r="BM437" s="47" t="str">
        <f t="shared" si="172"/>
        <v/>
      </c>
      <c r="BN437" s="47" t="str">
        <f t="shared" si="173"/>
        <v/>
      </c>
      <c r="BO437" s="47" t="str">
        <f t="shared" si="174"/>
        <v/>
      </c>
      <c r="BP437" s="47" t="str">
        <f t="shared" si="175"/>
        <v/>
      </c>
      <c r="BQ437" s="48" t="str">
        <f t="shared" si="176"/>
        <v/>
      </c>
      <c r="BR437" s="48" t="str">
        <f t="shared" si="177"/>
        <v/>
      </c>
      <c r="BS437" s="48" t="str">
        <f t="shared" si="178"/>
        <v/>
      </c>
      <c r="BT437" s="47" t="str">
        <f t="shared" si="179"/>
        <v/>
      </c>
      <c r="CA437" s="47" t="str">
        <f t="shared" si="180"/>
        <v/>
      </c>
      <c r="CB437" s="47" t="str">
        <f t="shared" si="181"/>
        <v/>
      </c>
      <c r="CC437" s="47" t="str">
        <f t="shared" si="182"/>
        <v/>
      </c>
      <c r="CD437" s="47" t="str">
        <f t="shared" si="183"/>
        <v/>
      </c>
      <c r="CE437" s="47" t="str">
        <f>IF(AH437="","",IF(OR(AI437&lt;&gt;'Seasonal Tercile Tally'!$B$3,AM437&lt;&gt;'Seasonal Tercile Tally'!$B$4),"Other site/ season",IF(DT437=0,"Excluded: duplicate (later row)",IF(N437&lt;&gt;1,"Excluded: not sighted",IF(AC437&lt;&gt;1,"Excluded: not confirmed",IF(AD437&lt;&gt;1,"Excluded: not approved",IF(AP437="Contested","Excluded: contested",IF(OR(U437="",U437=0),"Excluded: no tercile",IF(CB437="","Counted (simple tally only — no weight)","Counted")))))))))</f>
        <v/>
      </c>
      <c r="CF437" s="49" t="str">
        <f>IF(AH437="","",IFERROR(INDEX('Prior Multipliers'!$C$6:$C$70,MATCH(LEFT(AH437,10),'Prior Multipliers'!$A$6:$A$70,0)),IFERROR(INDEX('Prior Multipliers'!$C$6:$C$70,MATCH(LEFT(AH437,6),'Prior Multipliers'!$A$6:$A$70,0)),IFERROR(INDEX('Prior Multipliers'!$C$6:$C$70,MATCH(LEFT(AH437,2),'Prior Multipliers'!$A$6:$A$70,0)),1))))</f>
        <v/>
      </c>
      <c r="CG437" s="49" t="str">
        <f>IF(CB437="","",IF(AND('Seasonal Tercile Tally'!$B$5=1,BT437="Rating-based"),CB437*CF437,CB437))</f>
        <v/>
      </c>
      <c r="CH437" s="47">
        <f t="shared" si="184"/>
        <v>0</v>
      </c>
      <c r="CI437" s="45"/>
      <c r="CJ437" s="42" t="str">
        <f t="shared" si="185"/>
        <v/>
      </c>
      <c r="CM437" s="42" t="str">
        <f t="shared" si="186"/>
        <v/>
      </c>
      <c r="CP437" s="46" t="str">
        <f t="shared" si="187"/>
        <v/>
      </c>
      <c r="CS437" s="46" t="str">
        <f t="shared" si="188"/>
        <v/>
      </c>
      <c r="CT437" s="42" t="str">
        <f t="shared" si="189"/>
        <v/>
      </c>
      <c r="CU437" s="42" t="str">
        <f t="shared" si="190"/>
        <v/>
      </c>
      <c r="CV437" s="42" t="str">
        <f t="shared" si="191"/>
        <v/>
      </c>
      <c r="DB437" s="45"/>
      <c r="DH437" s="42" t="str">
        <f t="shared" si="192"/>
        <v/>
      </c>
      <c r="DI437" s="43" t="str">
        <f t="shared" si="193"/>
        <v/>
      </c>
      <c r="DK437" s="46" t="str">
        <f t="shared" si="194"/>
        <v/>
      </c>
      <c r="DQ437" s="42" t="str">
        <f>IF(AH437="","",IFERROR(ROUND(100*('Weighting Options'!$D$7*IF(ISNUMBER(CA437),CA437/3,0)+'Weighting Options'!$D$8*MIN(N(BL437),3)/3+'Weighting Options'!$D$9*IF(AP437="Community/Plenary-endorsed",1,IF(AP437="FGD-validated only",0.75,IF(AP437="Sub-community-specific",0.5,IF(AP437="Provisional/emerging",0.25,0))))+'Weighting Options'!$D$10*IF(ISNUMBER(K437),K437/3,0)+'Weighting Options'!$D$11*IF(CC437="",0.5,IF(CC437="OK",1,0.25))+'Weighting Options'!$D$12*IF(DK437="",0.5,IF(DK437="Agrees",1,IF(DK437="Opposite",0,0.5)))+'Weighting Options'!$D$13*MIN(N(BG437),3)/3+'Weighting Options'!$D$14*IF(AE437=1,1,0))/SUM('Weighting Options'!$D$7:$D$14),0),""))</f>
        <v/>
      </c>
      <c r="DR437" s="44" t="str">
        <f>IF(AH437="","",IFERROR(INDEX('Weighting Options'!$D$20:$D$27,VALUE(LEFT(TRIM(BU437),1))),1))</f>
        <v/>
      </c>
      <c r="DS437" s="44" t="str">
        <f t="shared" si="195"/>
        <v/>
      </c>
      <c r="DT437" s="42" t="str">
        <f>IF(AH437="","",IF(COUNTIFS($AH$12:AH437,AH437,$AI$12:AI437,AI437,$AM$12:AM437,AM437)=1,1,0))</f>
        <v/>
      </c>
    </row>
    <row r="438" spans="16:124" ht="12.75" customHeight="1" x14ac:dyDescent="0.35">
      <c r="P438" s="41"/>
      <c r="Q438" s="41"/>
      <c r="R438" s="41"/>
      <c r="S438" s="41"/>
      <c r="AH438" s="40"/>
      <c r="AP438" s="40"/>
      <c r="AS438" s="41"/>
      <c r="AT438" s="41"/>
      <c r="AW438" t="str">
        <f t="shared" si="168"/>
        <v/>
      </c>
      <c r="AX438" t="str">
        <f t="shared" si="169"/>
        <v/>
      </c>
      <c r="AY438" t="str">
        <f t="shared" si="170"/>
        <v/>
      </c>
      <c r="AZ438" s="40"/>
      <c r="BL438" s="47" t="str">
        <f t="shared" si="171"/>
        <v/>
      </c>
      <c r="BM438" s="47" t="str">
        <f t="shared" si="172"/>
        <v/>
      </c>
      <c r="BN438" s="47" t="str">
        <f t="shared" si="173"/>
        <v/>
      </c>
      <c r="BO438" s="47" t="str">
        <f t="shared" si="174"/>
        <v/>
      </c>
      <c r="BP438" s="47" t="str">
        <f t="shared" si="175"/>
        <v/>
      </c>
      <c r="BQ438" s="48" t="str">
        <f t="shared" si="176"/>
        <v/>
      </c>
      <c r="BR438" s="48" t="str">
        <f t="shared" si="177"/>
        <v/>
      </c>
      <c r="BS438" s="48" t="str">
        <f t="shared" si="178"/>
        <v/>
      </c>
      <c r="BT438" s="47" t="str">
        <f t="shared" si="179"/>
        <v/>
      </c>
      <c r="CA438" s="47" t="str">
        <f t="shared" si="180"/>
        <v/>
      </c>
      <c r="CB438" s="47" t="str">
        <f t="shared" si="181"/>
        <v/>
      </c>
      <c r="CC438" s="47" t="str">
        <f t="shared" si="182"/>
        <v/>
      </c>
      <c r="CD438" s="47" t="str">
        <f t="shared" si="183"/>
        <v/>
      </c>
      <c r="CE438" s="47" t="str">
        <f>IF(AH438="","",IF(OR(AI438&lt;&gt;'Seasonal Tercile Tally'!$B$3,AM438&lt;&gt;'Seasonal Tercile Tally'!$B$4),"Other site/ season",IF(DT438=0,"Excluded: duplicate (later row)",IF(N438&lt;&gt;1,"Excluded: not sighted",IF(AC438&lt;&gt;1,"Excluded: not confirmed",IF(AD438&lt;&gt;1,"Excluded: not approved",IF(AP438="Contested","Excluded: contested",IF(OR(U438="",U438=0),"Excluded: no tercile",IF(CB438="","Counted (simple tally only — no weight)","Counted")))))))))</f>
        <v/>
      </c>
      <c r="CF438" s="49" t="str">
        <f>IF(AH438="","",IFERROR(INDEX('Prior Multipliers'!$C$6:$C$70,MATCH(LEFT(AH438,10),'Prior Multipliers'!$A$6:$A$70,0)),IFERROR(INDEX('Prior Multipliers'!$C$6:$C$70,MATCH(LEFT(AH438,6),'Prior Multipliers'!$A$6:$A$70,0)),IFERROR(INDEX('Prior Multipliers'!$C$6:$C$70,MATCH(LEFT(AH438,2),'Prior Multipliers'!$A$6:$A$70,0)),1))))</f>
        <v/>
      </c>
      <c r="CG438" s="49" t="str">
        <f>IF(CB438="","",IF(AND('Seasonal Tercile Tally'!$B$5=1,BT438="Rating-based"),CB438*CF438,CB438))</f>
        <v/>
      </c>
      <c r="CH438" s="47">
        <f t="shared" si="184"/>
        <v>0</v>
      </c>
      <c r="CI438" s="45"/>
      <c r="CJ438" s="42" t="str">
        <f t="shared" si="185"/>
        <v/>
      </c>
      <c r="CM438" s="42" t="str">
        <f t="shared" si="186"/>
        <v/>
      </c>
      <c r="CP438" s="46" t="str">
        <f t="shared" si="187"/>
        <v/>
      </c>
      <c r="CS438" s="46" t="str">
        <f t="shared" si="188"/>
        <v/>
      </c>
      <c r="CT438" s="42" t="str">
        <f t="shared" si="189"/>
        <v/>
      </c>
      <c r="CU438" s="42" t="str">
        <f t="shared" si="190"/>
        <v/>
      </c>
      <c r="CV438" s="42" t="str">
        <f t="shared" si="191"/>
        <v/>
      </c>
      <c r="DB438" s="45"/>
      <c r="DH438" s="42" t="str">
        <f t="shared" si="192"/>
        <v/>
      </c>
      <c r="DI438" s="43" t="str">
        <f t="shared" si="193"/>
        <v/>
      </c>
      <c r="DK438" s="46" t="str">
        <f t="shared" si="194"/>
        <v/>
      </c>
      <c r="DQ438" s="42" t="str">
        <f>IF(AH438="","",IFERROR(ROUND(100*('Weighting Options'!$D$7*IF(ISNUMBER(CA438),CA438/3,0)+'Weighting Options'!$D$8*MIN(N(BL438),3)/3+'Weighting Options'!$D$9*IF(AP438="Community/Plenary-endorsed",1,IF(AP438="FGD-validated only",0.75,IF(AP438="Sub-community-specific",0.5,IF(AP438="Provisional/emerging",0.25,0))))+'Weighting Options'!$D$10*IF(ISNUMBER(K438),K438/3,0)+'Weighting Options'!$D$11*IF(CC438="",0.5,IF(CC438="OK",1,0.25))+'Weighting Options'!$D$12*IF(DK438="",0.5,IF(DK438="Agrees",1,IF(DK438="Opposite",0,0.5)))+'Weighting Options'!$D$13*MIN(N(BG438),3)/3+'Weighting Options'!$D$14*IF(AE438=1,1,0))/SUM('Weighting Options'!$D$7:$D$14),0),""))</f>
        <v/>
      </c>
      <c r="DR438" s="44" t="str">
        <f>IF(AH438="","",IFERROR(INDEX('Weighting Options'!$D$20:$D$27,VALUE(LEFT(TRIM(BU438),1))),1))</f>
        <v/>
      </c>
      <c r="DS438" s="44" t="str">
        <f t="shared" si="195"/>
        <v/>
      </c>
      <c r="DT438" s="42" t="str">
        <f>IF(AH438="","",IF(COUNTIFS($AH$12:AH438,AH438,$AI$12:AI438,AI438,$AM$12:AM438,AM438)=1,1,0))</f>
        <v/>
      </c>
    </row>
    <row r="439" spans="16:124" ht="12.75" customHeight="1" x14ac:dyDescent="0.35">
      <c r="P439" s="41"/>
      <c r="Q439" s="41"/>
      <c r="R439" s="41"/>
      <c r="S439" s="41"/>
      <c r="AH439" s="40"/>
      <c r="AP439" s="40"/>
      <c r="AS439" s="41"/>
      <c r="AT439" s="41"/>
      <c r="AW439" t="str">
        <f t="shared" si="168"/>
        <v/>
      </c>
      <c r="AX439" t="str">
        <f t="shared" si="169"/>
        <v/>
      </c>
      <c r="AY439" t="str">
        <f t="shared" si="170"/>
        <v/>
      </c>
      <c r="AZ439" s="40"/>
      <c r="BL439" s="47" t="str">
        <f t="shared" si="171"/>
        <v/>
      </c>
      <c r="BM439" s="47" t="str">
        <f t="shared" si="172"/>
        <v/>
      </c>
      <c r="BN439" s="47" t="str">
        <f t="shared" si="173"/>
        <v/>
      </c>
      <c r="BO439" s="47" t="str">
        <f t="shared" si="174"/>
        <v/>
      </c>
      <c r="BP439" s="47" t="str">
        <f t="shared" si="175"/>
        <v/>
      </c>
      <c r="BQ439" s="48" t="str">
        <f t="shared" si="176"/>
        <v/>
      </c>
      <c r="BR439" s="48" t="str">
        <f t="shared" si="177"/>
        <v/>
      </c>
      <c r="BS439" s="48" t="str">
        <f t="shared" si="178"/>
        <v/>
      </c>
      <c r="BT439" s="47" t="str">
        <f t="shared" si="179"/>
        <v/>
      </c>
      <c r="CA439" s="47" t="str">
        <f t="shared" si="180"/>
        <v/>
      </c>
      <c r="CB439" s="47" t="str">
        <f t="shared" si="181"/>
        <v/>
      </c>
      <c r="CC439" s="47" t="str">
        <f t="shared" si="182"/>
        <v/>
      </c>
      <c r="CD439" s="47" t="str">
        <f t="shared" si="183"/>
        <v/>
      </c>
      <c r="CE439" s="47" t="str">
        <f>IF(AH439="","",IF(OR(AI439&lt;&gt;'Seasonal Tercile Tally'!$B$3,AM439&lt;&gt;'Seasonal Tercile Tally'!$B$4),"Other site/ season",IF(DT439=0,"Excluded: duplicate (later row)",IF(N439&lt;&gt;1,"Excluded: not sighted",IF(AC439&lt;&gt;1,"Excluded: not confirmed",IF(AD439&lt;&gt;1,"Excluded: not approved",IF(AP439="Contested","Excluded: contested",IF(OR(U439="",U439=0),"Excluded: no tercile",IF(CB439="","Counted (simple tally only — no weight)","Counted")))))))))</f>
        <v/>
      </c>
      <c r="CF439" s="49" t="str">
        <f>IF(AH439="","",IFERROR(INDEX('Prior Multipliers'!$C$6:$C$70,MATCH(LEFT(AH439,10),'Prior Multipliers'!$A$6:$A$70,0)),IFERROR(INDEX('Prior Multipliers'!$C$6:$C$70,MATCH(LEFT(AH439,6),'Prior Multipliers'!$A$6:$A$70,0)),IFERROR(INDEX('Prior Multipliers'!$C$6:$C$70,MATCH(LEFT(AH439,2),'Prior Multipliers'!$A$6:$A$70,0)),1))))</f>
        <v/>
      </c>
      <c r="CG439" s="49" t="str">
        <f>IF(CB439="","",IF(AND('Seasonal Tercile Tally'!$B$5=1,BT439="Rating-based"),CB439*CF439,CB439))</f>
        <v/>
      </c>
      <c r="CH439" s="47">
        <f t="shared" si="184"/>
        <v>0</v>
      </c>
      <c r="CI439" s="45"/>
      <c r="CJ439" s="42" t="str">
        <f t="shared" si="185"/>
        <v/>
      </c>
      <c r="CM439" s="42" t="str">
        <f t="shared" si="186"/>
        <v/>
      </c>
      <c r="CP439" s="46" t="str">
        <f t="shared" si="187"/>
        <v/>
      </c>
      <c r="CS439" s="46" t="str">
        <f t="shared" si="188"/>
        <v/>
      </c>
      <c r="CT439" s="42" t="str">
        <f t="shared" si="189"/>
        <v/>
      </c>
      <c r="CU439" s="42" t="str">
        <f t="shared" si="190"/>
        <v/>
      </c>
      <c r="CV439" s="42" t="str">
        <f t="shared" si="191"/>
        <v/>
      </c>
      <c r="DB439" s="45"/>
      <c r="DH439" s="42" t="str">
        <f t="shared" si="192"/>
        <v/>
      </c>
      <c r="DI439" s="43" t="str">
        <f t="shared" si="193"/>
        <v/>
      </c>
      <c r="DK439" s="46" t="str">
        <f t="shared" si="194"/>
        <v/>
      </c>
      <c r="DQ439" s="42" t="str">
        <f>IF(AH439="","",IFERROR(ROUND(100*('Weighting Options'!$D$7*IF(ISNUMBER(CA439),CA439/3,0)+'Weighting Options'!$D$8*MIN(N(BL439),3)/3+'Weighting Options'!$D$9*IF(AP439="Community/Plenary-endorsed",1,IF(AP439="FGD-validated only",0.75,IF(AP439="Sub-community-specific",0.5,IF(AP439="Provisional/emerging",0.25,0))))+'Weighting Options'!$D$10*IF(ISNUMBER(K439),K439/3,0)+'Weighting Options'!$D$11*IF(CC439="",0.5,IF(CC439="OK",1,0.25))+'Weighting Options'!$D$12*IF(DK439="",0.5,IF(DK439="Agrees",1,IF(DK439="Opposite",0,0.5)))+'Weighting Options'!$D$13*MIN(N(BG439),3)/3+'Weighting Options'!$D$14*IF(AE439=1,1,0))/SUM('Weighting Options'!$D$7:$D$14),0),""))</f>
        <v/>
      </c>
      <c r="DR439" s="44" t="str">
        <f>IF(AH439="","",IFERROR(INDEX('Weighting Options'!$D$20:$D$27,VALUE(LEFT(TRIM(BU439),1))),1))</f>
        <v/>
      </c>
      <c r="DS439" s="44" t="str">
        <f t="shared" si="195"/>
        <v/>
      </c>
      <c r="DT439" s="42" t="str">
        <f>IF(AH439="","",IF(COUNTIFS($AH$12:AH439,AH439,$AI$12:AI439,AI439,$AM$12:AM439,AM439)=1,1,0))</f>
        <v/>
      </c>
    </row>
    <row r="440" spans="16:124" ht="12.75" customHeight="1" x14ac:dyDescent="0.35">
      <c r="P440" s="41"/>
      <c r="Q440" s="41"/>
      <c r="R440" s="41"/>
      <c r="S440" s="41"/>
      <c r="AH440" s="40"/>
      <c r="AP440" s="40"/>
      <c r="AS440" s="41"/>
      <c r="AT440" s="41"/>
      <c r="AW440" t="str">
        <f t="shared" si="168"/>
        <v/>
      </c>
      <c r="AX440" t="str">
        <f t="shared" si="169"/>
        <v/>
      </c>
      <c r="AY440" t="str">
        <f t="shared" si="170"/>
        <v/>
      </c>
      <c r="AZ440" s="40"/>
      <c r="BL440" s="47" t="str">
        <f t="shared" si="171"/>
        <v/>
      </c>
      <c r="BM440" s="47" t="str">
        <f t="shared" si="172"/>
        <v/>
      </c>
      <c r="BN440" s="47" t="str">
        <f t="shared" si="173"/>
        <v/>
      </c>
      <c r="BO440" s="47" t="str">
        <f t="shared" si="174"/>
        <v/>
      </c>
      <c r="BP440" s="47" t="str">
        <f t="shared" si="175"/>
        <v/>
      </c>
      <c r="BQ440" s="48" t="str">
        <f t="shared" si="176"/>
        <v/>
      </c>
      <c r="BR440" s="48" t="str">
        <f t="shared" si="177"/>
        <v/>
      </c>
      <c r="BS440" s="48" t="str">
        <f t="shared" si="178"/>
        <v/>
      </c>
      <c r="BT440" s="47" t="str">
        <f t="shared" si="179"/>
        <v/>
      </c>
      <c r="CA440" s="47" t="str">
        <f t="shared" si="180"/>
        <v/>
      </c>
      <c r="CB440" s="47" t="str">
        <f t="shared" si="181"/>
        <v/>
      </c>
      <c r="CC440" s="47" t="str">
        <f t="shared" si="182"/>
        <v/>
      </c>
      <c r="CD440" s="47" t="str">
        <f t="shared" si="183"/>
        <v/>
      </c>
      <c r="CE440" s="47" t="str">
        <f>IF(AH440="","",IF(OR(AI440&lt;&gt;'Seasonal Tercile Tally'!$B$3,AM440&lt;&gt;'Seasonal Tercile Tally'!$B$4),"Other site/ season",IF(DT440=0,"Excluded: duplicate (later row)",IF(N440&lt;&gt;1,"Excluded: not sighted",IF(AC440&lt;&gt;1,"Excluded: not confirmed",IF(AD440&lt;&gt;1,"Excluded: not approved",IF(AP440="Contested","Excluded: contested",IF(OR(U440="",U440=0),"Excluded: no tercile",IF(CB440="","Counted (simple tally only — no weight)","Counted")))))))))</f>
        <v/>
      </c>
      <c r="CF440" s="49" t="str">
        <f>IF(AH440="","",IFERROR(INDEX('Prior Multipliers'!$C$6:$C$70,MATCH(LEFT(AH440,10),'Prior Multipliers'!$A$6:$A$70,0)),IFERROR(INDEX('Prior Multipliers'!$C$6:$C$70,MATCH(LEFT(AH440,6),'Prior Multipliers'!$A$6:$A$70,0)),IFERROR(INDEX('Prior Multipliers'!$C$6:$C$70,MATCH(LEFT(AH440,2),'Prior Multipliers'!$A$6:$A$70,0)),1))))</f>
        <v/>
      </c>
      <c r="CG440" s="49" t="str">
        <f>IF(CB440="","",IF(AND('Seasonal Tercile Tally'!$B$5=1,BT440="Rating-based"),CB440*CF440,CB440))</f>
        <v/>
      </c>
      <c r="CH440" s="47">
        <f t="shared" si="184"/>
        <v>0</v>
      </c>
      <c r="CI440" s="45"/>
      <c r="CJ440" s="42" t="str">
        <f t="shared" si="185"/>
        <v/>
      </c>
      <c r="CM440" s="42" t="str">
        <f t="shared" si="186"/>
        <v/>
      </c>
      <c r="CP440" s="46" t="str">
        <f t="shared" si="187"/>
        <v/>
      </c>
      <c r="CS440" s="46" t="str">
        <f t="shared" si="188"/>
        <v/>
      </c>
      <c r="CT440" s="42" t="str">
        <f t="shared" si="189"/>
        <v/>
      </c>
      <c r="CU440" s="42" t="str">
        <f t="shared" si="190"/>
        <v/>
      </c>
      <c r="CV440" s="42" t="str">
        <f t="shared" si="191"/>
        <v/>
      </c>
      <c r="DB440" s="45"/>
      <c r="DH440" s="42" t="str">
        <f t="shared" si="192"/>
        <v/>
      </c>
      <c r="DI440" s="43" t="str">
        <f t="shared" si="193"/>
        <v/>
      </c>
      <c r="DK440" s="46" t="str">
        <f t="shared" si="194"/>
        <v/>
      </c>
      <c r="DQ440" s="42" t="str">
        <f>IF(AH440="","",IFERROR(ROUND(100*('Weighting Options'!$D$7*IF(ISNUMBER(CA440),CA440/3,0)+'Weighting Options'!$D$8*MIN(N(BL440),3)/3+'Weighting Options'!$D$9*IF(AP440="Community/Plenary-endorsed",1,IF(AP440="FGD-validated only",0.75,IF(AP440="Sub-community-specific",0.5,IF(AP440="Provisional/emerging",0.25,0))))+'Weighting Options'!$D$10*IF(ISNUMBER(K440),K440/3,0)+'Weighting Options'!$D$11*IF(CC440="",0.5,IF(CC440="OK",1,0.25))+'Weighting Options'!$D$12*IF(DK440="",0.5,IF(DK440="Agrees",1,IF(DK440="Opposite",0,0.5)))+'Weighting Options'!$D$13*MIN(N(BG440),3)/3+'Weighting Options'!$D$14*IF(AE440=1,1,0))/SUM('Weighting Options'!$D$7:$D$14),0),""))</f>
        <v/>
      </c>
      <c r="DR440" s="44" t="str">
        <f>IF(AH440="","",IFERROR(INDEX('Weighting Options'!$D$20:$D$27,VALUE(LEFT(TRIM(BU440),1))),1))</f>
        <v/>
      </c>
      <c r="DS440" s="44" t="str">
        <f t="shared" si="195"/>
        <v/>
      </c>
      <c r="DT440" s="42" t="str">
        <f>IF(AH440="","",IF(COUNTIFS($AH$12:AH440,AH440,$AI$12:AI440,AI440,$AM$12:AM440,AM440)=1,1,0))</f>
        <v/>
      </c>
    </row>
    <row r="441" spans="16:124" ht="12.75" customHeight="1" x14ac:dyDescent="0.35">
      <c r="P441" s="41"/>
      <c r="Q441" s="41"/>
      <c r="R441" s="41"/>
      <c r="S441" s="41"/>
      <c r="AH441" s="40"/>
      <c r="AP441" s="40"/>
      <c r="AS441" s="41"/>
      <c r="AT441" s="41"/>
      <c r="AW441" t="str">
        <f t="shared" si="168"/>
        <v/>
      </c>
      <c r="AX441" t="str">
        <f t="shared" si="169"/>
        <v/>
      </c>
      <c r="AY441" t="str">
        <f t="shared" si="170"/>
        <v/>
      </c>
      <c r="AZ441" s="40"/>
      <c r="BL441" s="47" t="str">
        <f t="shared" si="171"/>
        <v/>
      </c>
      <c r="BM441" s="47" t="str">
        <f t="shared" si="172"/>
        <v/>
      </c>
      <c r="BN441" s="47" t="str">
        <f t="shared" si="173"/>
        <v/>
      </c>
      <c r="BO441" s="47" t="str">
        <f t="shared" si="174"/>
        <v/>
      </c>
      <c r="BP441" s="47" t="str">
        <f t="shared" si="175"/>
        <v/>
      </c>
      <c r="BQ441" s="48" t="str">
        <f t="shared" si="176"/>
        <v/>
      </c>
      <c r="BR441" s="48" t="str">
        <f t="shared" si="177"/>
        <v/>
      </c>
      <c r="BS441" s="48" t="str">
        <f t="shared" si="178"/>
        <v/>
      </c>
      <c r="BT441" s="47" t="str">
        <f t="shared" si="179"/>
        <v/>
      </c>
      <c r="CA441" s="47" t="str">
        <f t="shared" si="180"/>
        <v/>
      </c>
      <c r="CB441" s="47" t="str">
        <f t="shared" si="181"/>
        <v/>
      </c>
      <c r="CC441" s="47" t="str">
        <f t="shared" si="182"/>
        <v/>
      </c>
      <c r="CD441" s="47" t="str">
        <f t="shared" si="183"/>
        <v/>
      </c>
      <c r="CE441" s="47" t="str">
        <f>IF(AH441="","",IF(OR(AI441&lt;&gt;'Seasonal Tercile Tally'!$B$3,AM441&lt;&gt;'Seasonal Tercile Tally'!$B$4),"Other site/ season",IF(DT441=0,"Excluded: duplicate (later row)",IF(N441&lt;&gt;1,"Excluded: not sighted",IF(AC441&lt;&gt;1,"Excluded: not confirmed",IF(AD441&lt;&gt;1,"Excluded: not approved",IF(AP441="Contested","Excluded: contested",IF(OR(U441="",U441=0),"Excluded: no tercile",IF(CB441="","Counted (simple tally only — no weight)","Counted")))))))))</f>
        <v/>
      </c>
      <c r="CF441" s="49" t="str">
        <f>IF(AH441="","",IFERROR(INDEX('Prior Multipliers'!$C$6:$C$70,MATCH(LEFT(AH441,10),'Prior Multipliers'!$A$6:$A$70,0)),IFERROR(INDEX('Prior Multipliers'!$C$6:$C$70,MATCH(LEFT(AH441,6),'Prior Multipliers'!$A$6:$A$70,0)),IFERROR(INDEX('Prior Multipliers'!$C$6:$C$70,MATCH(LEFT(AH441,2),'Prior Multipliers'!$A$6:$A$70,0)),1))))</f>
        <v/>
      </c>
      <c r="CG441" s="49" t="str">
        <f>IF(CB441="","",IF(AND('Seasonal Tercile Tally'!$B$5=1,BT441="Rating-based"),CB441*CF441,CB441))</f>
        <v/>
      </c>
      <c r="CH441" s="47">
        <f t="shared" si="184"/>
        <v>0</v>
      </c>
      <c r="CI441" s="45"/>
      <c r="CJ441" s="42" t="str">
        <f t="shared" si="185"/>
        <v/>
      </c>
      <c r="CM441" s="42" t="str">
        <f t="shared" si="186"/>
        <v/>
      </c>
      <c r="CP441" s="46" t="str">
        <f t="shared" si="187"/>
        <v/>
      </c>
      <c r="CS441" s="46" t="str">
        <f t="shared" si="188"/>
        <v/>
      </c>
      <c r="CT441" s="42" t="str">
        <f t="shared" si="189"/>
        <v/>
      </c>
      <c r="CU441" s="42" t="str">
        <f t="shared" si="190"/>
        <v/>
      </c>
      <c r="CV441" s="42" t="str">
        <f t="shared" si="191"/>
        <v/>
      </c>
      <c r="DB441" s="45"/>
      <c r="DH441" s="42" t="str">
        <f t="shared" si="192"/>
        <v/>
      </c>
      <c r="DI441" s="43" t="str">
        <f t="shared" si="193"/>
        <v/>
      </c>
      <c r="DK441" s="46" t="str">
        <f t="shared" si="194"/>
        <v/>
      </c>
      <c r="DQ441" s="42" t="str">
        <f>IF(AH441="","",IFERROR(ROUND(100*('Weighting Options'!$D$7*IF(ISNUMBER(CA441),CA441/3,0)+'Weighting Options'!$D$8*MIN(N(BL441),3)/3+'Weighting Options'!$D$9*IF(AP441="Community/Plenary-endorsed",1,IF(AP441="FGD-validated only",0.75,IF(AP441="Sub-community-specific",0.5,IF(AP441="Provisional/emerging",0.25,0))))+'Weighting Options'!$D$10*IF(ISNUMBER(K441),K441/3,0)+'Weighting Options'!$D$11*IF(CC441="",0.5,IF(CC441="OK",1,0.25))+'Weighting Options'!$D$12*IF(DK441="",0.5,IF(DK441="Agrees",1,IF(DK441="Opposite",0,0.5)))+'Weighting Options'!$D$13*MIN(N(BG441),3)/3+'Weighting Options'!$D$14*IF(AE441=1,1,0))/SUM('Weighting Options'!$D$7:$D$14),0),""))</f>
        <v/>
      </c>
      <c r="DR441" s="44" t="str">
        <f>IF(AH441="","",IFERROR(INDEX('Weighting Options'!$D$20:$D$27,VALUE(LEFT(TRIM(BU441),1))),1))</f>
        <v/>
      </c>
      <c r="DS441" s="44" t="str">
        <f t="shared" si="195"/>
        <v/>
      </c>
      <c r="DT441" s="42" t="str">
        <f>IF(AH441="","",IF(COUNTIFS($AH$12:AH441,AH441,$AI$12:AI441,AI441,$AM$12:AM441,AM441)=1,1,0))</f>
        <v/>
      </c>
    </row>
    <row r="442" spans="16:124" ht="12.75" customHeight="1" x14ac:dyDescent="0.35">
      <c r="P442" s="41"/>
      <c r="Q442" s="41"/>
      <c r="R442" s="41"/>
      <c r="S442" s="41"/>
      <c r="AH442" s="40"/>
      <c r="AP442" s="40"/>
      <c r="AS442" s="41"/>
      <c r="AT442" s="41"/>
      <c r="AW442" t="str">
        <f t="shared" si="168"/>
        <v/>
      </c>
      <c r="AX442" t="str">
        <f t="shared" si="169"/>
        <v/>
      </c>
      <c r="AY442" t="str">
        <f t="shared" si="170"/>
        <v/>
      </c>
      <c r="AZ442" s="40"/>
      <c r="BL442" s="47" t="str">
        <f t="shared" si="171"/>
        <v/>
      </c>
      <c r="BM442" s="47" t="str">
        <f t="shared" si="172"/>
        <v/>
      </c>
      <c r="BN442" s="47" t="str">
        <f t="shared" si="173"/>
        <v/>
      </c>
      <c r="BO442" s="47" t="str">
        <f t="shared" si="174"/>
        <v/>
      </c>
      <c r="BP442" s="47" t="str">
        <f t="shared" si="175"/>
        <v/>
      </c>
      <c r="BQ442" s="48" t="str">
        <f t="shared" si="176"/>
        <v/>
      </c>
      <c r="BR442" s="48" t="str">
        <f t="shared" si="177"/>
        <v/>
      </c>
      <c r="BS442" s="48" t="str">
        <f t="shared" si="178"/>
        <v/>
      </c>
      <c r="BT442" s="47" t="str">
        <f t="shared" si="179"/>
        <v/>
      </c>
      <c r="CA442" s="47" t="str">
        <f t="shared" si="180"/>
        <v/>
      </c>
      <c r="CB442" s="47" t="str">
        <f t="shared" si="181"/>
        <v/>
      </c>
      <c r="CC442" s="47" t="str">
        <f t="shared" si="182"/>
        <v/>
      </c>
      <c r="CD442" s="47" t="str">
        <f t="shared" si="183"/>
        <v/>
      </c>
      <c r="CE442" s="47" t="str">
        <f>IF(AH442="","",IF(OR(AI442&lt;&gt;'Seasonal Tercile Tally'!$B$3,AM442&lt;&gt;'Seasonal Tercile Tally'!$B$4),"Other site/ season",IF(DT442=0,"Excluded: duplicate (later row)",IF(N442&lt;&gt;1,"Excluded: not sighted",IF(AC442&lt;&gt;1,"Excluded: not confirmed",IF(AD442&lt;&gt;1,"Excluded: not approved",IF(AP442="Contested","Excluded: contested",IF(OR(U442="",U442=0),"Excluded: no tercile",IF(CB442="","Counted (simple tally only — no weight)","Counted")))))))))</f>
        <v/>
      </c>
      <c r="CF442" s="49" t="str">
        <f>IF(AH442="","",IFERROR(INDEX('Prior Multipliers'!$C$6:$C$70,MATCH(LEFT(AH442,10),'Prior Multipliers'!$A$6:$A$70,0)),IFERROR(INDEX('Prior Multipliers'!$C$6:$C$70,MATCH(LEFT(AH442,6),'Prior Multipliers'!$A$6:$A$70,0)),IFERROR(INDEX('Prior Multipliers'!$C$6:$C$70,MATCH(LEFT(AH442,2),'Prior Multipliers'!$A$6:$A$70,0)),1))))</f>
        <v/>
      </c>
      <c r="CG442" s="49" t="str">
        <f>IF(CB442="","",IF(AND('Seasonal Tercile Tally'!$B$5=1,BT442="Rating-based"),CB442*CF442,CB442))</f>
        <v/>
      </c>
      <c r="CH442" s="47">
        <f t="shared" si="184"/>
        <v>0</v>
      </c>
      <c r="CI442" s="45"/>
      <c r="CJ442" s="42" t="str">
        <f t="shared" si="185"/>
        <v/>
      </c>
      <c r="CM442" s="42" t="str">
        <f t="shared" si="186"/>
        <v/>
      </c>
      <c r="CP442" s="46" t="str">
        <f t="shared" si="187"/>
        <v/>
      </c>
      <c r="CS442" s="46" t="str">
        <f t="shared" si="188"/>
        <v/>
      </c>
      <c r="CT442" s="42" t="str">
        <f t="shared" si="189"/>
        <v/>
      </c>
      <c r="CU442" s="42" t="str">
        <f t="shared" si="190"/>
        <v/>
      </c>
      <c r="CV442" s="42" t="str">
        <f t="shared" si="191"/>
        <v/>
      </c>
      <c r="DB442" s="45"/>
      <c r="DH442" s="42" t="str">
        <f t="shared" si="192"/>
        <v/>
      </c>
      <c r="DI442" s="43" t="str">
        <f t="shared" si="193"/>
        <v/>
      </c>
      <c r="DK442" s="46" t="str">
        <f t="shared" si="194"/>
        <v/>
      </c>
      <c r="DQ442" s="42" t="str">
        <f>IF(AH442="","",IFERROR(ROUND(100*('Weighting Options'!$D$7*IF(ISNUMBER(CA442),CA442/3,0)+'Weighting Options'!$D$8*MIN(N(BL442),3)/3+'Weighting Options'!$D$9*IF(AP442="Community/Plenary-endorsed",1,IF(AP442="FGD-validated only",0.75,IF(AP442="Sub-community-specific",0.5,IF(AP442="Provisional/emerging",0.25,0))))+'Weighting Options'!$D$10*IF(ISNUMBER(K442),K442/3,0)+'Weighting Options'!$D$11*IF(CC442="",0.5,IF(CC442="OK",1,0.25))+'Weighting Options'!$D$12*IF(DK442="",0.5,IF(DK442="Agrees",1,IF(DK442="Opposite",0,0.5)))+'Weighting Options'!$D$13*MIN(N(BG442),3)/3+'Weighting Options'!$D$14*IF(AE442=1,1,0))/SUM('Weighting Options'!$D$7:$D$14),0),""))</f>
        <v/>
      </c>
      <c r="DR442" s="44" t="str">
        <f>IF(AH442="","",IFERROR(INDEX('Weighting Options'!$D$20:$D$27,VALUE(LEFT(TRIM(BU442),1))),1))</f>
        <v/>
      </c>
      <c r="DS442" s="44" t="str">
        <f t="shared" si="195"/>
        <v/>
      </c>
      <c r="DT442" s="42" t="str">
        <f>IF(AH442="","",IF(COUNTIFS($AH$12:AH442,AH442,$AI$12:AI442,AI442,$AM$12:AM442,AM442)=1,1,0))</f>
        <v/>
      </c>
    </row>
    <row r="443" spans="16:124" ht="12.75" customHeight="1" x14ac:dyDescent="0.35">
      <c r="P443" s="41"/>
      <c r="Q443" s="41"/>
      <c r="R443" s="41"/>
      <c r="S443" s="41"/>
      <c r="AH443" s="40"/>
      <c r="AP443" s="40"/>
      <c r="AS443" s="41"/>
      <c r="AT443" s="41"/>
      <c r="AW443" t="str">
        <f t="shared" si="168"/>
        <v/>
      </c>
      <c r="AX443" t="str">
        <f t="shared" si="169"/>
        <v/>
      </c>
      <c r="AY443" t="str">
        <f t="shared" si="170"/>
        <v/>
      </c>
      <c r="AZ443" s="40"/>
      <c r="BL443" s="47" t="str">
        <f t="shared" si="171"/>
        <v/>
      </c>
      <c r="BM443" s="47" t="str">
        <f t="shared" si="172"/>
        <v/>
      </c>
      <c r="BN443" s="47" t="str">
        <f t="shared" si="173"/>
        <v/>
      </c>
      <c r="BO443" s="47" t="str">
        <f t="shared" si="174"/>
        <v/>
      </c>
      <c r="BP443" s="47" t="str">
        <f t="shared" si="175"/>
        <v/>
      </c>
      <c r="BQ443" s="48" t="str">
        <f t="shared" si="176"/>
        <v/>
      </c>
      <c r="BR443" s="48" t="str">
        <f t="shared" si="177"/>
        <v/>
      </c>
      <c r="BS443" s="48" t="str">
        <f t="shared" si="178"/>
        <v/>
      </c>
      <c r="BT443" s="47" t="str">
        <f t="shared" si="179"/>
        <v/>
      </c>
      <c r="CA443" s="47" t="str">
        <f t="shared" si="180"/>
        <v/>
      </c>
      <c r="CB443" s="47" t="str">
        <f t="shared" si="181"/>
        <v/>
      </c>
      <c r="CC443" s="47" t="str">
        <f t="shared" si="182"/>
        <v/>
      </c>
      <c r="CD443" s="47" t="str">
        <f t="shared" si="183"/>
        <v/>
      </c>
      <c r="CE443" s="47" t="str">
        <f>IF(AH443="","",IF(OR(AI443&lt;&gt;'Seasonal Tercile Tally'!$B$3,AM443&lt;&gt;'Seasonal Tercile Tally'!$B$4),"Other site/ season",IF(DT443=0,"Excluded: duplicate (later row)",IF(N443&lt;&gt;1,"Excluded: not sighted",IF(AC443&lt;&gt;1,"Excluded: not confirmed",IF(AD443&lt;&gt;1,"Excluded: not approved",IF(AP443="Contested","Excluded: contested",IF(OR(U443="",U443=0),"Excluded: no tercile",IF(CB443="","Counted (simple tally only — no weight)","Counted")))))))))</f>
        <v/>
      </c>
      <c r="CF443" s="49" t="str">
        <f>IF(AH443="","",IFERROR(INDEX('Prior Multipliers'!$C$6:$C$70,MATCH(LEFT(AH443,10),'Prior Multipliers'!$A$6:$A$70,0)),IFERROR(INDEX('Prior Multipliers'!$C$6:$C$70,MATCH(LEFT(AH443,6),'Prior Multipliers'!$A$6:$A$70,0)),IFERROR(INDEX('Prior Multipliers'!$C$6:$C$70,MATCH(LEFT(AH443,2),'Prior Multipliers'!$A$6:$A$70,0)),1))))</f>
        <v/>
      </c>
      <c r="CG443" s="49" t="str">
        <f>IF(CB443="","",IF(AND('Seasonal Tercile Tally'!$B$5=1,BT443="Rating-based"),CB443*CF443,CB443))</f>
        <v/>
      </c>
      <c r="CH443" s="47">
        <f t="shared" si="184"/>
        <v>0</v>
      </c>
      <c r="CI443" s="45"/>
      <c r="CJ443" s="42" t="str">
        <f t="shared" si="185"/>
        <v/>
      </c>
      <c r="CM443" s="42" t="str">
        <f t="shared" si="186"/>
        <v/>
      </c>
      <c r="CP443" s="46" t="str">
        <f t="shared" si="187"/>
        <v/>
      </c>
      <c r="CS443" s="46" t="str">
        <f t="shared" si="188"/>
        <v/>
      </c>
      <c r="CT443" s="42" t="str">
        <f t="shared" si="189"/>
        <v/>
      </c>
      <c r="CU443" s="42" t="str">
        <f t="shared" si="190"/>
        <v/>
      </c>
      <c r="CV443" s="42" t="str">
        <f t="shared" si="191"/>
        <v/>
      </c>
      <c r="DB443" s="45"/>
      <c r="DH443" s="42" t="str">
        <f t="shared" si="192"/>
        <v/>
      </c>
      <c r="DI443" s="43" t="str">
        <f t="shared" si="193"/>
        <v/>
      </c>
      <c r="DK443" s="46" t="str">
        <f t="shared" si="194"/>
        <v/>
      </c>
      <c r="DQ443" s="42" t="str">
        <f>IF(AH443="","",IFERROR(ROUND(100*('Weighting Options'!$D$7*IF(ISNUMBER(CA443),CA443/3,0)+'Weighting Options'!$D$8*MIN(N(BL443),3)/3+'Weighting Options'!$D$9*IF(AP443="Community/Plenary-endorsed",1,IF(AP443="FGD-validated only",0.75,IF(AP443="Sub-community-specific",0.5,IF(AP443="Provisional/emerging",0.25,0))))+'Weighting Options'!$D$10*IF(ISNUMBER(K443),K443/3,0)+'Weighting Options'!$D$11*IF(CC443="",0.5,IF(CC443="OK",1,0.25))+'Weighting Options'!$D$12*IF(DK443="",0.5,IF(DK443="Agrees",1,IF(DK443="Opposite",0,0.5)))+'Weighting Options'!$D$13*MIN(N(BG443),3)/3+'Weighting Options'!$D$14*IF(AE443=1,1,0))/SUM('Weighting Options'!$D$7:$D$14),0),""))</f>
        <v/>
      </c>
      <c r="DR443" s="44" t="str">
        <f>IF(AH443="","",IFERROR(INDEX('Weighting Options'!$D$20:$D$27,VALUE(LEFT(TRIM(BU443),1))),1))</f>
        <v/>
      </c>
      <c r="DS443" s="44" t="str">
        <f t="shared" si="195"/>
        <v/>
      </c>
      <c r="DT443" s="42" t="str">
        <f>IF(AH443="","",IF(COUNTIFS($AH$12:AH443,AH443,$AI$12:AI443,AI443,$AM$12:AM443,AM443)=1,1,0))</f>
        <v/>
      </c>
    </row>
    <row r="444" spans="16:124" ht="12.75" customHeight="1" x14ac:dyDescent="0.35">
      <c r="P444" s="41"/>
      <c r="Q444" s="41"/>
      <c r="R444" s="41"/>
      <c r="S444" s="41"/>
      <c r="AH444" s="40"/>
      <c r="AP444" s="40"/>
      <c r="AS444" s="41"/>
      <c r="AT444" s="41"/>
      <c r="AW444" t="str">
        <f t="shared" si="168"/>
        <v/>
      </c>
      <c r="AX444" t="str">
        <f t="shared" si="169"/>
        <v/>
      </c>
      <c r="AY444" t="str">
        <f t="shared" si="170"/>
        <v/>
      </c>
      <c r="AZ444" s="40"/>
      <c r="BL444" s="47" t="str">
        <f t="shared" si="171"/>
        <v/>
      </c>
      <c r="BM444" s="47" t="str">
        <f t="shared" si="172"/>
        <v/>
      </c>
      <c r="BN444" s="47" t="str">
        <f t="shared" si="173"/>
        <v/>
      </c>
      <c r="BO444" s="47" t="str">
        <f t="shared" si="174"/>
        <v/>
      </c>
      <c r="BP444" s="47" t="str">
        <f t="shared" si="175"/>
        <v/>
      </c>
      <c r="BQ444" s="48" t="str">
        <f t="shared" si="176"/>
        <v/>
      </c>
      <c r="BR444" s="48" t="str">
        <f t="shared" si="177"/>
        <v/>
      </c>
      <c r="BS444" s="48" t="str">
        <f t="shared" si="178"/>
        <v/>
      </c>
      <c r="BT444" s="47" t="str">
        <f t="shared" si="179"/>
        <v/>
      </c>
      <c r="CA444" s="47" t="str">
        <f t="shared" si="180"/>
        <v/>
      </c>
      <c r="CB444" s="47" t="str">
        <f t="shared" si="181"/>
        <v/>
      </c>
      <c r="CC444" s="47" t="str">
        <f t="shared" si="182"/>
        <v/>
      </c>
      <c r="CD444" s="47" t="str">
        <f t="shared" si="183"/>
        <v/>
      </c>
      <c r="CE444" s="47" t="str">
        <f>IF(AH444="","",IF(OR(AI444&lt;&gt;'Seasonal Tercile Tally'!$B$3,AM444&lt;&gt;'Seasonal Tercile Tally'!$B$4),"Other site/ season",IF(DT444=0,"Excluded: duplicate (later row)",IF(N444&lt;&gt;1,"Excluded: not sighted",IF(AC444&lt;&gt;1,"Excluded: not confirmed",IF(AD444&lt;&gt;1,"Excluded: not approved",IF(AP444="Contested","Excluded: contested",IF(OR(U444="",U444=0),"Excluded: no tercile",IF(CB444="","Counted (simple tally only — no weight)","Counted")))))))))</f>
        <v/>
      </c>
      <c r="CF444" s="49" t="str">
        <f>IF(AH444="","",IFERROR(INDEX('Prior Multipliers'!$C$6:$C$70,MATCH(LEFT(AH444,10),'Prior Multipliers'!$A$6:$A$70,0)),IFERROR(INDEX('Prior Multipliers'!$C$6:$C$70,MATCH(LEFT(AH444,6),'Prior Multipliers'!$A$6:$A$70,0)),IFERROR(INDEX('Prior Multipliers'!$C$6:$C$70,MATCH(LEFT(AH444,2),'Prior Multipliers'!$A$6:$A$70,0)),1))))</f>
        <v/>
      </c>
      <c r="CG444" s="49" t="str">
        <f>IF(CB444="","",IF(AND('Seasonal Tercile Tally'!$B$5=1,BT444="Rating-based"),CB444*CF444,CB444))</f>
        <v/>
      </c>
      <c r="CH444" s="47">
        <f t="shared" si="184"/>
        <v>0</v>
      </c>
      <c r="CI444" s="45"/>
      <c r="CJ444" s="42" t="str">
        <f t="shared" si="185"/>
        <v/>
      </c>
      <c r="CM444" s="42" t="str">
        <f t="shared" si="186"/>
        <v/>
      </c>
      <c r="CP444" s="46" t="str">
        <f t="shared" si="187"/>
        <v/>
      </c>
      <c r="CS444" s="46" t="str">
        <f t="shared" si="188"/>
        <v/>
      </c>
      <c r="CT444" s="42" t="str">
        <f t="shared" si="189"/>
        <v/>
      </c>
      <c r="CU444" s="42" t="str">
        <f t="shared" si="190"/>
        <v/>
      </c>
      <c r="CV444" s="42" t="str">
        <f t="shared" si="191"/>
        <v/>
      </c>
      <c r="DB444" s="45"/>
      <c r="DH444" s="42" t="str">
        <f t="shared" si="192"/>
        <v/>
      </c>
      <c r="DI444" s="43" t="str">
        <f t="shared" si="193"/>
        <v/>
      </c>
      <c r="DK444" s="46" t="str">
        <f t="shared" si="194"/>
        <v/>
      </c>
      <c r="DQ444" s="42" t="str">
        <f>IF(AH444="","",IFERROR(ROUND(100*('Weighting Options'!$D$7*IF(ISNUMBER(CA444),CA444/3,0)+'Weighting Options'!$D$8*MIN(N(BL444),3)/3+'Weighting Options'!$D$9*IF(AP444="Community/Plenary-endorsed",1,IF(AP444="FGD-validated only",0.75,IF(AP444="Sub-community-specific",0.5,IF(AP444="Provisional/emerging",0.25,0))))+'Weighting Options'!$D$10*IF(ISNUMBER(K444),K444/3,0)+'Weighting Options'!$D$11*IF(CC444="",0.5,IF(CC444="OK",1,0.25))+'Weighting Options'!$D$12*IF(DK444="",0.5,IF(DK444="Agrees",1,IF(DK444="Opposite",0,0.5)))+'Weighting Options'!$D$13*MIN(N(BG444),3)/3+'Weighting Options'!$D$14*IF(AE444=1,1,0))/SUM('Weighting Options'!$D$7:$D$14),0),""))</f>
        <v/>
      </c>
      <c r="DR444" s="44" t="str">
        <f>IF(AH444="","",IFERROR(INDEX('Weighting Options'!$D$20:$D$27,VALUE(LEFT(TRIM(BU444),1))),1))</f>
        <v/>
      </c>
      <c r="DS444" s="44" t="str">
        <f t="shared" si="195"/>
        <v/>
      </c>
      <c r="DT444" s="42" t="str">
        <f>IF(AH444="","",IF(COUNTIFS($AH$12:AH444,AH444,$AI$12:AI444,AI444,$AM$12:AM444,AM444)=1,1,0))</f>
        <v/>
      </c>
    </row>
    <row r="445" spans="16:124" ht="12.75" customHeight="1" x14ac:dyDescent="0.35">
      <c r="P445" s="41"/>
      <c r="Q445" s="41"/>
      <c r="R445" s="41"/>
      <c r="S445" s="41"/>
      <c r="AH445" s="40"/>
      <c r="AP445" s="40"/>
      <c r="AS445" s="41"/>
      <c r="AT445" s="41"/>
      <c r="AW445" t="str">
        <f t="shared" si="168"/>
        <v/>
      </c>
      <c r="AX445" t="str">
        <f t="shared" si="169"/>
        <v/>
      </c>
      <c r="AY445" t="str">
        <f t="shared" si="170"/>
        <v/>
      </c>
      <c r="AZ445" s="40"/>
      <c r="BL445" s="47" t="str">
        <f t="shared" si="171"/>
        <v/>
      </c>
      <c r="BM445" s="47" t="str">
        <f t="shared" si="172"/>
        <v/>
      </c>
      <c r="BN445" s="47" t="str">
        <f t="shared" si="173"/>
        <v/>
      </c>
      <c r="BO445" s="47" t="str">
        <f t="shared" si="174"/>
        <v/>
      </c>
      <c r="BP445" s="47" t="str">
        <f t="shared" si="175"/>
        <v/>
      </c>
      <c r="BQ445" s="48" t="str">
        <f t="shared" si="176"/>
        <v/>
      </c>
      <c r="BR445" s="48" t="str">
        <f t="shared" si="177"/>
        <v/>
      </c>
      <c r="BS445" s="48" t="str">
        <f t="shared" si="178"/>
        <v/>
      </c>
      <c r="BT445" s="47" t="str">
        <f t="shared" si="179"/>
        <v/>
      </c>
      <c r="CA445" s="47" t="str">
        <f t="shared" si="180"/>
        <v/>
      </c>
      <c r="CB445" s="47" t="str">
        <f t="shared" si="181"/>
        <v/>
      </c>
      <c r="CC445" s="47" t="str">
        <f t="shared" si="182"/>
        <v/>
      </c>
      <c r="CD445" s="47" t="str">
        <f t="shared" si="183"/>
        <v/>
      </c>
      <c r="CE445" s="47" t="str">
        <f>IF(AH445="","",IF(OR(AI445&lt;&gt;'Seasonal Tercile Tally'!$B$3,AM445&lt;&gt;'Seasonal Tercile Tally'!$B$4),"Other site/ season",IF(DT445=0,"Excluded: duplicate (later row)",IF(N445&lt;&gt;1,"Excluded: not sighted",IF(AC445&lt;&gt;1,"Excluded: not confirmed",IF(AD445&lt;&gt;1,"Excluded: not approved",IF(AP445="Contested","Excluded: contested",IF(OR(U445="",U445=0),"Excluded: no tercile",IF(CB445="","Counted (simple tally only — no weight)","Counted")))))))))</f>
        <v/>
      </c>
      <c r="CF445" s="49" t="str">
        <f>IF(AH445="","",IFERROR(INDEX('Prior Multipliers'!$C$6:$C$70,MATCH(LEFT(AH445,10),'Prior Multipliers'!$A$6:$A$70,0)),IFERROR(INDEX('Prior Multipliers'!$C$6:$C$70,MATCH(LEFT(AH445,6),'Prior Multipliers'!$A$6:$A$70,0)),IFERROR(INDEX('Prior Multipliers'!$C$6:$C$70,MATCH(LEFT(AH445,2),'Prior Multipliers'!$A$6:$A$70,0)),1))))</f>
        <v/>
      </c>
      <c r="CG445" s="49" t="str">
        <f>IF(CB445="","",IF(AND('Seasonal Tercile Tally'!$B$5=1,BT445="Rating-based"),CB445*CF445,CB445))</f>
        <v/>
      </c>
      <c r="CH445" s="47">
        <f t="shared" si="184"/>
        <v>0</v>
      </c>
      <c r="CI445" s="45"/>
      <c r="CJ445" s="42" t="str">
        <f t="shared" si="185"/>
        <v/>
      </c>
      <c r="CM445" s="42" t="str">
        <f t="shared" si="186"/>
        <v/>
      </c>
      <c r="CP445" s="46" t="str">
        <f t="shared" si="187"/>
        <v/>
      </c>
      <c r="CS445" s="46" t="str">
        <f t="shared" si="188"/>
        <v/>
      </c>
      <c r="CT445" s="42" t="str">
        <f t="shared" si="189"/>
        <v/>
      </c>
      <c r="CU445" s="42" t="str">
        <f t="shared" si="190"/>
        <v/>
      </c>
      <c r="CV445" s="42" t="str">
        <f t="shared" si="191"/>
        <v/>
      </c>
      <c r="DB445" s="45"/>
      <c r="DH445" s="42" t="str">
        <f t="shared" si="192"/>
        <v/>
      </c>
      <c r="DI445" s="43" t="str">
        <f t="shared" si="193"/>
        <v/>
      </c>
      <c r="DK445" s="46" t="str">
        <f t="shared" si="194"/>
        <v/>
      </c>
      <c r="DQ445" s="42" t="str">
        <f>IF(AH445="","",IFERROR(ROUND(100*('Weighting Options'!$D$7*IF(ISNUMBER(CA445),CA445/3,0)+'Weighting Options'!$D$8*MIN(N(BL445),3)/3+'Weighting Options'!$D$9*IF(AP445="Community/Plenary-endorsed",1,IF(AP445="FGD-validated only",0.75,IF(AP445="Sub-community-specific",0.5,IF(AP445="Provisional/emerging",0.25,0))))+'Weighting Options'!$D$10*IF(ISNUMBER(K445),K445/3,0)+'Weighting Options'!$D$11*IF(CC445="",0.5,IF(CC445="OK",1,0.25))+'Weighting Options'!$D$12*IF(DK445="",0.5,IF(DK445="Agrees",1,IF(DK445="Opposite",0,0.5)))+'Weighting Options'!$D$13*MIN(N(BG445),3)/3+'Weighting Options'!$D$14*IF(AE445=1,1,0))/SUM('Weighting Options'!$D$7:$D$14),0),""))</f>
        <v/>
      </c>
      <c r="DR445" s="44" t="str">
        <f>IF(AH445="","",IFERROR(INDEX('Weighting Options'!$D$20:$D$27,VALUE(LEFT(TRIM(BU445),1))),1))</f>
        <v/>
      </c>
      <c r="DS445" s="44" t="str">
        <f t="shared" si="195"/>
        <v/>
      </c>
      <c r="DT445" s="42" t="str">
        <f>IF(AH445="","",IF(COUNTIFS($AH$12:AH445,AH445,$AI$12:AI445,AI445,$AM$12:AM445,AM445)=1,1,0))</f>
        <v/>
      </c>
    </row>
    <row r="446" spans="16:124" ht="12.75" customHeight="1" x14ac:dyDescent="0.35">
      <c r="P446" s="41"/>
      <c r="Q446" s="41"/>
      <c r="R446" s="41"/>
      <c r="S446" s="41"/>
      <c r="AH446" s="40"/>
      <c r="AP446" s="40"/>
      <c r="AS446" s="41"/>
      <c r="AT446" s="41"/>
      <c r="AW446" t="str">
        <f t="shared" si="168"/>
        <v/>
      </c>
      <c r="AX446" t="str">
        <f t="shared" si="169"/>
        <v/>
      </c>
      <c r="AY446" t="str">
        <f t="shared" si="170"/>
        <v/>
      </c>
      <c r="AZ446" s="40"/>
      <c r="BL446" s="47" t="str">
        <f t="shared" si="171"/>
        <v/>
      </c>
      <c r="BM446" s="47" t="str">
        <f t="shared" si="172"/>
        <v/>
      </c>
      <c r="BN446" s="47" t="str">
        <f t="shared" si="173"/>
        <v/>
      </c>
      <c r="BO446" s="47" t="str">
        <f t="shared" si="174"/>
        <v/>
      </c>
      <c r="BP446" s="47" t="str">
        <f t="shared" si="175"/>
        <v/>
      </c>
      <c r="BQ446" s="48" t="str">
        <f t="shared" si="176"/>
        <v/>
      </c>
      <c r="BR446" s="48" t="str">
        <f t="shared" si="177"/>
        <v/>
      </c>
      <c r="BS446" s="48" t="str">
        <f t="shared" si="178"/>
        <v/>
      </c>
      <c r="BT446" s="47" t="str">
        <f t="shared" si="179"/>
        <v/>
      </c>
      <c r="CA446" s="47" t="str">
        <f t="shared" si="180"/>
        <v/>
      </c>
      <c r="CB446" s="47" t="str">
        <f t="shared" si="181"/>
        <v/>
      </c>
      <c r="CC446" s="47" t="str">
        <f t="shared" si="182"/>
        <v/>
      </c>
      <c r="CD446" s="47" t="str">
        <f t="shared" si="183"/>
        <v/>
      </c>
      <c r="CE446" s="47" t="str">
        <f>IF(AH446="","",IF(OR(AI446&lt;&gt;'Seasonal Tercile Tally'!$B$3,AM446&lt;&gt;'Seasonal Tercile Tally'!$B$4),"Other site/ season",IF(DT446=0,"Excluded: duplicate (later row)",IF(N446&lt;&gt;1,"Excluded: not sighted",IF(AC446&lt;&gt;1,"Excluded: not confirmed",IF(AD446&lt;&gt;1,"Excluded: not approved",IF(AP446="Contested","Excluded: contested",IF(OR(U446="",U446=0),"Excluded: no tercile",IF(CB446="","Counted (simple tally only — no weight)","Counted")))))))))</f>
        <v/>
      </c>
      <c r="CF446" s="49" t="str">
        <f>IF(AH446="","",IFERROR(INDEX('Prior Multipliers'!$C$6:$C$70,MATCH(LEFT(AH446,10),'Prior Multipliers'!$A$6:$A$70,0)),IFERROR(INDEX('Prior Multipliers'!$C$6:$C$70,MATCH(LEFT(AH446,6),'Prior Multipliers'!$A$6:$A$70,0)),IFERROR(INDEX('Prior Multipliers'!$C$6:$C$70,MATCH(LEFT(AH446,2),'Prior Multipliers'!$A$6:$A$70,0)),1))))</f>
        <v/>
      </c>
      <c r="CG446" s="49" t="str">
        <f>IF(CB446="","",IF(AND('Seasonal Tercile Tally'!$B$5=1,BT446="Rating-based"),CB446*CF446,CB446))</f>
        <v/>
      </c>
      <c r="CH446" s="47">
        <f t="shared" si="184"/>
        <v>0</v>
      </c>
      <c r="CI446" s="45"/>
      <c r="CJ446" s="42" t="str">
        <f t="shared" si="185"/>
        <v/>
      </c>
      <c r="CM446" s="42" t="str">
        <f t="shared" si="186"/>
        <v/>
      </c>
      <c r="CP446" s="46" t="str">
        <f t="shared" si="187"/>
        <v/>
      </c>
      <c r="CS446" s="46" t="str">
        <f t="shared" si="188"/>
        <v/>
      </c>
      <c r="CT446" s="42" t="str">
        <f t="shared" si="189"/>
        <v/>
      </c>
      <c r="CU446" s="42" t="str">
        <f t="shared" si="190"/>
        <v/>
      </c>
      <c r="CV446" s="42" t="str">
        <f t="shared" si="191"/>
        <v/>
      </c>
      <c r="DB446" s="45"/>
      <c r="DH446" s="42" t="str">
        <f t="shared" si="192"/>
        <v/>
      </c>
      <c r="DI446" s="43" t="str">
        <f t="shared" si="193"/>
        <v/>
      </c>
      <c r="DK446" s="46" t="str">
        <f t="shared" si="194"/>
        <v/>
      </c>
      <c r="DQ446" s="42" t="str">
        <f>IF(AH446="","",IFERROR(ROUND(100*('Weighting Options'!$D$7*IF(ISNUMBER(CA446),CA446/3,0)+'Weighting Options'!$D$8*MIN(N(BL446),3)/3+'Weighting Options'!$D$9*IF(AP446="Community/Plenary-endorsed",1,IF(AP446="FGD-validated only",0.75,IF(AP446="Sub-community-specific",0.5,IF(AP446="Provisional/emerging",0.25,0))))+'Weighting Options'!$D$10*IF(ISNUMBER(K446),K446/3,0)+'Weighting Options'!$D$11*IF(CC446="",0.5,IF(CC446="OK",1,0.25))+'Weighting Options'!$D$12*IF(DK446="",0.5,IF(DK446="Agrees",1,IF(DK446="Opposite",0,0.5)))+'Weighting Options'!$D$13*MIN(N(BG446),3)/3+'Weighting Options'!$D$14*IF(AE446=1,1,0))/SUM('Weighting Options'!$D$7:$D$14),0),""))</f>
        <v/>
      </c>
      <c r="DR446" s="44" t="str">
        <f>IF(AH446="","",IFERROR(INDEX('Weighting Options'!$D$20:$D$27,VALUE(LEFT(TRIM(BU446),1))),1))</f>
        <v/>
      </c>
      <c r="DS446" s="44" t="str">
        <f t="shared" si="195"/>
        <v/>
      </c>
      <c r="DT446" s="42" t="str">
        <f>IF(AH446="","",IF(COUNTIFS($AH$12:AH446,AH446,$AI$12:AI446,AI446,$AM$12:AM446,AM446)=1,1,0))</f>
        <v/>
      </c>
    </row>
    <row r="447" spans="16:124" ht="12.75" customHeight="1" x14ac:dyDescent="0.35">
      <c r="P447" s="41"/>
      <c r="Q447" s="41"/>
      <c r="R447" s="41"/>
      <c r="S447" s="41"/>
      <c r="AH447" s="40"/>
      <c r="AP447" s="40"/>
      <c r="AS447" s="41"/>
      <c r="AT447" s="41"/>
      <c r="AW447" t="str">
        <f t="shared" si="168"/>
        <v/>
      </c>
      <c r="AX447" t="str">
        <f t="shared" si="169"/>
        <v/>
      </c>
      <c r="AY447" t="str">
        <f t="shared" si="170"/>
        <v/>
      </c>
      <c r="AZ447" s="40"/>
      <c r="BL447" s="47" t="str">
        <f t="shared" si="171"/>
        <v/>
      </c>
      <c r="BM447" s="47" t="str">
        <f t="shared" si="172"/>
        <v/>
      </c>
      <c r="BN447" s="47" t="str">
        <f t="shared" si="173"/>
        <v/>
      </c>
      <c r="BO447" s="47" t="str">
        <f t="shared" si="174"/>
        <v/>
      </c>
      <c r="BP447" s="47" t="str">
        <f t="shared" si="175"/>
        <v/>
      </c>
      <c r="BQ447" s="48" t="str">
        <f t="shared" si="176"/>
        <v/>
      </c>
      <c r="BR447" s="48" t="str">
        <f t="shared" si="177"/>
        <v/>
      </c>
      <c r="BS447" s="48" t="str">
        <f t="shared" si="178"/>
        <v/>
      </c>
      <c r="BT447" s="47" t="str">
        <f t="shared" si="179"/>
        <v/>
      </c>
      <c r="CA447" s="47" t="str">
        <f t="shared" si="180"/>
        <v/>
      </c>
      <c r="CB447" s="47" t="str">
        <f t="shared" si="181"/>
        <v/>
      </c>
      <c r="CC447" s="47" t="str">
        <f t="shared" si="182"/>
        <v/>
      </c>
      <c r="CD447" s="47" t="str">
        <f t="shared" si="183"/>
        <v/>
      </c>
      <c r="CE447" s="47" t="str">
        <f>IF(AH447="","",IF(OR(AI447&lt;&gt;'Seasonal Tercile Tally'!$B$3,AM447&lt;&gt;'Seasonal Tercile Tally'!$B$4),"Other site/ season",IF(DT447=0,"Excluded: duplicate (later row)",IF(N447&lt;&gt;1,"Excluded: not sighted",IF(AC447&lt;&gt;1,"Excluded: not confirmed",IF(AD447&lt;&gt;1,"Excluded: not approved",IF(AP447="Contested","Excluded: contested",IF(OR(U447="",U447=0),"Excluded: no tercile",IF(CB447="","Counted (simple tally only — no weight)","Counted")))))))))</f>
        <v/>
      </c>
      <c r="CF447" s="49" t="str">
        <f>IF(AH447="","",IFERROR(INDEX('Prior Multipliers'!$C$6:$C$70,MATCH(LEFT(AH447,10),'Prior Multipliers'!$A$6:$A$70,0)),IFERROR(INDEX('Prior Multipliers'!$C$6:$C$70,MATCH(LEFT(AH447,6),'Prior Multipliers'!$A$6:$A$70,0)),IFERROR(INDEX('Prior Multipliers'!$C$6:$C$70,MATCH(LEFT(AH447,2),'Prior Multipliers'!$A$6:$A$70,0)),1))))</f>
        <v/>
      </c>
      <c r="CG447" s="49" t="str">
        <f>IF(CB447="","",IF(AND('Seasonal Tercile Tally'!$B$5=1,BT447="Rating-based"),CB447*CF447,CB447))</f>
        <v/>
      </c>
      <c r="CH447" s="47">
        <f t="shared" si="184"/>
        <v>0</v>
      </c>
      <c r="CI447" s="45"/>
      <c r="CJ447" s="42" t="str">
        <f t="shared" si="185"/>
        <v/>
      </c>
      <c r="CM447" s="42" t="str">
        <f t="shared" si="186"/>
        <v/>
      </c>
      <c r="CP447" s="46" t="str">
        <f t="shared" si="187"/>
        <v/>
      </c>
      <c r="CS447" s="46" t="str">
        <f t="shared" si="188"/>
        <v/>
      </c>
      <c r="CT447" s="42" t="str">
        <f t="shared" si="189"/>
        <v/>
      </c>
      <c r="CU447" s="42" t="str">
        <f t="shared" si="190"/>
        <v/>
      </c>
      <c r="CV447" s="42" t="str">
        <f t="shared" si="191"/>
        <v/>
      </c>
      <c r="DB447" s="45"/>
      <c r="DH447" s="42" t="str">
        <f t="shared" si="192"/>
        <v/>
      </c>
      <c r="DI447" s="43" t="str">
        <f t="shared" si="193"/>
        <v/>
      </c>
      <c r="DK447" s="46" t="str">
        <f t="shared" si="194"/>
        <v/>
      </c>
      <c r="DQ447" s="42" t="str">
        <f>IF(AH447="","",IFERROR(ROUND(100*('Weighting Options'!$D$7*IF(ISNUMBER(CA447),CA447/3,0)+'Weighting Options'!$D$8*MIN(N(BL447),3)/3+'Weighting Options'!$D$9*IF(AP447="Community/Plenary-endorsed",1,IF(AP447="FGD-validated only",0.75,IF(AP447="Sub-community-specific",0.5,IF(AP447="Provisional/emerging",0.25,0))))+'Weighting Options'!$D$10*IF(ISNUMBER(K447),K447/3,0)+'Weighting Options'!$D$11*IF(CC447="",0.5,IF(CC447="OK",1,0.25))+'Weighting Options'!$D$12*IF(DK447="",0.5,IF(DK447="Agrees",1,IF(DK447="Opposite",0,0.5)))+'Weighting Options'!$D$13*MIN(N(BG447),3)/3+'Weighting Options'!$D$14*IF(AE447=1,1,0))/SUM('Weighting Options'!$D$7:$D$14),0),""))</f>
        <v/>
      </c>
      <c r="DR447" s="44" t="str">
        <f>IF(AH447="","",IFERROR(INDEX('Weighting Options'!$D$20:$D$27,VALUE(LEFT(TRIM(BU447),1))),1))</f>
        <v/>
      </c>
      <c r="DS447" s="44" t="str">
        <f t="shared" si="195"/>
        <v/>
      </c>
      <c r="DT447" s="42" t="str">
        <f>IF(AH447="","",IF(COUNTIFS($AH$12:AH447,AH447,$AI$12:AI447,AI447,$AM$12:AM447,AM447)=1,1,0))</f>
        <v/>
      </c>
    </row>
    <row r="448" spans="16:124" ht="12.75" customHeight="1" x14ac:dyDescent="0.35">
      <c r="P448" s="41"/>
      <c r="Q448" s="41"/>
      <c r="R448" s="41"/>
      <c r="S448" s="41"/>
      <c r="AH448" s="40"/>
      <c r="AP448" s="40"/>
      <c r="AS448" s="41"/>
      <c r="AT448" s="41"/>
      <c r="AW448" t="str">
        <f t="shared" si="168"/>
        <v/>
      </c>
      <c r="AX448" t="str">
        <f t="shared" si="169"/>
        <v/>
      </c>
      <c r="AY448" t="str">
        <f t="shared" si="170"/>
        <v/>
      </c>
      <c r="AZ448" s="40"/>
      <c r="BL448" s="47" t="str">
        <f t="shared" si="171"/>
        <v/>
      </c>
      <c r="BM448" s="47" t="str">
        <f t="shared" si="172"/>
        <v/>
      </c>
      <c r="BN448" s="47" t="str">
        <f t="shared" si="173"/>
        <v/>
      </c>
      <c r="BO448" s="47" t="str">
        <f t="shared" si="174"/>
        <v/>
      </c>
      <c r="BP448" s="47" t="str">
        <f t="shared" si="175"/>
        <v/>
      </c>
      <c r="BQ448" s="48" t="str">
        <f t="shared" si="176"/>
        <v/>
      </c>
      <c r="BR448" s="48" t="str">
        <f t="shared" si="177"/>
        <v/>
      </c>
      <c r="BS448" s="48" t="str">
        <f t="shared" si="178"/>
        <v/>
      </c>
      <c r="BT448" s="47" t="str">
        <f t="shared" si="179"/>
        <v/>
      </c>
      <c r="CA448" s="47" t="str">
        <f t="shared" si="180"/>
        <v/>
      </c>
      <c r="CB448" s="47" t="str">
        <f t="shared" si="181"/>
        <v/>
      </c>
      <c r="CC448" s="47" t="str">
        <f t="shared" si="182"/>
        <v/>
      </c>
      <c r="CD448" s="47" t="str">
        <f t="shared" si="183"/>
        <v/>
      </c>
      <c r="CE448" s="47" t="str">
        <f>IF(AH448="","",IF(OR(AI448&lt;&gt;'Seasonal Tercile Tally'!$B$3,AM448&lt;&gt;'Seasonal Tercile Tally'!$B$4),"Other site/ season",IF(DT448=0,"Excluded: duplicate (later row)",IF(N448&lt;&gt;1,"Excluded: not sighted",IF(AC448&lt;&gt;1,"Excluded: not confirmed",IF(AD448&lt;&gt;1,"Excluded: not approved",IF(AP448="Contested","Excluded: contested",IF(OR(U448="",U448=0),"Excluded: no tercile",IF(CB448="","Counted (simple tally only — no weight)","Counted")))))))))</f>
        <v/>
      </c>
      <c r="CF448" s="49" t="str">
        <f>IF(AH448="","",IFERROR(INDEX('Prior Multipliers'!$C$6:$C$70,MATCH(LEFT(AH448,10),'Prior Multipliers'!$A$6:$A$70,0)),IFERROR(INDEX('Prior Multipliers'!$C$6:$C$70,MATCH(LEFT(AH448,6),'Prior Multipliers'!$A$6:$A$70,0)),IFERROR(INDEX('Prior Multipliers'!$C$6:$C$70,MATCH(LEFT(AH448,2),'Prior Multipliers'!$A$6:$A$70,0)),1))))</f>
        <v/>
      </c>
      <c r="CG448" s="49" t="str">
        <f>IF(CB448="","",IF(AND('Seasonal Tercile Tally'!$B$5=1,BT448="Rating-based"),CB448*CF448,CB448))</f>
        <v/>
      </c>
      <c r="CH448" s="47">
        <f t="shared" si="184"/>
        <v>0</v>
      </c>
      <c r="CI448" s="45"/>
      <c r="CJ448" s="42" t="str">
        <f t="shared" si="185"/>
        <v/>
      </c>
      <c r="CM448" s="42" t="str">
        <f t="shared" si="186"/>
        <v/>
      </c>
      <c r="CP448" s="46" t="str">
        <f t="shared" si="187"/>
        <v/>
      </c>
      <c r="CS448" s="46" t="str">
        <f t="shared" si="188"/>
        <v/>
      </c>
      <c r="CT448" s="42" t="str">
        <f t="shared" si="189"/>
        <v/>
      </c>
      <c r="CU448" s="42" t="str">
        <f t="shared" si="190"/>
        <v/>
      </c>
      <c r="CV448" s="42" t="str">
        <f t="shared" si="191"/>
        <v/>
      </c>
      <c r="DB448" s="45"/>
      <c r="DH448" s="42" t="str">
        <f t="shared" si="192"/>
        <v/>
      </c>
      <c r="DI448" s="43" t="str">
        <f t="shared" si="193"/>
        <v/>
      </c>
      <c r="DK448" s="46" t="str">
        <f t="shared" si="194"/>
        <v/>
      </c>
      <c r="DQ448" s="42" t="str">
        <f>IF(AH448="","",IFERROR(ROUND(100*('Weighting Options'!$D$7*IF(ISNUMBER(CA448),CA448/3,0)+'Weighting Options'!$D$8*MIN(N(BL448),3)/3+'Weighting Options'!$D$9*IF(AP448="Community/Plenary-endorsed",1,IF(AP448="FGD-validated only",0.75,IF(AP448="Sub-community-specific",0.5,IF(AP448="Provisional/emerging",0.25,0))))+'Weighting Options'!$D$10*IF(ISNUMBER(K448),K448/3,0)+'Weighting Options'!$D$11*IF(CC448="",0.5,IF(CC448="OK",1,0.25))+'Weighting Options'!$D$12*IF(DK448="",0.5,IF(DK448="Agrees",1,IF(DK448="Opposite",0,0.5)))+'Weighting Options'!$D$13*MIN(N(BG448),3)/3+'Weighting Options'!$D$14*IF(AE448=1,1,0))/SUM('Weighting Options'!$D$7:$D$14),0),""))</f>
        <v/>
      </c>
      <c r="DR448" s="44" t="str">
        <f>IF(AH448="","",IFERROR(INDEX('Weighting Options'!$D$20:$D$27,VALUE(LEFT(TRIM(BU448),1))),1))</f>
        <v/>
      </c>
      <c r="DS448" s="44" t="str">
        <f t="shared" si="195"/>
        <v/>
      </c>
      <c r="DT448" s="42" t="str">
        <f>IF(AH448="","",IF(COUNTIFS($AH$12:AH448,AH448,$AI$12:AI448,AI448,$AM$12:AM448,AM448)=1,1,0))</f>
        <v/>
      </c>
    </row>
    <row r="449" spans="16:124" ht="12.75" customHeight="1" x14ac:dyDescent="0.35">
      <c r="P449" s="41"/>
      <c r="Q449" s="41"/>
      <c r="R449" s="41"/>
      <c r="S449" s="41"/>
      <c r="AH449" s="40"/>
      <c r="AP449" s="40"/>
      <c r="AS449" s="41"/>
      <c r="AT449" s="41"/>
      <c r="AW449" t="str">
        <f t="shared" si="168"/>
        <v/>
      </c>
      <c r="AX449" t="str">
        <f t="shared" si="169"/>
        <v/>
      </c>
      <c r="AY449" t="str">
        <f t="shared" si="170"/>
        <v/>
      </c>
      <c r="AZ449" s="40"/>
      <c r="BL449" s="47" t="str">
        <f t="shared" si="171"/>
        <v/>
      </c>
      <c r="BM449" s="47" t="str">
        <f t="shared" si="172"/>
        <v/>
      </c>
      <c r="BN449" s="47" t="str">
        <f t="shared" si="173"/>
        <v/>
      </c>
      <c r="BO449" s="47" t="str">
        <f t="shared" si="174"/>
        <v/>
      </c>
      <c r="BP449" s="47" t="str">
        <f t="shared" si="175"/>
        <v/>
      </c>
      <c r="BQ449" s="48" t="str">
        <f t="shared" si="176"/>
        <v/>
      </c>
      <c r="BR449" s="48" t="str">
        <f t="shared" si="177"/>
        <v/>
      </c>
      <c r="BS449" s="48" t="str">
        <f t="shared" si="178"/>
        <v/>
      </c>
      <c r="BT449" s="47" t="str">
        <f t="shared" si="179"/>
        <v/>
      </c>
      <c r="CA449" s="47" t="str">
        <f t="shared" si="180"/>
        <v/>
      </c>
      <c r="CB449" s="47" t="str">
        <f t="shared" si="181"/>
        <v/>
      </c>
      <c r="CC449" s="47" t="str">
        <f t="shared" si="182"/>
        <v/>
      </c>
      <c r="CD449" s="47" t="str">
        <f t="shared" si="183"/>
        <v/>
      </c>
      <c r="CE449" s="47" t="str">
        <f>IF(AH449="","",IF(OR(AI449&lt;&gt;'Seasonal Tercile Tally'!$B$3,AM449&lt;&gt;'Seasonal Tercile Tally'!$B$4),"Other site/ season",IF(DT449=0,"Excluded: duplicate (later row)",IF(N449&lt;&gt;1,"Excluded: not sighted",IF(AC449&lt;&gt;1,"Excluded: not confirmed",IF(AD449&lt;&gt;1,"Excluded: not approved",IF(AP449="Contested","Excluded: contested",IF(OR(U449="",U449=0),"Excluded: no tercile",IF(CB449="","Counted (simple tally only — no weight)","Counted")))))))))</f>
        <v/>
      </c>
      <c r="CF449" s="49" t="str">
        <f>IF(AH449="","",IFERROR(INDEX('Prior Multipliers'!$C$6:$C$70,MATCH(LEFT(AH449,10),'Prior Multipliers'!$A$6:$A$70,0)),IFERROR(INDEX('Prior Multipliers'!$C$6:$C$70,MATCH(LEFT(AH449,6),'Prior Multipliers'!$A$6:$A$70,0)),IFERROR(INDEX('Prior Multipliers'!$C$6:$C$70,MATCH(LEFT(AH449,2),'Prior Multipliers'!$A$6:$A$70,0)),1))))</f>
        <v/>
      </c>
      <c r="CG449" s="49" t="str">
        <f>IF(CB449="","",IF(AND('Seasonal Tercile Tally'!$B$5=1,BT449="Rating-based"),CB449*CF449,CB449))</f>
        <v/>
      </c>
      <c r="CH449" s="47">
        <f t="shared" si="184"/>
        <v>0</v>
      </c>
      <c r="CI449" s="45"/>
      <c r="CJ449" s="42" t="str">
        <f t="shared" si="185"/>
        <v/>
      </c>
      <c r="CM449" s="42" t="str">
        <f t="shared" si="186"/>
        <v/>
      </c>
      <c r="CP449" s="46" t="str">
        <f t="shared" si="187"/>
        <v/>
      </c>
      <c r="CS449" s="46" t="str">
        <f t="shared" si="188"/>
        <v/>
      </c>
      <c r="CT449" s="42" t="str">
        <f t="shared" si="189"/>
        <v/>
      </c>
      <c r="CU449" s="42" t="str">
        <f t="shared" si="190"/>
        <v/>
      </c>
      <c r="CV449" s="42" t="str">
        <f t="shared" si="191"/>
        <v/>
      </c>
      <c r="DB449" s="45"/>
      <c r="DH449" s="42" t="str">
        <f t="shared" si="192"/>
        <v/>
      </c>
      <c r="DI449" s="43" t="str">
        <f t="shared" si="193"/>
        <v/>
      </c>
      <c r="DK449" s="46" t="str">
        <f t="shared" si="194"/>
        <v/>
      </c>
      <c r="DQ449" s="42" t="str">
        <f>IF(AH449="","",IFERROR(ROUND(100*('Weighting Options'!$D$7*IF(ISNUMBER(CA449),CA449/3,0)+'Weighting Options'!$D$8*MIN(N(BL449),3)/3+'Weighting Options'!$D$9*IF(AP449="Community/Plenary-endorsed",1,IF(AP449="FGD-validated only",0.75,IF(AP449="Sub-community-specific",0.5,IF(AP449="Provisional/emerging",0.25,0))))+'Weighting Options'!$D$10*IF(ISNUMBER(K449),K449/3,0)+'Weighting Options'!$D$11*IF(CC449="",0.5,IF(CC449="OK",1,0.25))+'Weighting Options'!$D$12*IF(DK449="",0.5,IF(DK449="Agrees",1,IF(DK449="Opposite",0,0.5)))+'Weighting Options'!$D$13*MIN(N(BG449),3)/3+'Weighting Options'!$D$14*IF(AE449=1,1,0))/SUM('Weighting Options'!$D$7:$D$14),0),""))</f>
        <v/>
      </c>
      <c r="DR449" s="44" t="str">
        <f>IF(AH449="","",IFERROR(INDEX('Weighting Options'!$D$20:$D$27,VALUE(LEFT(TRIM(BU449),1))),1))</f>
        <v/>
      </c>
      <c r="DS449" s="44" t="str">
        <f t="shared" si="195"/>
        <v/>
      </c>
      <c r="DT449" s="42" t="str">
        <f>IF(AH449="","",IF(COUNTIFS($AH$12:AH449,AH449,$AI$12:AI449,AI449,$AM$12:AM449,AM449)=1,1,0))</f>
        <v/>
      </c>
    </row>
    <row r="450" spans="16:124" ht="12.75" customHeight="1" x14ac:dyDescent="0.35">
      <c r="P450" s="41"/>
      <c r="Q450" s="41"/>
      <c r="R450" s="41"/>
      <c r="S450" s="41"/>
      <c r="AH450" s="40"/>
      <c r="AP450" s="40"/>
      <c r="AS450" s="41"/>
      <c r="AT450" s="41"/>
      <c r="AW450" t="str">
        <f t="shared" si="168"/>
        <v/>
      </c>
      <c r="AX450" t="str">
        <f t="shared" si="169"/>
        <v/>
      </c>
      <c r="AY450" t="str">
        <f t="shared" si="170"/>
        <v/>
      </c>
      <c r="AZ450" s="40"/>
      <c r="BL450" s="47" t="str">
        <f t="shared" si="171"/>
        <v/>
      </c>
      <c r="BM450" s="47" t="str">
        <f t="shared" si="172"/>
        <v/>
      </c>
      <c r="BN450" s="47" t="str">
        <f t="shared" si="173"/>
        <v/>
      </c>
      <c r="BO450" s="47" t="str">
        <f t="shared" si="174"/>
        <v/>
      </c>
      <c r="BP450" s="47" t="str">
        <f t="shared" si="175"/>
        <v/>
      </c>
      <c r="BQ450" s="48" t="str">
        <f t="shared" si="176"/>
        <v/>
      </c>
      <c r="BR450" s="48" t="str">
        <f t="shared" si="177"/>
        <v/>
      </c>
      <c r="BS450" s="48" t="str">
        <f t="shared" si="178"/>
        <v/>
      </c>
      <c r="BT450" s="47" t="str">
        <f t="shared" si="179"/>
        <v/>
      </c>
      <c r="CA450" s="47" t="str">
        <f t="shared" si="180"/>
        <v/>
      </c>
      <c r="CB450" s="47" t="str">
        <f t="shared" si="181"/>
        <v/>
      </c>
      <c r="CC450" s="47" t="str">
        <f t="shared" si="182"/>
        <v/>
      </c>
      <c r="CD450" s="47" t="str">
        <f t="shared" si="183"/>
        <v/>
      </c>
      <c r="CE450" s="47" t="str">
        <f>IF(AH450="","",IF(OR(AI450&lt;&gt;'Seasonal Tercile Tally'!$B$3,AM450&lt;&gt;'Seasonal Tercile Tally'!$B$4),"Other site/ season",IF(DT450=0,"Excluded: duplicate (later row)",IF(N450&lt;&gt;1,"Excluded: not sighted",IF(AC450&lt;&gt;1,"Excluded: not confirmed",IF(AD450&lt;&gt;1,"Excluded: not approved",IF(AP450="Contested","Excluded: contested",IF(OR(U450="",U450=0),"Excluded: no tercile",IF(CB450="","Counted (simple tally only — no weight)","Counted")))))))))</f>
        <v/>
      </c>
      <c r="CF450" s="49" t="str">
        <f>IF(AH450="","",IFERROR(INDEX('Prior Multipliers'!$C$6:$C$70,MATCH(LEFT(AH450,10),'Prior Multipliers'!$A$6:$A$70,0)),IFERROR(INDEX('Prior Multipliers'!$C$6:$C$70,MATCH(LEFT(AH450,6),'Prior Multipliers'!$A$6:$A$70,0)),IFERROR(INDEX('Prior Multipliers'!$C$6:$C$70,MATCH(LEFT(AH450,2),'Prior Multipliers'!$A$6:$A$70,0)),1))))</f>
        <v/>
      </c>
      <c r="CG450" s="49" t="str">
        <f>IF(CB450="","",IF(AND('Seasonal Tercile Tally'!$B$5=1,BT450="Rating-based"),CB450*CF450,CB450))</f>
        <v/>
      </c>
      <c r="CH450" s="47">
        <f t="shared" si="184"/>
        <v>0</v>
      </c>
      <c r="CI450" s="45"/>
      <c r="CJ450" s="42" t="str">
        <f t="shared" si="185"/>
        <v/>
      </c>
      <c r="CM450" s="42" t="str">
        <f t="shared" si="186"/>
        <v/>
      </c>
      <c r="CP450" s="46" t="str">
        <f t="shared" si="187"/>
        <v/>
      </c>
      <c r="CS450" s="46" t="str">
        <f t="shared" si="188"/>
        <v/>
      </c>
      <c r="CT450" s="42" t="str">
        <f t="shared" si="189"/>
        <v/>
      </c>
      <c r="CU450" s="42" t="str">
        <f t="shared" si="190"/>
        <v/>
      </c>
      <c r="CV450" s="42" t="str">
        <f t="shared" si="191"/>
        <v/>
      </c>
      <c r="DB450" s="45"/>
      <c r="DH450" s="42" t="str">
        <f t="shared" si="192"/>
        <v/>
      </c>
      <c r="DI450" s="43" t="str">
        <f t="shared" si="193"/>
        <v/>
      </c>
      <c r="DK450" s="46" t="str">
        <f t="shared" si="194"/>
        <v/>
      </c>
      <c r="DQ450" s="42" t="str">
        <f>IF(AH450="","",IFERROR(ROUND(100*('Weighting Options'!$D$7*IF(ISNUMBER(CA450),CA450/3,0)+'Weighting Options'!$D$8*MIN(N(BL450),3)/3+'Weighting Options'!$D$9*IF(AP450="Community/Plenary-endorsed",1,IF(AP450="FGD-validated only",0.75,IF(AP450="Sub-community-specific",0.5,IF(AP450="Provisional/emerging",0.25,0))))+'Weighting Options'!$D$10*IF(ISNUMBER(K450),K450/3,0)+'Weighting Options'!$D$11*IF(CC450="",0.5,IF(CC450="OK",1,0.25))+'Weighting Options'!$D$12*IF(DK450="",0.5,IF(DK450="Agrees",1,IF(DK450="Opposite",0,0.5)))+'Weighting Options'!$D$13*MIN(N(BG450),3)/3+'Weighting Options'!$D$14*IF(AE450=1,1,0))/SUM('Weighting Options'!$D$7:$D$14),0),""))</f>
        <v/>
      </c>
      <c r="DR450" s="44" t="str">
        <f>IF(AH450="","",IFERROR(INDEX('Weighting Options'!$D$20:$D$27,VALUE(LEFT(TRIM(BU450),1))),1))</f>
        <v/>
      </c>
      <c r="DS450" s="44" t="str">
        <f t="shared" si="195"/>
        <v/>
      </c>
      <c r="DT450" s="42" t="str">
        <f>IF(AH450="","",IF(COUNTIFS($AH$12:AH450,AH450,$AI$12:AI450,AI450,$AM$12:AM450,AM450)=1,1,0))</f>
        <v/>
      </c>
    </row>
    <row r="451" spans="16:124" ht="12.75" customHeight="1" x14ac:dyDescent="0.35">
      <c r="P451" s="41"/>
      <c r="Q451" s="41"/>
      <c r="R451" s="41"/>
      <c r="S451" s="41"/>
      <c r="AH451" s="40"/>
      <c r="AP451" s="40"/>
      <c r="AS451" s="41"/>
      <c r="AT451" s="41"/>
      <c r="AW451" t="str">
        <f t="shared" si="168"/>
        <v/>
      </c>
      <c r="AX451" t="str">
        <f t="shared" si="169"/>
        <v/>
      </c>
      <c r="AY451" t="str">
        <f t="shared" si="170"/>
        <v/>
      </c>
      <c r="AZ451" s="40"/>
      <c r="BL451" s="47" t="str">
        <f t="shared" si="171"/>
        <v/>
      </c>
      <c r="BM451" s="47" t="str">
        <f t="shared" si="172"/>
        <v/>
      </c>
      <c r="BN451" s="47" t="str">
        <f t="shared" si="173"/>
        <v/>
      </c>
      <c r="BO451" s="47" t="str">
        <f t="shared" si="174"/>
        <v/>
      </c>
      <c r="BP451" s="47" t="str">
        <f t="shared" si="175"/>
        <v/>
      </c>
      <c r="BQ451" s="48" t="str">
        <f t="shared" si="176"/>
        <v/>
      </c>
      <c r="BR451" s="48" t="str">
        <f t="shared" si="177"/>
        <v/>
      </c>
      <c r="BS451" s="48" t="str">
        <f t="shared" si="178"/>
        <v/>
      </c>
      <c r="BT451" s="47" t="str">
        <f t="shared" si="179"/>
        <v/>
      </c>
      <c r="CA451" s="47" t="str">
        <f t="shared" si="180"/>
        <v/>
      </c>
      <c r="CB451" s="47" t="str">
        <f t="shared" si="181"/>
        <v/>
      </c>
      <c r="CC451" s="47" t="str">
        <f t="shared" si="182"/>
        <v/>
      </c>
      <c r="CD451" s="47" t="str">
        <f t="shared" si="183"/>
        <v/>
      </c>
      <c r="CE451" s="47" t="str">
        <f>IF(AH451="","",IF(OR(AI451&lt;&gt;'Seasonal Tercile Tally'!$B$3,AM451&lt;&gt;'Seasonal Tercile Tally'!$B$4),"Other site/ season",IF(DT451=0,"Excluded: duplicate (later row)",IF(N451&lt;&gt;1,"Excluded: not sighted",IF(AC451&lt;&gt;1,"Excluded: not confirmed",IF(AD451&lt;&gt;1,"Excluded: not approved",IF(AP451="Contested","Excluded: contested",IF(OR(U451="",U451=0),"Excluded: no tercile",IF(CB451="","Counted (simple tally only — no weight)","Counted")))))))))</f>
        <v/>
      </c>
      <c r="CF451" s="49" t="str">
        <f>IF(AH451="","",IFERROR(INDEX('Prior Multipliers'!$C$6:$C$70,MATCH(LEFT(AH451,10),'Prior Multipliers'!$A$6:$A$70,0)),IFERROR(INDEX('Prior Multipliers'!$C$6:$C$70,MATCH(LEFT(AH451,6),'Prior Multipliers'!$A$6:$A$70,0)),IFERROR(INDEX('Prior Multipliers'!$C$6:$C$70,MATCH(LEFT(AH451,2),'Prior Multipliers'!$A$6:$A$70,0)),1))))</f>
        <v/>
      </c>
      <c r="CG451" s="49" t="str">
        <f>IF(CB451="","",IF(AND('Seasonal Tercile Tally'!$B$5=1,BT451="Rating-based"),CB451*CF451,CB451))</f>
        <v/>
      </c>
      <c r="CH451" s="47">
        <f t="shared" si="184"/>
        <v>0</v>
      </c>
      <c r="CI451" s="45"/>
      <c r="CJ451" s="42" t="str">
        <f t="shared" si="185"/>
        <v/>
      </c>
      <c r="CM451" s="42" t="str">
        <f t="shared" si="186"/>
        <v/>
      </c>
      <c r="CP451" s="46" t="str">
        <f t="shared" si="187"/>
        <v/>
      </c>
      <c r="CS451" s="46" t="str">
        <f t="shared" si="188"/>
        <v/>
      </c>
      <c r="CT451" s="42" t="str">
        <f t="shared" si="189"/>
        <v/>
      </c>
      <c r="CU451" s="42" t="str">
        <f t="shared" si="190"/>
        <v/>
      </c>
      <c r="CV451" s="42" t="str">
        <f t="shared" si="191"/>
        <v/>
      </c>
      <c r="DB451" s="45"/>
      <c r="DH451" s="42" t="str">
        <f t="shared" si="192"/>
        <v/>
      </c>
      <c r="DI451" s="43" t="str">
        <f t="shared" si="193"/>
        <v/>
      </c>
      <c r="DK451" s="46" t="str">
        <f t="shared" si="194"/>
        <v/>
      </c>
      <c r="DQ451" s="42" t="str">
        <f>IF(AH451="","",IFERROR(ROUND(100*('Weighting Options'!$D$7*IF(ISNUMBER(CA451),CA451/3,0)+'Weighting Options'!$D$8*MIN(N(BL451),3)/3+'Weighting Options'!$D$9*IF(AP451="Community/Plenary-endorsed",1,IF(AP451="FGD-validated only",0.75,IF(AP451="Sub-community-specific",0.5,IF(AP451="Provisional/emerging",0.25,0))))+'Weighting Options'!$D$10*IF(ISNUMBER(K451),K451/3,0)+'Weighting Options'!$D$11*IF(CC451="",0.5,IF(CC451="OK",1,0.25))+'Weighting Options'!$D$12*IF(DK451="",0.5,IF(DK451="Agrees",1,IF(DK451="Opposite",0,0.5)))+'Weighting Options'!$D$13*MIN(N(BG451),3)/3+'Weighting Options'!$D$14*IF(AE451=1,1,0))/SUM('Weighting Options'!$D$7:$D$14),0),""))</f>
        <v/>
      </c>
      <c r="DR451" s="44" t="str">
        <f>IF(AH451="","",IFERROR(INDEX('Weighting Options'!$D$20:$D$27,VALUE(LEFT(TRIM(BU451),1))),1))</f>
        <v/>
      </c>
      <c r="DS451" s="44" t="str">
        <f t="shared" si="195"/>
        <v/>
      </c>
      <c r="DT451" s="42" t="str">
        <f>IF(AH451="","",IF(COUNTIFS($AH$12:AH451,AH451,$AI$12:AI451,AI451,$AM$12:AM451,AM451)=1,1,0))</f>
        <v/>
      </c>
    </row>
    <row r="452" spans="16:124" ht="12.75" customHeight="1" x14ac:dyDescent="0.35">
      <c r="P452" s="41"/>
      <c r="Q452" s="41"/>
      <c r="R452" s="41"/>
      <c r="S452" s="41"/>
      <c r="AH452" s="40"/>
      <c r="AP452" s="40"/>
      <c r="AS452" s="41"/>
      <c r="AT452" s="41"/>
      <c r="AW452" t="str">
        <f t="shared" si="168"/>
        <v/>
      </c>
      <c r="AX452" t="str">
        <f t="shared" si="169"/>
        <v/>
      </c>
      <c r="AY452" t="str">
        <f t="shared" si="170"/>
        <v/>
      </c>
      <c r="AZ452" s="40"/>
      <c r="BL452" s="47" t="str">
        <f t="shared" si="171"/>
        <v/>
      </c>
      <c r="BM452" s="47" t="str">
        <f t="shared" si="172"/>
        <v/>
      </c>
      <c r="BN452" s="47" t="str">
        <f t="shared" si="173"/>
        <v/>
      </c>
      <c r="BO452" s="47" t="str">
        <f t="shared" si="174"/>
        <v/>
      </c>
      <c r="BP452" s="47" t="str">
        <f t="shared" si="175"/>
        <v/>
      </c>
      <c r="BQ452" s="48" t="str">
        <f t="shared" si="176"/>
        <v/>
      </c>
      <c r="BR452" s="48" t="str">
        <f t="shared" si="177"/>
        <v/>
      </c>
      <c r="BS452" s="48" t="str">
        <f t="shared" si="178"/>
        <v/>
      </c>
      <c r="BT452" s="47" t="str">
        <f t="shared" si="179"/>
        <v/>
      </c>
      <c r="CA452" s="47" t="str">
        <f t="shared" si="180"/>
        <v/>
      </c>
      <c r="CB452" s="47" t="str">
        <f t="shared" si="181"/>
        <v/>
      </c>
      <c r="CC452" s="47" t="str">
        <f t="shared" si="182"/>
        <v/>
      </c>
      <c r="CD452" s="47" t="str">
        <f t="shared" si="183"/>
        <v/>
      </c>
      <c r="CE452" s="47" t="str">
        <f>IF(AH452="","",IF(OR(AI452&lt;&gt;'Seasonal Tercile Tally'!$B$3,AM452&lt;&gt;'Seasonal Tercile Tally'!$B$4),"Other site/ season",IF(DT452=0,"Excluded: duplicate (later row)",IF(N452&lt;&gt;1,"Excluded: not sighted",IF(AC452&lt;&gt;1,"Excluded: not confirmed",IF(AD452&lt;&gt;1,"Excluded: not approved",IF(AP452="Contested","Excluded: contested",IF(OR(U452="",U452=0),"Excluded: no tercile",IF(CB452="","Counted (simple tally only — no weight)","Counted")))))))))</f>
        <v/>
      </c>
      <c r="CF452" s="49" t="str">
        <f>IF(AH452="","",IFERROR(INDEX('Prior Multipliers'!$C$6:$C$70,MATCH(LEFT(AH452,10),'Prior Multipliers'!$A$6:$A$70,0)),IFERROR(INDEX('Prior Multipliers'!$C$6:$C$70,MATCH(LEFT(AH452,6),'Prior Multipliers'!$A$6:$A$70,0)),IFERROR(INDEX('Prior Multipliers'!$C$6:$C$70,MATCH(LEFT(AH452,2),'Prior Multipliers'!$A$6:$A$70,0)),1))))</f>
        <v/>
      </c>
      <c r="CG452" s="49" t="str">
        <f>IF(CB452="","",IF(AND('Seasonal Tercile Tally'!$B$5=1,BT452="Rating-based"),CB452*CF452,CB452))</f>
        <v/>
      </c>
      <c r="CH452" s="47">
        <f t="shared" si="184"/>
        <v>0</v>
      </c>
      <c r="CI452" s="45"/>
      <c r="CJ452" s="42" t="str">
        <f t="shared" si="185"/>
        <v/>
      </c>
      <c r="CM452" s="42" t="str">
        <f t="shared" si="186"/>
        <v/>
      </c>
      <c r="CP452" s="46" t="str">
        <f t="shared" si="187"/>
        <v/>
      </c>
      <c r="CS452" s="46" t="str">
        <f t="shared" si="188"/>
        <v/>
      </c>
      <c r="CT452" s="42" t="str">
        <f t="shared" si="189"/>
        <v/>
      </c>
      <c r="CU452" s="42" t="str">
        <f t="shared" si="190"/>
        <v/>
      </c>
      <c r="CV452" s="42" t="str">
        <f t="shared" si="191"/>
        <v/>
      </c>
      <c r="DB452" s="45"/>
      <c r="DH452" s="42" t="str">
        <f t="shared" si="192"/>
        <v/>
      </c>
      <c r="DI452" s="43" t="str">
        <f t="shared" si="193"/>
        <v/>
      </c>
      <c r="DK452" s="46" t="str">
        <f t="shared" si="194"/>
        <v/>
      </c>
      <c r="DQ452" s="42" t="str">
        <f>IF(AH452="","",IFERROR(ROUND(100*('Weighting Options'!$D$7*IF(ISNUMBER(CA452),CA452/3,0)+'Weighting Options'!$D$8*MIN(N(BL452),3)/3+'Weighting Options'!$D$9*IF(AP452="Community/Plenary-endorsed",1,IF(AP452="FGD-validated only",0.75,IF(AP452="Sub-community-specific",0.5,IF(AP452="Provisional/emerging",0.25,0))))+'Weighting Options'!$D$10*IF(ISNUMBER(K452),K452/3,0)+'Weighting Options'!$D$11*IF(CC452="",0.5,IF(CC452="OK",1,0.25))+'Weighting Options'!$D$12*IF(DK452="",0.5,IF(DK452="Agrees",1,IF(DK452="Opposite",0,0.5)))+'Weighting Options'!$D$13*MIN(N(BG452),3)/3+'Weighting Options'!$D$14*IF(AE452=1,1,0))/SUM('Weighting Options'!$D$7:$D$14),0),""))</f>
        <v/>
      </c>
      <c r="DR452" s="44" t="str">
        <f>IF(AH452="","",IFERROR(INDEX('Weighting Options'!$D$20:$D$27,VALUE(LEFT(TRIM(BU452),1))),1))</f>
        <v/>
      </c>
      <c r="DS452" s="44" t="str">
        <f t="shared" si="195"/>
        <v/>
      </c>
      <c r="DT452" s="42" t="str">
        <f>IF(AH452="","",IF(COUNTIFS($AH$12:AH452,AH452,$AI$12:AI452,AI452,$AM$12:AM452,AM452)=1,1,0))</f>
        <v/>
      </c>
    </row>
    <row r="453" spans="16:124" ht="12.75" customHeight="1" x14ac:dyDescent="0.35">
      <c r="P453" s="41"/>
      <c r="Q453" s="41"/>
      <c r="R453" s="41"/>
      <c r="S453" s="41"/>
      <c r="AH453" s="40"/>
      <c r="AP453" s="40"/>
      <c r="AS453" s="41"/>
      <c r="AT453" s="41"/>
      <c r="AW453" t="str">
        <f t="shared" si="168"/>
        <v/>
      </c>
      <c r="AX453" t="str">
        <f t="shared" si="169"/>
        <v/>
      </c>
      <c r="AY453" t="str">
        <f t="shared" si="170"/>
        <v/>
      </c>
      <c r="AZ453" s="40"/>
      <c r="BL453" s="47" t="str">
        <f t="shared" si="171"/>
        <v/>
      </c>
      <c r="BM453" s="47" t="str">
        <f t="shared" si="172"/>
        <v/>
      </c>
      <c r="BN453" s="47" t="str">
        <f t="shared" si="173"/>
        <v/>
      </c>
      <c r="BO453" s="47" t="str">
        <f t="shared" si="174"/>
        <v/>
      </c>
      <c r="BP453" s="47" t="str">
        <f t="shared" si="175"/>
        <v/>
      </c>
      <c r="BQ453" s="48" t="str">
        <f t="shared" si="176"/>
        <v/>
      </c>
      <c r="BR453" s="48" t="str">
        <f t="shared" si="177"/>
        <v/>
      </c>
      <c r="BS453" s="48" t="str">
        <f t="shared" si="178"/>
        <v/>
      </c>
      <c r="BT453" s="47" t="str">
        <f t="shared" si="179"/>
        <v/>
      </c>
      <c r="CA453" s="47" t="str">
        <f t="shared" si="180"/>
        <v/>
      </c>
      <c r="CB453" s="47" t="str">
        <f t="shared" si="181"/>
        <v/>
      </c>
      <c r="CC453" s="47" t="str">
        <f t="shared" si="182"/>
        <v/>
      </c>
      <c r="CD453" s="47" t="str">
        <f t="shared" si="183"/>
        <v/>
      </c>
      <c r="CE453" s="47" t="str">
        <f>IF(AH453="","",IF(OR(AI453&lt;&gt;'Seasonal Tercile Tally'!$B$3,AM453&lt;&gt;'Seasonal Tercile Tally'!$B$4),"Other site/ season",IF(DT453=0,"Excluded: duplicate (later row)",IF(N453&lt;&gt;1,"Excluded: not sighted",IF(AC453&lt;&gt;1,"Excluded: not confirmed",IF(AD453&lt;&gt;1,"Excluded: not approved",IF(AP453="Contested","Excluded: contested",IF(OR(U453="",U453=0),"Excluded: no tercile",IF(CB453="","Counted (simple tally only — no weight)","Counted")))))))))</f>
        <v/>
      </c>
      <c r="CF453" s="49" t="str">
        <f>IF(AH453="","",IFERROR(INDEX('Prior Multipliers'!$C$6:$C$70,MATCH(LEFT(AH453,10),'Prior Multipliers'!$A$6:$A$70,0)),IFERROR(INDEX('Prior Multipliers'!$C$6:$C$70,MATCH(LEFT(AH453,6),'Prior Multipliers'!$A$6:$A$70,0)),IFERROR(INDEX('Prior Multipliers'!$C$6:$C$70,MATCH(LEFT(AH453,2),'Prior Multipliers'!$A$6:$A$70,0)),1))))</f>
        <v/>
      </c>
      <c r="CG453" s="49" t="str">
        <f>IF(CB453="","",IF(AND('Seasonal Tercile Tally'!$B$5=1,BT453="Rating-based"),CB453*CF453,CB453))</f>
        <v/>
      </c>
      <c r="CH453" s="47">
        <f t="shared" si="184"/>
        <v>0</v>
      </c>
      <c r="CI453" s="45"/>
      <c r="CJ453" s="42" t="str">
        <f t="shared" si="185"/>
        <v/>
      </c>
      <c r="CM453" s="42" t="str">
        <f t="shared" si="186"/>
        <v/>
      </c>
      <c r="CP453" s="46" t="str">
        <f t="shared" si="187"/>
        <v/>
      </c>
      <c r="CS453" s="46" t="str">
        <f t="shared" si="188"/>
        <v/>
      </c>
      <c r="CT453" s="42" t="str">
        <f t="shared" si="189"/>
        <v/>
      </c>
      <c r="CU453" s="42" t="str">
        <f t="shared" si="190"/>
        <v/>
      </c>
      <c r="CV453" s="42" t="str">
        <f t="shared" si="191"/>
        <v/>
      </c>
      <c r="DB453" s="45"/>
      <c r="DH453" s="42" t="str">
        <f t="shared" si="192"/>
        <v/>
      </c>
      <c r="DI453" s="43" t="str">
        <f t="shared" si="193"/>
        <v/>
      </c>
      <c r="DK453" s="46" t="str">
        <f t="shared" si="194"/>
        <v/>
      </c>
      <c r="DQ453" s="42" t="str">
        <f>IF(AH453="","",IFERROR(ROUND(100*('Weighting Options'!$D$7*IF(ISNUMBER(CA453),CA453/3,0)+'Weighting Options'!$D$8*MIN(N(BL453),3)/3+'Weighting Options'!$D$9*IF(AP453="Community/Plenary-endorsed",1,IF(AP453="FGD-validated only",0.75,IF(AP453="Sub-community-specific",0.5,IF(AP453="Provisional/emerging",0.25,0))))+'Weighting Options'!$D$10*IF(ISNUMBER(K453),K453/3,0)+'Weighting Options'!$D$11*IF(CC453="",0.5,IF(CC453="OK",1,0.25))+'Weighting Options'!$D$12*IF(DK453="",0.5,IF(DK453="Agrees",1,IF(DK453="Opposite",0,0.5)))+'Weighting Options'!$D$13*MIN(N(BG453),3)/3+'Weighting Options'!$D$14*IF(AE453=1,1,0))/SUM('Weighting Options'!$D$7:$D$14),0),""))</f>
        <v/>
      </c>
      <c r="DR453" s="44" t="str">
        <f>IF(AH453="","",IFERROR(INDEX('Weighting Options'!$D$20:$D$27,VALUE(LEFT(TRIM(BU453),1))),1))</f>
        <v/>
      </c>
      <c r="DS453" s="44" t="str">
        <f t="shared" si="195"/>
        <v/>
      </c>
      <c r="DT453" s="42" t="str">
        <f>IF(AH453="","",IF(COUNTIFS($AH$12:AH453,AH453,$AI$12:AI453,AI453,$AM$12:AM453,AM453)=1,1,0))</f>
        <v/>
      </c>
    </row>
    <row r="454" spans="16:124" ht="12.75" customHeight="1" x14ac:dyDescent="0.35">
      <c r="P454" s="41"/>
      <c r="Q454" s="41"/>
      <c r="R454" s="41"/>
      <c r="S454" s="41"/>
      <c r="AH454" s="40"/>
      <c r="AP454" s="40"/>
      <c r="AS454" s="41"/>
      <c r="AT454" s="41"/>
      <c r="AW454" t="str">
        <f t="shared" si="168"/>
        <v/>
      </c>
      <c r="AX454" t="str">
        <f t="shared" si="169"/>
        <v/>
      </c>
      <c r="AY454" t="str">
        <f t="shared" si="170"/>
        <v/>
      </c>
      <c r="AZ454" s="40"/>
      <c r="BL454" s="47" t="str">
        <f t="shared" si="171"/>
        <v/>
      </c>
      <c r="BM454" s="47" t="str">
        <f t="shared" si="172"/>
        <v/>
      </c>
      <c r="BN454" s="47" t="str">
        <f t="shared" si="173"/>
        <v/>
      </c>
      <c r="BO454" s="47" t="str">
        <f t="shared" si="174"/>
        <v/>
      </c>
      <c r="BP454" s="47" t="str">
        <f t="shared" si="175"/>
        <v/>
      </c>
      <c r="BQ454" s="48" t="str">
        <f t="shared" si="176"/>
        <v/>
      </c>
      <c r="BR454" s="48" t="str">
        <f t="shared" si="177"/>
        <v/>
      </c>
      <c r="BS454" s="48" t="str">
        <f t="shared" si="178"/>
        <v/>
      </c>
      <c r="BT454" s="47" t="str">
        <f t="shared" si="179"/>
        <v/>
      </c>
      <c r="CA454" s="47" t="str">
        <f t="shared" si="180"/>
        <v/>
      </c>
      <c r="CB454" s="47" t="str">
        <f t="shared" si="181"/>
        <v/>
      </c>
      <c r="CC454" s="47" t="str">
        <f t="shared" si="182"/>
        <v/>
      </c>
      <c r="CD454" s="47" t="str">
        <f t="shared" si="183"/>
        <v/>
      </c>
      <c r="CE454" s="47" t="str">
        <f>IF(AH454="","",IF(OR(AI454&lt;&gt;'Seasonal Tercile Tally'!$B$3,AM454&lt;&gt;'Seasonal Tercile Tally'!$B$4),"Other site/ season",IF(DT454=0,"Excluded: duplicate (later row)",IF(N454&lt;&gt;1,"Excluded: not sighted",IF(AC454&lt;&gt;1,"Excluded: not confirmed",IF(AD454&lt;&gt;1,"Excluded: not approved",IF(AP454="Contested","Excluded: contested",IF(OR(U454="",U454=0),"Excluded: no tercile",IF(CB454="","Counted (simple tally only — no weight)","Counted")))))))))</f>
        <v/>
      </c>
      <c r="CF454" s="49" t="str">
        <f>IF(AH454="","",IFERROR(INDEX('Prior Multipliers'!$C$6:$C$70,MATCH(LEFT(AH454,10),'Prior Multipliers'!$A$6:$A$70,0)),IFERROR(INDEX('Prior Multipliers'!$C$6:$C$70,MATCH(LEFT(AH454,6),'Prior Multipliers'!$A$6:$A$70,0)),IFERROR(INDEX('Prior Multipliers'!$C$6:$C$70,MATCH(LEFT(AH454,2),'Prior Multipliers'!$A$6:$A$70,0)),1))))</f>
        <v/>
      </c>
      <c r="CG454" s="49" t="str">
        <f>IF(CB454="","",IF(AND('Seasonal Tercile Tally'!$B$5=1,BT454="Rating-based"),CB454*CF454,CB454))</f>
        <v/>
      </c>
      <c r="CH454" s="47">
        <f t="shared" si="184"/>
        <v>0</v>
      </c>
      <c r="CI454" s="45"/>
      <c r="CJ454" s="42" t="str">
        <f t="shared" si="185"/>
        <v/>
      </c>
      <c r="CM454" s="42" t="str">
        <f t="shared" si="186"/>
        <v/>
      </c>
      <c r="CP454" s="46" t="str">
        <f t="shared" si="187"/>
        <v/>
      </c>
      <c r="CS454" s="46" t="str">
        <f t="shared" si="188"/>
        <v/>
      </c>
      <c r="CT454" s="42" t="str">
        <f t="shared" si="189"/>
        <v/>
      </c>
      <c r="CU454" s="42" t="str">
        <f t="shared" si="190"/>
        <v/>
      </c>
      <c r="CV454" s="42" t="str">
        <f t="shared" si="191"/>
        <v/>
      </c>
      <c r="DB454" s="45"/>
      <c r="DH454" s="42" t="str">
        <f t="shared" si="192"/>
        <v/>
      </c>
      <c r="DI454" s="43" t="str">
        <f t="shared" si="193"/>
        <v/>
      </c>
      <c r="DK454" s="46" t="str">
        <f t="shared" si="194"/>
        <v/>
      </c>
      <c r="DQ454" s="42" t="str">
        <f>IF(AH454="","",IFERROR(ROUND(100*('Weighting Options'!$D$7*IF(ISNUMBER(CA454),CA454/3,0)+'Weighting Options'!$D$8*MIN(N(BL454),3)/3+'Weighting Options'!$D$9*IF(AP454="Community/Plenary-endorsed",1,IF(AP454="FGD-validated only",0.75,IF(AP454="Sub-community-specific",0.5,IF(AP454="Provisional/emerging",0.25,0))))+'Weighting Options'!$D$10*IF(ISNUMBER(K454),K454/3,0)+'Weighting Options'!$D$11*IF(CC454="",0.5,IF(CC454="OK",1,0.25))+'Weighting Options'!$D$12*IF(DK454="",0.5,IF(DK454="Agrees",1,IF(DK454="Opposite",0,0.5)))+'Weighting Options'!$D$13*MIN(N(BG454),3)/3+'Weighting Options'!$D$14*IF(AE454=1,1,0))/SUM('Weighting Options'!$D$7:$D$14),0),""))</f>
        <v/>
      </c>
      <c r="DR454" s="44" t="str">
        <f>IF(AH454="","",IFERROR(INDEX('Weighting Options'!$D$20:$D$27,VALUE(LEFT(TRIM(BU454),1))),1))</f>
        <v/>
      </c>
      <c r="DS454" s="44" t="str">
        <f t="shared" si="195"/>
        <v/>
      </c>
      <c r="DT454" s="42" t="str">
        <f>IF(AH454="","",IF(COUNTIFS($AH$12:AH454,AH454,$AI$12:AI454,AI454,$AM$12:AM454,AM454)=1,1,0))</f>
        <v/>
      </c>
    </row>
    <row r="455" spans="16:124" ht="12.75" customHeight="1" x14ac:dyDescent="0.35">
      <c r="P455" s="41"/>
      <c r="Q455" s="41"/>
      <c r="R455" s="41"/>
      <c r="S455" s="41"/>
      <c r="AH455" s="40"/>
      <c r="AP455" s="40"/>
      <c r="AS455" s="41"/>
      <c r="AT455" s="41"/>
      <c r="AW455" t="str">
        <f t="shared" si="168"/>
        <v/>
      </c>
      <c r="AX455" t="str">
        <f t="shared" si="169"/>
        <v/>
      </c>
      <c r="AY455" t="str">
        <f t="shared" si="170"/>
        <v/>
      </c>
      <c r="AZ455" s="40"/>
      <c r="BL455" s="47" t="str">
        <f t="shared" si="171"/>
        <v/>
      </c>
      <c r="BM455" s="47" t="str">
        <f t="shared" si="172"/>
        <v/>
      </c>
      <c r="BN455" s="47" t="str">
        <f t="shared" si="173"/>
        <v/>
      </c>
      <c r="BO455" s="47" t="str">
        <f t="shared" si="174"/>
        <v/>
      </c>
      <c r="BP455" s="47" t="str">
        <f t="shared" si="175"/>
        <v/>
      </c>
      <c r="BQ455" s="48" t="str">
        <f t="shared" si="176"/>
        <v/>
      </c>
      <c r="BR455" s="48" t="str">
        <f t="shared" si="177"/>
        <v/>
      </c>
      <c r="BS455" s="48" t="str">
        <f t="shared" si="178"/>
        <v/>
      </c>
      <c r="BT455" s="47" t="str">
        <f t="shared" si="179"/>
        <v/>
      </c>
      <c r="CA455" s="47" t="str">
        <f t="shared" si="180"/>
        <v/>
      </c>
      <c r="CB455" s="47" t="str">
        <f t="shared" si="181"/>
        <v/>
      </c>
      <c r="CC455" s="47" t="str">
        <f t="shared" si="182"/>
        <v/>
      </c>
      <c r="CD455" s="47" t="str">
        <f t="shared" si="183"/>
        <v/>
      </c>
      <c r="CE455" s="47" t="str">
        <f>IF(AH455="","",IF(OR(AI455&lt;&gt;'Seasonal Tercile Tally'!$B$3,AM455&lt;&gt;'Seasonal Tercile Tally'!$B$4),"Other site/ season",IF(DT455=0,"Excluded: duplicate (later row)",IF(N455&lt;&gt;1,"Excluded: not sighted",IF(AC455&lt;&gt;1,"Excluded: not confirmed",IF(AD455&lt;&gt;1,"Excluded: not approved",IF(AP455="Contested","Excluded: contested",IF(OR(U455="",U455=0),"Excluded: no tercile",IF(CB455="","Counted (simple tally only — no weight)","Counted")))))))))</f>
        <v/>
      </c>
      <c r="CF455" s="49" t="str">
        <f>IF(AH455="","",IFERROR(INDEX('Prior Multipliers'!$C$6:$C$70,MATCH(LEFT(AH455,10),'Prior Multipliers'!$A$6:$A$70,0)),IFERROR(INDEX('Prior Multipliers'!$C$6:$C$70,MATCH(LEFT(AH455,6),'Prior Multipliers'!$A$6:$A$70,0)),IFERROR(INDEX('Prior Multipliers'!$C$6:$C$70,MATCH(LEFT(AH455,2),'Prior Multipliers'!$A$6:$A$70,0)),1))))</f>
        <v/>
      </c>
      <c r="CG455" s="49" t="str">
        <f>IF(CB455="","",IF(AND('Seasonal Tercile Tally'!$B$5=1,BT455="Rating-based"),CB455*CF455,CB455))</f>
        <v/>
      </c>
      <c r="CH455" s="47">
        <f t="shared" si="184"/>
        <v>0</v>
      </c>
      <c r="CI455" s="45"/>
      <c r="CJ455" s="42" t="str">
        <f t="shared" si="185"/>
        <v/>
      </c>
      <c r="CM455" s="42" t="str">
        <f t="shared" si="186"/>
        <v/>
      </c>
      <c r="CP455" s="46" t="str">
        <f t="shared" si="187"/>
        <v/>
      </c>
      <c r="CS455" s="46" t="str">
        <f t="shared" si="188"/>
        <v/>
      </c>
      <c r="CT455" s="42" t="str">
        <f t="shared" si="189"/>
        <v/>
      </c>
      <c r="CU455" s="42" t="str">
        <f t="shared" si="190"/>
        <v/>
      </c>
      <c r="CV455" s="42" t="str">
        <f t="shared" si="191"/>
        <v/>
      </c>
      <c r="DB455" s="45"/>
      <c r="DH455" s="42" t="str">
        <f t="shared" si="192"/>
        <v/>
      </c>
      <c r="DI455" s="43" t="str">
        <f t="shared" si="193"/>
        <v/>
      </c>
      <c r="DK455" s="46" t="str">
        <f t="shared" si="194"/>
        <v/>
      </c>
      <c r="DQ455" s="42" t="str">
        <f>IF(AH455="","",IFERROR(ROUND(100*('Weighting Options'!$D$7*IF(ISNUMBER(CA455),CA455/3,0)+'Weighting Options'!$D$8*MIN(N(BL455),3)/3+'Weighting Options'!$D$9*IF(AP455="Community/Plenary-endorsed",1,IF(AP455="FGD-validated only",0.75,IF(AP455="Sub-community-specific",0.5,IF(AP455="Provisional/emerging",0.25,0))))+'Weighting Options'!$D$10*IF(ISNUMBER(K455),K455/3,0)+'Weighting Options'!$D$11*IF(CC455="",0.5,IF(CC455="OK",1,0.25))+'Weighting Options'!$D$12*IF(DK455="",0.5,IF(DK455="Agrees",1,IF(DK455="Opposite",0,0.5)))+'Weighting Options'!$D$13*MIN(N(BG455),3)/3+'Weighting Options'!$D$14*IF(AE455=1,1,0))/SUM('Weighting Options'!$D$7:$D$14),0),""))</f>
        <v/>
      </c>
      <c r="DR455" s="44" t="str">
        <f>IF(AH455="","",IFERROR(INDEX('Weighting Options'!$D$20:$D$27,VALUE(LEFT(TRIM(BU455),1))),1))</f>
        <v/>
      </c>
      <c r="DS455" s="44" t="str">
        <f t="shared" si="195"/>
        <v/>
      </c>
      <c r="DT455" s="42" t="str">
        <f>IF(AH455="","",IF(COUNTIFS($AH$12:AH455,AH455,$AI$12:AI455,AI455,$AM$12:AM455,AM455)=1,1,0))</f>
        <v/>
      </c>
    </row>
    <row r="456" spans="16:124" ht="12.75" customHeight="1" x14ac:dyDescent="0.35">
      <c r="P456" s="41"/>
      <c r="Q456" s="41"/>
      <c r="R456" s="41"/>
      <c r="S456" s="41"/>
      <c r="AH456" s="40"/>
      <c r="AP456" s="40"/>
      <c r="AS456" s="41"/>
      <c r="AT456" s="41"/>
      <c r="AW456" t="str">
        <f t="shared" si="168"/>
        <v/>
      </c>
      <c r="AX456" t="str">
        <f t="shared" si="169"/>
        <v/>
      </c>
      <c r="AY456" t="str">
        <f t="shared" si="170"/>
        <v/>
      </c>
      <c r="AZ456" s="40"/>
      <c r="BL456" s="47" t="str">
        <f t="shared" si="171"/>
        <v/>
      </c>
      <c r="BM456" s="47" t="str">
        <f t="shared" si="172"/>
        <v/>
      </c>
      <c r="BN456" s="47" t="str">
        <f t="shared" si="173"/>
        <v/>
      </c>
      <c r="BO456" s="47" t="str">
        <f t="shared" si="174"/>
        <v/>
      </c>
      <c r="BP456" s="47" t="str">
        <f t="shared" si="175"/>
        <v/>
      </c>
      <c r="BQ456" s="48" t="str">
        <f t="shared" si="176"/>
        <v/>
      </c>
      <c r="BR456" s="48" t="str">
        <f t="shared" si="177"/>
        <v/>
      </c>
      <c r="BS456" s="48" t="str">
        <f t="shared" si="178"/>
        <v/>
      </c>
      <c r="BT456" s="47" t="str">
        <f t="shared" si="179"/>
        <v/>
      </c>
      <c r="CA456" s="47" t="str">
        <f t="shared" si="180"/>
        <v/>
      </c>
      <c r="CB456" s="47" t="str">
        <f t="shared" si="181"/>
        <v/>
      </c>
      <c r="CC456" s="47" t="str">
        <f t="shared" si="182"/>
        <v/>
      </c>
      <c r="CD456" s="47" t="str">
        <f t="shared" si="183"/>
        <v/>
      </c>
      <c r="CE456" s="47" t="str">
        <f>IF(AH456="","",IF(OR(AI456&lt;&gt;'Seasonal Tercile Tally'!$B$3,AM456&lt;&gt;'Seasonal Tercile Tally'!$B$4),"Other site/ season",IF(DT456=0,"Excluded: duplicate (later row)",IF(N456&lt;&gt;1,"Excluded: not sighted",IF(AC456&lt;&gt;1,"Excluded: not confirmed",IF(AD456&lt;&gt;1,"Excluded: not approved",IF(AP456="Contested","Excluded: contested",IF(OR(U456="",U456=0),"Excluded: no tercile",IF(CB456="","Counted (simple tally only — no weight)","Counted")))))))))</f>
        <v/>
      </c>
      <c r="CF456" s="49" t="str">
        <f>IF(AH456="","",IFERROR(INDEX('Prior Multipliers'!$C$6:$C$70,MATCH(LEFT(AH456,10),'Prior Multipliers'!$A$6:$A$70,0)),IFERROR(INDEX('Prior Multipliers'!$C$6:$C$70,MATCH(LEFT(AH456,6),'Prior Multipliers'!$A$6:$A$70,0)),IFERROR(INDEX('Prior Multipliers'!$C$6:$C$70,MATCH(LEFT(AH456,2),'Prior Multipliers'!$A$6:$A$70,0)),1))))</f>
        <v/>
      </c>
      <c r="CG456" s="49" t="str">
        <f>IF(CB456="","",IF(AND('Seasonal Tercile Tally'!$B$5=1,BT456="Rating-based"),CB456*CF456,CB456))</f>
        <v/>
      </c>
      <c r="CH456" s="47">
        <f t="shared" si="184"/>
        <v>0</v>
      </c>
      <c r="CI456" s="45"/>
      <c r="CJ456" s="42" t="str">
        <f t="shared" si="185"/>
        <v/>
      </c>
      <c r="CM456" s="42" t="str">
        <f t="shared" si="186"/>
        <v/>
      </c>
      <c r="CP456" s="46" t="str">
        <f t="shared" si="187"/>
        <v/>
      </c>
      <c r="CS456" s="46" t="str">
        <f t="shared" si="188"/>
        <v/>
      </c>
      <c r="CT456" s="42" t="str">
        <f t="shared" si="189"/>
        <v/>
      </c>
      <c r="CU456" s="42" t="str">
        <f t="shared" si="190"/>
        <v/>
      </c>
      <c r="CV456" s="42" t="str">
        <f t="shared" si="191"/>
        <v/>
      </c>
      <c r="DB456" s="45"/>
      <c r="DH456" s="42" t="str">
        <f t="shared" si="192"/>
        <v/>
      </c>
      <c r="DI456" s="43" t="str">
        <f t="shared" si="193"/>
        <v/>
      </c>
      <c r="DK456" s="46" t="str">
        <f t="shared" si="194"/>
        <v/>
      </c>
      <c r="DQ456" s="42" t="str">
        <f>IF(AH456="","",IFERROR(ROUND(100*('Weighting Options'!$D$7*IF(ISNUMBER(CA456),CA456/3,0)+'Weighting Options'!$D$8*MIN(N(BL456),3)/3+'Weighting Options'!$D$9*IF(AP456="Community/Plenary-endorsed",1,IF(AP456="FGD-validated only",0.75,IF(AP456="Sub-community-specific",0.5,IF(AP456="Provisional/emerging",0.25,0))))+'Weighting Options'!$D$10*IF(ISNUMBER(K456),K456/3,0)+'Weighting Options'!$D$11*IF(CC456="",0.5,IF(CC456="OK",1,0.25))+'Weighting Options'!$D$12*IF(DK456="",0.5,IF(DK456="Agrees",1,IF(DK456="Opposite",0,0.5)))+'Weighting Options'!$D$13*MIN(N(BG456),3)/3+'Weighting Options'!$D$14*IF(AE456=1,1,0))/SUM('Weighting Options'!$D$7:$D$14),0),""))</f>
        <v/>
      </c>
      <c r="DR456" s="44" t="str">
        <f>IF(AH456="","",IFERROR(INDEX('Weighting Options'!$D$20:$D$27,VALUE(LEFT(TRIM(BU456),1))),1))</f>
        <v/>
      </c>
      <c r="DS456" s="44" t="str">
        <f t="shared" si="195"/>
        <v/>
      </c>
      <c r="DT456" s="42" t="str">
        <f>IF(AH456="","",IF(COUNTIFS($AH$12:AH456,AH456,$AI$12:AI456,AI456,$AM$12:AM456,AM456)=1,1,0))</f>
        <v/>
      </c>
    </row>
    <row r="457" spans="16:124" ht="12.75" customHeight="1" x14ac:dyDescent="0.35">
      <c r="P457" s="41"/>
      <c r="Q457" s="41"/>
      <c r="R457" s="41"/>
      <c r="S457" s="41"/>
      <c r="AH457" s="40"/>
      <c r="AP457" s="40"/>
      <c r="AS457" s="41"/>
      <c r="AT457" s="41"/>
      <c r="AW457" t="str">
        <f t="shared" si="168"/>
        <v/>
      </c>
      <c r="AX457" t="str">
        <f t="shared" si="169"/>
        <v/>
      </c>
      <c r="AY457" t="str">
        <f t="shared" si="170"/>
        <v/>
      </c>
      <c r="AZ457" s="40"/>
      <c r="BL457" s="47" t="str">
        <f t="shared" si="171"/>
        <v/>
      </c>
      <c r="BM457" s="47" t="str">
        <f t="shared" si="172"/>
        <v/>
      </c>
      <c r="BN457" s="47" t="str">
        <f t="shared" si="173"/>
        <v/>
      </c>
      <c r="BO457" s="47" t="str">
        <f t="shared" si="174"/>
        <v/>
      </c>
      <c r="BP457" s="47" t="str">
        <f t="shared" si="175"/>
        <v/>
      </c>
      <c r="BQ457" s="48" t="str">
        <f t="shared" si="176"/>
        <v/>
      </c>
      <c r="BR457" s="48" t="str">
        <f t="shared" si="177"/>
        <v/>
      </c>
      <c r="BS457" s="48" t="str">
        <f t="shared" si="178"/>
        <v/>
      </c>
      <c r="BT457" s="47" t="str">
        <f t="shared" si="179"/>
        <v/>
      </c>
      <c r="CA457" s="47" t="str">
        <f t="shared" si="180"/>
        <v/>
      </c>
      <c r="CB457" s="47" t="str">
        <f t="shared" si="181"/>
        <v/>
      </c>
      <c r="CC457" s="47" t="str">
        <f t="shared" si="182"/>
        <v/>
      </c>
      <c r="CD457" s="47" t="str">
        <f t="shared" si="183"/>
        <v/>
      </c>
      <c r="CE457" s="47" t="str">
        <f>IF(AH457="","",IF(OR(AI457&lt;&gt;'Seasonal Tercile Tally'!$B$3,AM457&lt;&gt;'Seasonal Tercile Tally'!$B$4),"Other site/ season",IF(DT457=0,"Excluded: duplicate (later row)",IF(N457&lt;&gt;1,"Excluded: not sighted",IF(AC457&lt;&gt;1,"Excluded: not confirmed",IF(AD457&lt;&gt;1,"Excluded: not approved",IF(AP457="Contested","Excluded: contested",IF(OR(U457="",U457=0),"Excluded: no tercile",IF(CB457="","Counted (simple tally only — no weight)","Counted")))))))))</f>
        <v/>
      </c>
      <c r="CF457" s="49" t="str">
        <f>IF(AH457="","",IFERROR(INDEX('Prior Multipliers'!$C$6:$C$70,MATCH(LEFT(AH457,10),'Prior Multipliers'!$A$6:$A$70,0)),IFERROR(INDEX('Prior Multipliers'!$C$6:$C$70,MATCH(LEFT(AH457,6),'Prior Multipliers'!$A$6:$A$70,0)),IFERROR(INDEX('Prior Multipliers'!$C$6:$C$70,MATCH(LEFT(AH457,2),'Prior Multipliers'!$A$6:$A$70,0)),1))))</f>
        <v/>
      </c>
      <c r="CG457" s="49" t="str">
        <f>IF(CB457="","",IF(AND('Seasonal Tercile Tally'!$B$5=1,BT457="Rating-based"),CB457*CF457,CB457))</f>
        <v/>
      </c>
      <c r="CH457" s="47">
        <f t="shared" si="184"/>
        <v>0</v>
      </c>
      <c r="CI457" s="45"/>
      <c r="CJ457" s="42" t="str">
        <f t="shared" si="185"/>
        <v/>
      </c>
      <c r="CM457" s="42" t="str">
        <f t="shared" si="186"/>
        <v/>
      </c>
      <c r="CP457" s="46" t="str">
        <f t="shared" si="187"/>
        <v/>
      </c>
      <c r="CS457" s="46" t="str">
        <f t="shared" si="188"/>
        <v/>
      </c>
      <c r="CT457" s="42" t="str">
        <f t="shared" si="189"/>
        <v/>
      </c>
      <c r="CU457" s="42" t="str">
        <f t="shared" si="190"/>
        <v/>
      </c>
      <c r="CV457" s="42" t="str">
        <f t="shared" si="191"/>
        <v/>
      </c>
      <c r="DB457" s="45"/>
      <c r="DH457" s="42" t="str">
        <f t="shared" si="192"/>
        <v/>
      </c>
      <c r="DI457" s="43" t="str">
        <f t="shared" si="193"/>
        <v/>
      </c>
      <c r="DK457" s="46" t="str">
        <f t="shared" si="194"/>
        <v/>
      </c>
      <c r="DQ457" s="42" t="str">
        <f>IF(AH457="","",IFERROR(ROUND(100*('Weighting Options'!$D$7*IF(ISNUMBER(CA457),CA457/3,0)+'Weighting Options'!$D$8*MIN(N(BL457),3)/3+'Weighting Options'!$D$9*IF(AP457="Community/Plenary-endorsed",1,IF(AP457="FGD-validated only",0.75,IF(AP457="Sub-community-specific",0.5,IF(AP457="Provisional/emerging",0.25,0))))+'Weighting Options'!$D$10*IF(ISNUMBER(K457),K457/3,0)+'Weighting Options'!$D$11*IF(CC457="",0.5,IF(CC457="OK",1,0.25))+'Weighting Options'!$D$12*IF(DK457="",0.5,IF(DK457="Agrees",1,IF(DK457="Opposite",0,0.5)))+'Weighting Options'!$D$13*MIN(N(BG457),3)/3+'Weighting Options'!$D$14*IF(AE457=1,1,0))/SUM('Weighting Options'!$D$7:$D$14),0),""))</f>
        <v/>
      </c>
      <c r="DR457" s="44" t="str">
        <f>IF(AH457="","",IFERROR(INDEX('Weighting Options'!$D$20:$D$27,VALUE(LEFT(TRIM(BU457),1))),1))</f>
        <v/>
      </c>
      <c r="DS457" s="44" t="str">
        <f t="shared" si="195"/>
        <v/>
      </c>
      <c r="DT457" s="42" t="str">
        <f>IF(AH457="","",IF(COUNTIFS($AH$12:AH457,AH457,$AI$12:AI457,AI457,$AM$12:AM457,AM457)=1,1,0))</f>
        <v/>
      </c>
    </row>
    <row r="458" spans="16:124" ht="12.75" customHeight="1" x14ac:dyDescent="0.35">
      <c r="P458" s="41"/>
      <c r="Q458" s="41"/>
      <c r="R458" s="41"/>
      <c r="S458" s="41"/>
      <c r="AH458" s="40"/>
      <c r="AP458" s="40"/>
      <c r="AS458" s="41"/>
      <c r="AT458" s="41"/>
      <c r="AW458" t="str">
        <f t="shared" si="168"/>
        <v/>
      </c>
      <c r="AX458" t="str">
        <f t="shared" si="169"/>
        <v/>
      </c>
      <c r="AY458" t="str">
        <f t="shared" si="170"/>
        <v/>
      </c>
      <c r="AZ458" s="40"/>
      <c r="BL458" s="47" t="str">
        <f t="shared" si="171"/>
        <v/>
      </c>
      <c r="BM458" s="47" t="str">
        <f t="shared" si="172"/>
        <v/>
      </c>
      <c r="BN458" s="47" t="str">
        <f t="shared" si="173"/>
        <v/>
      </c>
      <c r="BO458" s="47" t="str">
        <f t="shared" si="174"/>
        <v/>
      </c>
      <c r="BP458" s="47" t="str">
        <f t="shared" si="175"/>
        <v/>
      </c>
      <c r="BQ458" s="48" t="str">
        <f t="shared" si="176"/>
        <v/>
      </c>
      <c r="BR458" s="48" t="str">
        <f t="shared" si="177"/>
        <v/>
      </c>
      <c r="BS458" s="48" t="str">
        <f t="shared" si="178"/>
        <v/>
      </c>
      <c r="BT458" s="47" t="str">
        <f t="shared" si="179"/>
        <v/>
      </c>
      <c r="CA458" s="47" t="str">
        <f t="shared" si="180"/>
        <v/>
      </c>
      <c r="CB458" s="47" t="str">
        <f t="shared" si="181"/>
        <v/>
      </c>
      <c r="CC458" s="47" t="str">
        <f t="shared" si="182"/>
        <v/>
      </c>
      <c r="CD458" s="47" t="str">
        <f t="shared" si="183"/>
        <v/>
      </c>
      <c r="CE458" s="47" t="str">
        <f>IF(AH458="","",IF(OR(AI458&lt;&gt;'Seasonal Tercile Tally'!$B$3,AM458&lt;&gt;'Seasonal Tercile Tally'!$B$4),"Other site/ season",IF(DT458=0,"Excluded: duplicate (later row)",IF(N458&lt;&gt;1,"Excluded: not sighted",IF(AC458&lt;&gt;1,"Excluded: not confirmed",IF(AD458&lt;&gt;1,"Excluded: not approved",IF(AP458="Contested","Excluded: contested",IF(OR(U458="",U458=0),"Excluded: no tercile",IF(CB458="","Counted (simple tally only — no weight)","Counted")))))))))</f>
        <v/>
      </c>
      <c r="CF458" s="49" t="str">
        <f>IF(AH458="","",IFERROR(INDEX('Prior Multipliers'!$C$6:$C$70,MATCH(LEFT(AH458,10),'Prior Multipliers'!$A$6:$A$70,0)),IFERROR(INDEX('Prior Multipliers'!$C$6:$C$70,MATCH(LEFT(AH458,6),'Prior Multipliers'!$A$6:$A$70,0)),IFERROR(INDEX('Prior Multipliers'!$C$6:$C$70,MATCH(LEFT(AH458,2),'Prior Multipliers'!$A$6:$A$70,0)),1))))</f>
        <v/>
      </c>
      <c r="CG458" s="49" t="str">
        <f>IF(CB458="","",IF(AND('Seasonal Tercile Tally'!$B$5=1,BT458="Rating-based"),CB458*CF458,CB458))</f>
        <v/>
      </c>
      <c r="CH458" s="47">
        <f t="shared" si="184"/>
        <v>0</v>
      </c>
      <c r="CI458" s="45"/>
      <c r="CJ458" s="42" t="str">
        <f t="shared" si="185"/>
        <v/>
      </c>
      <c r="CM458" s="42" t="str">
        <f t="shared" si="186"/>
        <v/>
      </c>
      <c r="CP458" s="46" t="str">
        <f t="shared" si="187"/>
        <v/>
      </c>
      <c r="CS458" s="46" t="str">
        <f t="shared" si="188"/>
        <v/>
      </c>
      <c r="CT458" s="42" t="str">
        <f t="shared" si="189"/>
        <v/>
      </c>
      <c r="CU458" s="42" t="str">
        <f t="shared" si="190"/>
        <v/>
      </c>
      <c r="CV458" s="42" t="str">
        <f t="shared" si="191"/>
        <v/>
      </c>
      <c r="DB458" s="45"/>
      <c r="DH458" s="42" t="str">
        <f t="shared" si="192"/>
        <v/>
      </c>
      <c r="DI458" s="43" t="str">
        <f t="shared" si="193"/>
        <v/>
      </c>
      <c r="DK458" s="46" t="str">
        <f t="shared" si="194"/>
        <v/>
      </c>
      <c r="DQ458" s="42" t="str">
        <f>IF(AH458="","",IFERROR(ROUND(100*('Weighting Options'!$D$7*IF(ISNUMBER(CA458),CA458/3,0)+'Weighting Options'!$D$8*MIN(N(BL458),3)/3+'Weighting Options'!$D$9*IF(AP458="Community/Plenary-endorsed",1,IF(AP458="FGD-validated only",0.75,IF(AP458="Sub-community-specific",0.5,IF(AP458="Provisional/emerging",0.25,0))))+'Weighting Options'!$D$10*IF(ISNUMBER(K458),K458/3,0)+'Weighting Options'!$D$11*IF(CC458="",0.5,IF(CC458="OK",1,0.25))+'Weighting Options'!$D$12*IF(DK458="",0.5,IF(DK458="Agrees",1,IF(DK458="Opposite",0,0.5)))+'Weighting Options'!$D$13*MIN(N(BG458),3)/3+'Weighting Options'!$D$14*IF(AE458=1,1,0))/SUM('Weighting Options'!$D$7:$D$14),0),""))</f>
        <v/>
      </c>
      <c r="DR458" s="44" t="str">
        <f>IF(AH458="","",IFERROR(INDEX('Weighting Options'!$D$20:$D$27,VALUE(LEFT(TRIM(BU458),1))),1))</f>
        <v/>
      </c>
      <c r="DS458" s="44" t="str">
        <f t="shared" si="195"/>
        <v/>
      </c>
      <c r="DT458" s="42" t="str">
        <f>IF(AH458="","",IF(COUNTIFS($AH$12:AH458,AH458,$AI$12:AI458,AI458,$AM$12:AM458,AM458)=1,1,0))</f>
        <v/>
      </c>
    </row>
    <row r="459" spans="16:124" ht="12.75" customHeight="1" x14ac:dyDescent="0.35">
      <c r="P459" s="41"/>
      <c r="Q459" s="41"/>
      <c r="R459" s="41"/>
      <c r="S459" s="41"/>
      <c r="AH459" s="40"/>
      <c r="AP459" s="40"/>
      <c r="AS459" s="41"/>
      <c r="AT459" s="41"/>
      <c r="AW459" t="str">
        <f t="shared" si="168"/>
        <v/>
      </c>
      <c r="AX459" t="str">
        <f t="shared" si="169"/>
        <v/>
      </c>
      <c r="AY459" t="str">
        <f t="shared" si="170"/>
        <v/>
      </c>
      <c r="AZ459" s="40"/>
      <c r="BL459" s="47" t="str">
        <f t="shared" si="171"/>
        <v/>
      </c>
      <c r="BM459" s="47" t="str">
        <f t="shared" si="172"/>
        <v/>
      </c>
      <c r="BN459" s="47" t="str">
        <f t="shared" si="173"/>
        <v/>
      </c>
      <c r="BO459" s="47" t="str">
        <f t="shared" si="174"/>
        <v/>
      </c>
      <c r="BP459" s="47" t="str">
        <f t="shared" si="175"/>
        <v/>
      </c>
      <c r="BQ459" s="48" t="str">
        <f t="shared" si="176"/>
        <v/>
      </c>
      <c r="BR459" s="48" t="str">
        <f t="shared" si="177"/>
        <v/>
      </c>
      <c r="BS459" s="48" t="str">
        <f t="shared" si="178"/>
        <v/>
      </c>
      <c r="BT459" s="47" t="str">
        <f t="shared" si="179"/>
        <v/>
      </c>
      <c r="CA459" s="47" t="str">
        <f t="shared" si="180"/>
        <v/>
      </c>
      <c r="CB459" s="47" t="str">
        <f t="shared" si="181"/>
        <v/>
      </c>
      <c r="CC459" s="47" t="str">
        <f t="shared" si="182"/>
        <v/>
      </c>
      <c r="CD459" s="47" t="str">
        <f t="shared" si="183"/>
        <v/>
      </c>
      <c r="CE459" s="47" t="str">
        <f>IF(AH459="","",IF(OR(AI459&lt;&gt;'Seasonal Tercile Tally'!$B$3,AM459&lt;&gt;'Seasonal Tercile Tally'!$B$4),"Other site/ season",IF(DT459=0,"Excluded: duplicate (later row)",IF(N459&lt;&gt;1,"Excluded: not sighted",IF(AC459&lt;&gt;1,"Excluded: not confirmed",IF(AD459&lt;&gt;1,"Excluded: not approved",IF(AP459="Contested","Excluded: contested",IF(OR(U459="",U459=0),"Excluded: no tercile",IF(CB459="","Counted (simple tally only — no weight)","Counted")))))))))</f>
        <v/>
      </c>
      <c r="CF459" s="49" t="str">
        <f>IF(AH459="","",IFERROR(INDEX('Prior Multipliers'!$C$6:$C$70,MATCH(LEFT(AH459,10),'Prior Multipliers'!$A$6:$A$70,0)),IFERROR(INDEX('Prior Multipliers'!$C$6:$C$70,MATCH(LEFT(AH459,6),'Prior Multipliers'!$A$6:$A$70,0)),IFERROR(INDEX('Prior Multipliers'!$C$6:$C$70,MATCH(LEFT(AH459,2),'Prior Multipliers'!$A$6:$A$70,0)),1))))</f>
        <v/>
      </c>
      <c r="CG459" s="49" t="str">
        <f>IF(CB459="","",IF(AND('Seasonal Tercile Tally'!$B$5=1,BT459="Rating-based"),CB459*CF459,CB459))</f>
        <v/>
      </c>
      <c r="CH459" s="47">
        <f t="shared" si="184"/>
        <v>0</v>
      </c>
      <c r="CI459" s="45"/>
      <c r="CJ459" s="42" t="str">
        <f t="shared" si="185"/>
        <v/>
      </c>
      <c r="CM459" s="42" t="str">
        <f t="shared" si="186"/>
        <v/>
      </c>
      <c r="CP459" s="46" t="str">
        <f t="shared" si="187"/>
        <v/>
      </c>
      <c r="CS459" s="46" t="str">
        <f t="shared" si="188"/>
        <v/>
      </c>
      <c r="CT459" s="42" t="str">
        <f t="shared" si="189"/>
        <v/>
      </c>
      <c r="CU459" s="42" t="str">
        <f t="shared" si="190"/>
        <v/>
      </c>
      <c r="CV459" s="42" t="str">
        <f t="shared" si="191"/>
        <v/>
      </c>
      <c r="DB459" s="45"/>
      <c r="DH459" s="42" t="str">
        <f t="shared" si="192"/>
        <v/>
      </c>
      <c r="DI459" s="43" t="str">
        <f t="shared" si="193"/>
        <v/>
      </c>
      <c r="DK459" s="46" t="str">
        <f t="shared" si="194"/>
        <v/>
      </c>
      <c r="DQ459" s="42" t="str">
        <f>IF(AH459="","",IFERROR(ROUND(100*('Weighting Options'!$D$7*IF(ISNUMBER(CA459),CA459/3,0)+'Weighting Options'!$D$8*MIN(N(BL459),3)/3+'Weighting Options'!$D$9*IF(AP459="Community/Plenary-endorsed",1,IF(AP459="FGD-validated only",0.75,IF(AP459="Sub-community-specific",0.5,IF(AP459="Provisional/emerging",0.25,0))))+'Weighting Options'!$D$10*IF(ISNUMBER(K459),K459/3,0)+'Weighting Options'!$D$11*IF(CC459="",0.5,IF(CC459="OK",1,0.25))+'Weighting Options'!$D$12*IF(DK459="",0.5,IF(DK459="Agrees",1,IF(DK459="Opposite",0,0.5)))+'Weighting Options'!$D$13*MIN(N(BG459),3)/3+'Weighting Options'!$D$14*IF(AE459=1,1,0))/SUM('Weighting Options'!$D$7:$D$14),0),""))</f>
        <v/>
      </c>
      <c r="DR459" s="44" t="str">
        <f>IF(AH459="","",IFERROR(INDEX('Weighting Options'!$D$20:$D$27,VALUE(LEFT(TRIM(BU459),1))),1))</f>
        <v/>
      </c>
      <c r="DS459" s="44" t="str">
        <f t="shared" si="195"/>
        <v/>
      </c>
      <c r="DT459" s="42" t="str">
        <f>IF(AH459="","",IF(COUNTIFS($AH$12:AH459,AH459,$AI$12:AI459,AI459,$AM$12:AM459,AM459)=1,1,0))</f>
        <v/>
      </c>
    </row>
    <row r="460" spans="16:124" ht="12.75" customHeight="1" x14ac:dyDescent="0.35">
      <c r="P460" s="41"/>
      <c r="Q460" s="41"/>
      <c r="R460" s="41"/>
      <c r="S460" s="41"/>
      <c r="AH460" s="40"/>
      <c r="AP460" s="40"/>
      <c r="AS460" s="41"/>
      <c r="AT460" s="41"/>
      <c r="AW460" t="str">
        <f t="shared" ref="AW460:AW500" si="196">IF(OR(AS460="",P460=""),"",IF(AS460&lt;P460,"Early",IF(AS460&gt;IF(Q460="",P460,Q460),"Late","Within window")))</f>
        <v/>
      </c>
      <c r="AX460" t="str">
        <f t="shared" ref="AX460:AX500" si="197">IF(OR(AT460="",R460=""),"",IF(AT460&lt;R460,"Early",IF(AT460&gt;IF(S460="",R460,S460),"Late","Within window")))</f>
        <v/>
      </c>
      <c r="AY460" t="str">
        <f t="shared" ref="AY460:AY500" si="198">IF(OR(AU460="",T460="",T460=0),"",IF(AU460=T460,"Matched",IF(ABS(AU460-T460)=1,"Off by one class","Missed")))</f>
        <v/>
      </c>
      <c r="AZ460" s="40"/>
      <c r="BL460" s="47" t="str">
        <f t="shared" ref="BL460:BL500" si="199">IF(AH460="","",COUNTIFS($AH$12:$AH$500,AH460,$AC$12:$AC$500,1,$AD$12:$AD$500,1,$DT$12:$DT$500,1))</f>
        <v/>
      </c>
      <c r="BM460" s="47" t="str">
        <f t="shared" ref="BM460:BM523" si="200">IF(AH460="","",BN460+BO460+BP460)</f>
        <v/>
      </c>
      <c r="BN460" s="47" t="str">
        <f t="shared" ref="BN460:BN500" si="201">IF(AH460="","",COUNTIFS($AH$12:$AH$500,AH460,$AZ$12:$AZ$500,"Hit",$DT$12:$DT$500,1))</f>
        <v/>
      </c>
      <c r="BO460" s="47" t="str">
        <f t="shared" ref="BO460:BO500" si="202">IF(AH460="","",COUNTIFS($AH$12:$AH$500,AH460,$AZ$12:$AZ$500,"Miss",$DT$12:$DT$500,1))</f>
        <v/>
      </c>
      <c r="BP460" s="47" t="str">
        <f t="shared" ref="BP460:BP500" si="203">IF(AH460="","",COUNTIFS($AH$12:$AH$500,AH460,$AZ$12:$AZ$500,"False Start",$DT$12:$DT$500,1))</f>
        <v/>
      </c>
      <c r="BQ460" s="48" t="str">
        <f t="shared" ref="BQ460:BQ500" si="204">IF(OR(AH460="",BM460="",BM460=0),"",BN460/BM460)</f>
        <v/>
      </c>
      <c r="BR460" s="48" t="str">
        <f t="shared" ref="BR460:BR500" si="205">IF(OR(AH460="",BM460="",BM460=0),"",BO460/BM460)</f>
        <v/>
      </c>
      <c r="BS460" s="48" t="str">
        <f t="shared" ref="BS460:BS500" si="206">IF(OR(AH460="",BM460="",BM460=0),"",BP460/BM460)</f>
        <v/>
      </c>
      <c r="BT460" s="47" t="str">
        <f t="shared" ref="BT460:BT500" si="207">IF(AH460="","",IF(BM460&gt;=3,"Hit-rate-based","Rating-based"))</f>
        <v/>
      </c>
      <c r="CA460" s="47" t="str">
        <f t="shared" ref="CA460:CA500" si="208">IF(AH460="","",IF(BT460="Hit-rate-based",MIN(IF(BL460&lt;2,2,3),IF(BQ460&gt;=0.7,3,IF(BQ460&gt;=0.4,2,1))),IF(OR(M460="",M460=0),"",MIN(IF(BL460&lt;2,2,3),M460))))</f>
        <v/>
      </c>
      <c r="CB460" s="47" t="str">
        <f t="shared" ref="CB460:CB523" si="209">IF(OR(AH460="",CA460=""),"",CA460*IF(OR(V460="",V460=0),1,V460))</f>
        <v/>
      </c>
      <c r="CC460" s="47" t="str">
        <f t="shared" ref="CC460:CC500" si="210">IF(OR(AH460="",L460="",M460="",L460=0,M460=0),"",IF(ABS(L460-M460)&gt;=2,"FLAG: Review — large swing","OK"))</f>
        <v/>
      </c>
      <c r="CD460" s="47" t="str">
        <f t="shared" ref="CD460:CD500" si="211">IF(AH460="","",IF(COUNTIFS($AH$12:$AH$500,AH460,$AI$12:$AI$500,AI460,$AM$12:$AM$500,AM460)&gt;1,"DUPLICATE: same ID, site and season",IF(AND(N460=1,U460&lt;&gt;"",U460&lt;&gt;0,OR(V460="",V460=0)),"Check: decision relevance missing","OK")))</f>
        <v/>
      </c>
      <c r="CE460" s="47" t="str">
        <f>IF(AH460="","",IF(OR(AI460&lt;&gt;'Seasonal Tercile Tally'!$B$3,AM460&lt;&gt;'Seasonal Tercile Tally'!$B$4),"Other site/ season",IF(DT460=0,"Excluded: duplicate (later row)",IF(N460&lt;&gt;1,"Excluded: not sighted",IF(AC460&lt;&gt;1,"Excluded: not confirmed",IF(AD460&lt;&gt;1,"Excluded: not approved",IF(AP460="Contested","Excluded: contested",IF(OR(U460="",U460=0),"Excluded: no tercile",IF(CB460="","Counted (simple tally only — no weight)","Counted")))))))))</f>
        <v/>
      </c>
      <c r="CF460" s="49" t="str">
        <f>IF(AH460="","",IFERROR(INDEX('Prior Multipliers'!$C$6:$C$70,MATCH(LEFT(AH460,10),'Prior Multipliers'!$A$6:$A$70,0)),IFERROR(INDEX('Prior Multipliers'!$C$6:$C$70,MATCH(LEFT(AH460,6),'Prior Multipliers'!$A$6:$A$70,0)),IFERROR(INDEX('Prior Multipliers'!$C$6:$C$70,MATCH(LEFT(AH460,2),'Prior Multipliers'!$A$6:$A$70,0)),1))))</f>
        <v/>
      </c>
      <c r="CG460" s="49" t="str">
        <f>IF(CB460="","",IF(AND('Seasonal Tercile Tally'!$B$5=1,BT460="Rating-based"),CB460*CF460,CB460))</f>
        <v/>
      </c>
      <c r="CH460" s="47">
        <f t="shared" ref="CH460:CH523" si="212">IF(ISNUMBER(CG460),CG460,0)</f>
        <v>0</v>
      </c>
      <c r="CI460" s="45"/>
      <c r="CJ460" s="42" t="str">
        <f t="shared" ref="CJ460:CJ523" si="213">IF(CI460="","",MONTH(CI460))</f>
        <v/>
      </c>
      <c r="CM460" s="42" t="str">
        <f t="shared" ref="CM460:CM523" si="214">IF(OR(CJ460="",CL460=""),"",MOD(CJ460-CL460+6,12)-6)</f>
        <v/>
      </c>
      <c r="CP460" s="46" t="str">
        <f t="shared" ref="CP460:CP500" si="215">IF(AH460="","",CHOOSE(MIN(IF(CM460="",0,IF(ABS(CM460)&gt;=1,1,0))+IF(LEFT(CC460,4)="FLAG",1,0)+IF(OR(CN460="",CN460="No change",CN460="Not sure"),0,1)+IF(AND(ISNUMBER(L460),ISNUMBER(M460)),IF(AND(M460&gt;0,L460-M460&gt;=1),1,0),0)+IF(N(BM460)&gt;=3,IF(N(BQ460)&lt;0.4,1,0),0),2)+1,"No change signal","Watch: one change signal","STRONG: possible climate-change impact — review"))</f>
        <v/>
      </c>
      <c r="CS460" s="46" t="str">
        <f t="shared" ref="CS460:CS523" si="216">IF(CR460="","",IF(CR460&gt;=35,3,IF(CR460&gt;=20,2,1)))</f>
        <v/>
      </c>
      <c r="CT460" s="42" t="str">
        <f t="shared" ref="CT460:CT523" si="217">IF(OR(CS460="",CQ460="",CQ460=0),"",IF(CQ460=CS460,"Matched",IF(ABS(CQ460-CS460)=1,"Off by one class","Missed")))</f>
        <v/>
      </c>
      <c r="CU460" s="42" t="str">
        <f t="shared" ref="CU460:CU500" si="218">IF(OR(CI460="",P460=""),"",IF(P460-CI460&lt;0,"",P460-CI460))</f>
        <v/>
      </c>
      <c r="CV460" s="42" t="str">
        <f t="shared" ref="CV460:CV523" si="219">IF(CU460="","",IF(CU460&gt;=60,"Strategic (season)",IF(CU460&gt;=7,"Tactical (1 week–2 months)",IF(CU460&gt;=3,"Operational (3–6 days)","Emergency (0–2 days)"))))</f>
        <v/>
      </c>
      <c r="DB460" s="45"/>
      <c r="DH460" s="42" t="str">
        <f t="shared" ref="DH460:DH500" si="220">IF(OR(DB460="",P460=""),"",P460-DB460)</f>
        <v/>
      </c>
      <c r="DI460" s="43" t="str">
        <f t="shared" ref="DI460:DI500" si="221">IF(OR(DD460="",DE460=""),"",IF(DD460=0,"",DE460/DD460))</f>
        <v/>
      </c>
      <c r="DK460" s="46" t="str">
        <f t="shared" ref="DK460:DK523" si="222">IF(OR(DJ460="",U460="",U460=0),"",IF(U460=DJ460,"Agrees",IF(ABS(U460-DJ460)=1,"Differs by one class","Opposite")))</f>
        <v/>
      </c>
      <c r="DQ460" s="42" t="str">
        <f>IF(AH460="","",IFERROR(ROUND(100*('Weighting Options'!$D$7*IF(ISNUMBER(CA460),CA460/3,0)+'Weighting Options'!$D$8*MIN(N(BL460),3)/3+'Weighting Options'!$D$9*IF(AP460="Community/Plenary-endorsed",1,IF(AP460="FGD-validated only",0.75,IF(AP460="Sub-community-specific",0.5,IF(AP460="Provisional/emerging",0.25,0))))+'Weighting Options'!$D$10*IF(ISNUMBER(K460),K460/3,0)+'Weighting Options'!$D$11*IF(CC460="",0.5,IF(CC460="OK",1,0.25))+'Weighting Options'!$D$12*IF(DK460="",0.5,IF(DK460="Agrees",1,IF(DK460="Opposite",0,0.5)))+'Weighting Options'!$D$13*MIN(N(BG460),3)/3+'Weighting Options'!$D$14*IF(AE460=1,1,0))/SUM('Weighting Options'!$D$7:$D$14),0),""))</f>
        <v/>
      </c>
      <c r="DR460" s="44" t="str">
        <f>IF(AH460="","",IFERROR(INDEX('Weighting Options'!$D$20:$D$27,VALUE(LEFT(TRIM(BU460),1))),1))</f>
        <v/>
      </c>
      <c r="DS460" s="44" t="str">
        <f t="shared" ref="DS460:DS523" si="223">IF(OR(CG460="",DR460=""),"",CG460*DR460)</f>
        <v/>
      </c>
      <c r="DT460" s="42" t="str">
        <f>IF(AH460="","",IF(COUNTIFS($AH$12:AH460,AH460,$AI$12:AI460,AI460,$AM$12:AM460,AM460)=1,1,0))</f>
        <v/>
      </c>
    </row>
    <row r="461" spans="16:124" ht="12.75" customHeight="1" x14ac:dyDescent="0.35">
      <c r="P461" s="41"/>
      <c r="Q461" s="41"/>
      <c r="R461" s="41"/>
      <c r="S461" s="41"/>
      <c r="AH461" s="40"/>
      <c r="AP461" s="40"/>
      <c r="AS461" s="41"/>
      <c r="AT461" s="41"/>
      <c r="AW461" t="str">
        <f t="shared" si="196"/>
        <v/>
      </c>
      <c r="AX461" t="str">
        <f t="shared" si="197"/>
        <v/>
      </c>
      <c r="AY461" t="str">
        <f t="shared" si="198"/>
        <v/>
      </c>
      <c r="AZ461" s="40"/>
      <c r="BL461" s="47" t="str">
        <f t="shared" si="199"/>
        <v/>
      </c>
      <c r="BM461" s="47" t="str">
        <f t="shared" si="200"/>
        <v/>
      </c>
      <c r="BN461" s="47" t="str">
        <f t="shared" si="201"/>
        <v/>
      </c>
      <c r="BO461" s="47" t="str">
        <f t="shared" si="202"/>
        <v/>
      </c>
      <c r="BP461" s="47" t="str">
        <f t="shared" si="203"/>
        <v/>
      </c>
      <c r="BQ461" s="48" t="str">
        <f t="shared" si="204"/>
        <v/>
      </c>
      <c r="BR461" s="48" t="str">
        <f t="shared" si="205"/>
        <v/>
      </c>
      <c r="BS461" s="48" t="str">
        <f t="shared" si="206"/>
        <v/>
      </c>
      <c r="BT461" s="47" t="str">
        <f t="shared" si="207"/>
        <v/>
      </c>
      <c r="CA461" s="47" t="str">
        <f t="shared" si="208"/>
        <v/>
      </c>
      <c r="CB461" s="47" t="str">
        <f t="shared" si="209"/>
        <v/>
      </c>
      <c r="CC461" s="47" t="str">
        <f t="shared" si="210"/>
        <v/>
      </c>
      <c r="CD461" s="47" t="str">
        <f t="shared" si="211"/>
        <v/>
      </c>
      <c r="CE461" s="47" t="str">
        <f>IF(AH461="","",IF(OR(AI461&lt;&gt;'Seasonal Tercile Tally'!$B$3,AM461&lt;&gt;'Seasonal Tercile Tally'!$B$4),"Other site/ season",IF(DT461=0,"Excluded: duplicate (later row)",IF(N461&lt;&gt;1,"Excluded: not sighted",IF(AC461&lt;&gt;1,"Excluded: not confirmed",IF(AD461&lt;&gt;1,"Excluded: not approved",IF(AP461="Contested","Excluded: contested",IF(OR(U461="",U461=0),"Excluded: no tercile",IF(CB461="","Counted (simple tally only — no weight)","Counted")))))))))</f>
        <v/>
      </c>
      <c r="CF461" s="49" t="str">
        <f>IF(AH461="","",IFERROR(INDEX('Prior Multipliers'!$C$6:$C$70,MATCH(LEFT(AH461,10),'Prior Multipliers'!$A$6:$A$70,0)),IFERROR(INDEX('Prior Multipliers'!$C$6:$C$70,MATCH(LEFT(AH461,6),'Prior Multipliers'!$A$6:$A$70,0)),IFERROR(INDEX('Prior Multipliers'!$C$6:$C$70,MATCH(LEFT(AH461,2),'Prior Multipliers'!$A$6:$A$70,0)),1))))</f>
        <v/>
      </c>
      <c r="CG461" s="49" t="str">
        <f>IF(CB461="","",IF(AND('Seasonal Tercile Tally'!$B$5=1,BT461="Rating-based"),CB461*CF461,CB461))</f>
        <v/>
      </c>
      <c r="CH461" s="47">
        <f t="shared" si="212"/>
        <v>0</v>
      </c>
      <c r="CI461" s="45"/>
      <c r="CJ461" s="42" t="str">
        <f t="shared" si="213"/>
        <v/>
      </c>
      <c r="CM461" s="42" t="str">
        <f t="shared" si="214"/>
        <v/>
      </c>
      <c r="CP461" s="46" t="str">
        <f t="shared" si="215"/>
        <v/>
      </c>
      <c r="CS461" s="46" t="str">
        <f t="shared" si="216"/>
        <v/>
      </c>
      <c r="CT461" s="42" t="str">
        <f t="shared" si="217"/>
        <v/>
      </c>
      <c r="CU461" s="42" t="str">
        <f t="shared" si="218"/>
        <v/>
      </c>
      <c r="CV461" s="42" t="str">
        <f t="shared" si="219"/>
        <v/>
      </c>
      <c r="DB461" s="45"/>
      <c r="DH461" s="42" t="str">
        <f t="shared" si="220"/>
        <v/>
      </c>
      <c r="DI461" s="43" t="str">
        <f t="shared" si="221"/>
        <v/>
      </c>
      <c r="DK461" s="46" t="str">
        <f t="shared" si="222"/>
        <v/>
      </c>
      <c r="DQ461" s="42" t="str">
        <f>IF(AH461="","",IFERROR(ROUND(100*('Weighting Options'!$D$7*IF(ISNUMBER(CA461),CA461/3,0)+'Weighting Options'!$D$8*MIN(N(BL461),3)/3+'Weighting Options'!$D$9*IF(AP461="Community/Plenary-endorsed",1,IF(AP461="FGD-validated only",0.75,IF(AP461="Sub-community-specific",0.5,IF(AP461="Provisional/emerging",0.25,0))))+'Weighting Options'!$D$10*IF(ISNUMBER(K461),K461/3,0)+'Weighting Options'!$D$11*IF(CC461="",0.5,IF(CC461="OK",1,0.25))+'Weighting Options'!$D$12*IF(DK461="",0.5,IF(DK461="Agrees",1,IF(DK461="Opposite",0,0.5)))+'Weighting Options'!$D$13*MIN(N(BG461),3)/3+'Weighting Options'!$D$14*IF(AE461=1,1,0))/SUM('Weighting Options'!$D$7:$D$14),0),""))</f>
        <v/>
      </c>
      <c r="DR461" s="44" t="str">
        <f>IF(AH461="","",IFERROR(INDEX('Weighting Options'!$D$20:$D$27,VALUE(LEFT(TRIM(BU461),1))),1))</f>
        <v/>
      </c>
      <c r="DS461" s="44" t="str">
        <f t="shared" si="223"/>
        <v/>
      </c>
      <c r="DT461" s="42" t="str">
        <f>IF(AH461="","",IF(COUNTIFS($AH$12:AH461,AH461,$AI$12:AI461,AI461,$AM$12:AM461,AM461)=1,1,0))</f>
        <v/>
      </c>
    </row>
    <row r="462" spans="16:124" ht="12.75" customHeight="1" x14ac:dyDescent="0.35">
      <c r="P462" s="41"/>
      <c r="Q462" s="41"/>
      <c r="R462" s="41"/>
      <c r="S462" s="41"/>
      <c r="AH462" s="40"/>
      <c r="AP462" s="40"/>
      <c r="AS462" s="41"/>
      <c r="AT462" s="41"/>
      <c r="AW462" t="str">
        <f t="shared" si="196"/>
        <v/>
      </c>
      <c r="AX462" t="str">
        <f t="shared" si="197"/>
        <v/>
      </c>
      <c r="AY462" t="str">
        <f t="shared" si="198"/>
        <v/>
      </c>
      <c r="AZ462" s="40"/>
      <c r="BL462" s="47" t="str">
        <f t="shared" si="199"/>
        <v/>
      </c>
      <c r="BM462" s="47" t="str">
        <f t="shared" si="200"/>
        <v/>
      </c>
      <c r="BN462" s="47" t="str">
        <f t="shared" si="201"/>
        <v/>
      </c>
      <c r="BO462" s="47" t="str">
        <f t="shared" si="202"/>
        <v/>
      </c>
      <c r="BP462" s="47" t="str">
        <f t="shared" si="203"/>
        <v/>
      </c>
      <c r="BQ462" s="48" t="str">
        <f t="shared" si="204"/>
        <v/>
      </c>
      <c r="BR462" s="48" t="str">
        <f t="shared" si="205"/>
        <v/>
      </c>
      <c r="BS462" s="48" t="str">
        <f t="shared" si="206"/>
        <v/>
      </c>
      <c r="BT462" s="47" t="str">
        <f t="shared" si="207"/>
        <v/>
      </c>
      <c r="CA462" s="47" t="str">
        <f t="shared" si="208"/>
        <v/>
      </c>
      <c r="CB462" s="47" t="str">
        <f t="shared" si="209"/>
        <v/>
      </c>
      <c r="CC462" s="47" t="str">
        <f t="shared" si="210"/>
        <v/>
      </c>
      <c r="CD462" s="47" t="str">
        <f t="shared" si="211"/>
        <v/>
      </c>
      <c r="CE462" s="47" t="str">
        <f>IF(AH462="","",IF(OR(AI462&lt;&gt;'Seasonal Tercile Tally'!$B$3,AM462&lt;&gt;'Seasonal Tercile Tally'!$B$4),"Other site/ season",IF(DT462=0,"Excluded: duplicate (later row)",IF(N462&lt;&gt;1,"Excluded: not sighted",IF(AC462&lt;&gt;1,"Excluded: not confirmed",IF(AD462&lt;&gt;1,"Excluded: not approved",IF(AP462="Contested","Excluded: contested",IF(OR(U462="",U462=0),"Excluded: no tercile",IF(CB462="","Counted (simple tally only — no weight)","Counted")))))))))</f>
        <v/>
      </c>
      <c r="CF462" s="49" t="str">
        <f>IF(AH462="","",IFERROR(INDEX('Prior Multipliers'!$C$6:$C$70,MATCH(LEFT(AH462,10),'Prior Multipliers'!$A$6:$A$70,0)),IFERROR(INDEX('Prior Multipliers'!$C$6:$C$70,MATCH(LEFT(AH462,6),'Prior Multipliers'!$A$6:$A$70,0)),IFERROR(INDEX('Prior Multipliers'!$C$6:$C$70,MATCH(LEFT(AH462,2),'Prior Multipliers'!$A$6:$A$70,0)),1))))</f>
        <v/>
      </c>
      <c r="CG462" s="49" t="str">
        <f>IF(CB462="","",IF(AND('Seasonal Tercile Tally'!$B$5=1,BT462="Rating-based"),CB462*CF462,CB462))</f>
        <v/>
      </c>
      <c r="CH462" s="47">
        <f t="shared" si="212"/>
        <v>0</v>
      </c>
      <c r="CI462" s="45"/>
      <c r="CJ462" s="42" t="str">
        <f t="shared" si="213"/>
        <v/>
      </c>
      <c r="CM462" s="42" t="str">
        <f t="shared" si="214"/>
        <v/>
      </c>
      <c r="CP462" s="46" t="str">
        <f t="shared" si="215"/>
        <v/>
      </c>
      <c r="CS462" s="46" t="str">
        <f t="shared" si="216"/>
        <v/>
      </c>
      <c r="CT462" s="42" t="str">
        <f t="shared" si="217"/>
        <v/>
      </c>
      <c r="CU462" s="42" t="str">
        <f t="shared" si="218"/>
        <v/>
      </c>
      <c r="CV462" s="42" t="str">
        <f t="shared" si="219"/>
        <v/>
      </c>
      <c r="DB462" s="45"/>
      <c r="DH462" s="42" t="str">
        <f t="shared" si="220"/>
        <v/>
      </c>
      <c r="DI462" s="43" t="str">
        <f t="shared" si="221"/>
        <v/>
      </c>
      <c r="DK462" s="46" t="str">
        <f t="shared" si="222"/>
        <v/>
      </c>
      <c r="DQ462" s="42" t="str">
        <f>IF(AH462="","",IFERROR(ROUND(100*('Weighting Options'!$D$7*IF(ISNUMBER(CA462),CA462/3,0)+'Weighting Options'!$D$8*MIN(N(BL462),3)/3+'Weighting Options'!$D$9*IF(AP462="Community/Plenary-endorsed",1,IF(AP462="FGD-validated only",0.75,IF(AP462="Sub-community-specific",0.5,IF(AP462="Provisional/emerging",0.25,0))))+'Weighting Options'!$D$10*IF(ISNUMBER(K462),K462/3,0)+'Weighting Options'!$D$11*IF(CC462="",0.5,IF(CC462="OK",1,0.25))+'Weighting Options'!$D$12*IF(DK462="",0.5,IF(DK462="Agrees",1,IF(DK462="Opposite",0,0.5)))+'Weighting Options'!$D$13*MIN(N(BG462),3)/3+'Weighting Options'!$D$14*IF(AE462=1,1,0))/SUM('Weighting Options'!$D$7:$D$14),0),""))</f>
        <v/>
      </c>
      <c r="DR462" s="44" t="str">
        <f>IF(AH462="","",IFERROR(INDEX('Weighting Options'!$D$20:$D$27,VALUE(LEFT(TRIM(BU462),1))),1))</f>
        <v/>
      </c>
      <c r="DS462" s="44" t="str">
        <f t="shared" si="223"/>
        <v/>
      </c>
      <c r="DT462" s="42" t="str">
        <f>IF(AH462="","",IF(COUNTIFS($AH$12:AH462,AH462,$AI$12:AI462,AI462,$AM$12:AM462,AM462)=1,1,0))</f>
        <v/>
      </c>
    </row>
    <row r="463" spans="16:124" ht="12.75" customHeight="1" x14ac:dyDescent="0.35">
      <c r="P463" s="41"/>
      <c r="Q463" s="41"/>
      <c r="R463" s="41"/>
      <c r="S463" s="41"/>
      <c r="AH463" s="40"/>
      <c r="AP463" s="40"/>
      <c r="AS463" s="41"/>
      <c r="AT463" s="41"/>
      <c r="AW463" t="str">
        <f t="shared" si="196"/>
        <v/>
      </c>
      <c r="AX463" t="str">
        <f t="shared" si="197"/>
        <v/>
      </c>
      <c r="AY463" t="str">
        <f t="shared" si="198"/>
        <v/>
      </c>
      <c r="AZ463" s="40"/>
      <c r="BL463" s="47" t="str">
        <f t="shared" si="199"/>
        <v/>
      </c>
      <c r="BM463" s="47" t="str">
        <f t="shared" si="200"/>
        <v/>
      </c>
      <c r="BN463" s="47" t="str">
        <f t="shared" si="201"/>
        <v/>
      </c>
      <c r="BO463" s="47" t="str">
        <f t="shared" si="202"/>
        <v/>
      </c>
      <c r="BP463" s="47" t="str">
        <f t="shared" si="203"/>
        <v/>
      </c>
      <c r="BQ463" s="48" t="str">
        <f t="shared" si="204"/>
        <v/>
      </c>
      <c r="BR463" s="48" t="str">
        <f t="shared" si="205"/>
        <v/>
      </c>
      <c r="BS463" s="48" t="str">
        <f t="shared" si="206"/>
        <v/>
      </c>
      <c r="BT463" s="47" t="str">
        <f t="shared" si="207"/>
        <v/>
      </c>
      <c r="CA463" s="47" t="str">
        <f t="shared" si="208"/>
        <v/>
      </c>
      <c r="CB463" s="47" t="str">
        <f t="shared" si="209"/>
        <v/>
      </c>
      <c r="CC463" s="47" t="str">
        <f t="shared" si="210"/>
        <v/>
      </c>
      <c r="CD463" s="47" t="str">
        <f t="shared" si="211"/>
        <v/>
      </c>
      <c r="CE463" s="47" t="str">
        <f>IF(AH463="","",IF(OR(AI463&lt;&gt;'Seasonal Tercile Tally'!$B$3,AM463&lt;&gt;'Seasonal Tercile Tally'!$B$4),"Other site/ season",IF(DT463=0,"Excluded: duplicate (later row)",IF(N463&lt;&gt;1,"Excluded: not sighted",IF(AC463&lt;&gt;1,"Excluded: not confirmed",IF(AD463&lt;&gt;1,"Excluded: not approved",IF(AP463="Contested","Excluded: contested",IF(OR(U463="",U463=0),"Excluded: no tercile",IF(CB463="","Counted (simple tally only — no weight)","Counted")))))))))</f>
        <v/>
      </c>
      <c r="CF463" s="49" t="str">
        <f>IF(AH463="","",IFERROR(INDEX('Prior Multipliers'!$C$6:$C$70,MATCH(LEFT(AH463,10),'Prior Multipliers'!$A$6:$A$70,0)),IFERROR(INDEX('Prior Multipliers'!$C$6:$C$70,MATCH(LEFT(AH463,6),'Prior Multipliers'!$A$6:$A$70,0)),IFERROR(INDEX('Prior Multipliers'!$C$6:$C$70,MATCH(LEFT(AH463,2),'Prior Multipliers'!$A$6:$A$70,0)),1))))</f>
        <v/>
      </c>
      <c r="CG463" s="49" t="str">
        <f>IF(CB463="","",IF(AND('Seasonal Tercile Tally'!$B$5=1,BT463="Rating-based"),CB463*CF463,CB463))</f>
        <v/>
      </c>
      <c r="CH463" s="47">
        <f t="shared" si="212"/>
        <v>0</v>
      </c>
      <c r="CI463" s="45"/>
      <c r="CJ463" s="42" t="str">
        <f t="shared" si="213"/>
        <v/>
      </c>
      <c r="CM463" s="42" t="str">
        <f t="shared" si="214"/>
        <v/>
      </c>
      <c r="CP463" s="46" t="str">
        <f t="shared" si="215"/>
        <v/>
      </c>
      <c r="CS463" s="46" t="str">
        <f t="shared" si="216"/>
        <v/>
      </c>
      <c r="CT463" s="42" t="str">
        <f t="shared" si="217"/>
        <v/>
      </c>
      <c r="CU463" s="42" t="str">
        <f t="shared" si="218"/>
        <v/>
      </c>
      <c r="CV463" s="42" t="str">
        <f t="shared" si="219"/>
        <v/>
      </c>
      <c r="DB463" s="45"/>
      <c r="DH463" s="42" t="str">
        <f t="shared" si="220"/>
        <v/>
      </c>
      <c r="DI463" s="43" t="str">
        <f t="shared" si="221"/>
        <v/>
      </c>
      <c r="DK463" s="46" t="str">
        <f t="shared" si="222"/>
        <v/>
      </c>
      <c r="DQ463" s="42" t="str">
        <f>IF(AH463="","",IFERROR(ROUND(100*('Weighting Options'!$D$7*IF(ISNUMBER(CA463),CA463/3,0)+'Weighting Options'!$D$8*MIN(N(BL463),3)/3+'Weighting Options'!$D$9*IF(AP463="Community/Plenary-endorsed",1,IF(AP463="FGD-validated only",0.75,IF(AP463="Sub-community-specific",0.5,IF(AP463="Provisional/emerging",0.25,0))))+'Weighting Options'!$D$10*IF(ISNUMBER(K463),K463/3,0)+'Weighting Options'!$D$11*IF(CC463="",0.5,IF(CC463="OK",1,0.25))+'Weighting Options'!$D$12*IF(DK463="",0.5,IF(DK463="Agrees",1,IF(DK463="Opposite",0,0.5)))+'Weighting Options'!$D$13*MIN(N(BG463),3)/3+'Weighting Options'!$D$14*IF(AE463=1,1,0))/SUM('Weighting Options'!$D$7:$D$14),0),""))</f>
        <v/>
      </c>
      <c r="DR463" s="44" t="str">
        <f>IF(AH463="","",IFERROR(INDEX('Weighting Options'!$D$20:$D$27,VALUE(LEFT(TRIM(BU463),1))),1))</f>
        <v/>
      </c>
      <c r="DS463" s="44" t="str">
        <f t="shared" si="223"/>
        <v/>
      </c>
      <c r="DT463" s="42" t="str">
        <f>IF(AH463="","",IF(COUNTIFS($AH$12:AH463,AH463,$AI$12:AI463,AI463,$AM$12:AM463,AM463)=1,1,0))</f>
        <v/>
      </c>
    </row>
    <row r="464" spans="16:124" ht="12.75" customHeight="1" x14ac:dyDescent="0.35">
      <c r="P464" s="41"/>
      <c r="Q464" s="41"/>
      <c r="R464" s="41"/>
      <c r="S464" s="41"/>
      <c r="AH464" s="40"/>
      <c r="AP464" s="40"/>
      <c r="AS464" s="41"/>
      <c r="AT464" s="41"/>
      <c r="AW464" t="str">
        <f t="shared" si="196"/>
        <v/>
      </c>
      <c r="AX464" t="str">
        <f t="shared" si="197"/>
        <v/>
      </c>
      <c r="AY464" t="str">
        <f t="shared" si="198"/>
        <v/>
      </c>
      <c r="AZ464" s="40"/>
      <c r="BL464" s="47" t="str">
        <f t="shared" si="199"/>
        <v/>
      </c>
      <c r="BM464" s="47" t="str">
        <f t="shared" si="200"/>
        <v/>
      </c>
      <c r="BN464" s="47" t="str">
        <f t="shared" si="201"/>
        <v/>
      </c>
      <c r="BO464" s="47" t="str">
        <f t="shared" si="202"/>
        <v/>
      </c>
      <c r="BP464" s="47" t="str">
        <f t="shared" si="203"/>
        <v/>
      </c>
      <c r="BQ464" s="48" t="str">
        <f t="shared" si="204"/>
        <v/>
      </c>
      <c r="BR464" s="48" t="str">
        <f t="shared" si="205"/>
        <v/>
      </c>
      <c r="BS464" s="48" t="str">
        <f t="shared" si="206"/>
        <v/>
      </c>
      <c r="BT464" s="47" t="str">
        <f t="shared" si="207"/>
        <v/>
      </c>
      <c r="CA464" s="47" t="str">
        <f t="shared" si="208"/>
        <v/>
      </c>
      <c r="CB464" s="47" t="str">
        <f t="shared" si="209"/>
        <v/>
      </c>
      <c r="CC464" s="47" t="str">
        <f t="shared" si="210"/>
        <v/>
      </c>
      <c r="CD464" s="47" t="str">
        <f t="shared" si="211"/>
        <v/>
      </c>
      <c r="CE464" s="47" t="str">
        <f>IF(AH464="","",IF(OR(AI464&lt;&gt;'Seasonal Tercile Tally'!$B$3,AM464&lt;&gt;'Seasonal Tercile Tally'!$B$4),"Other site/ season",IF(DT464=0,"Excluded: duplicate (later row)",IF(N464&lt;&gt;1,"Excluded: not sighted",IF(AC464&lt;&gt;1,"Excluded: not confirmed",IF(AD464&lt;&gt;1,"Excluded: not approved",IF(AP464="Contested","Excluded: contested",IF(OR(U464="",U464=0),"Excluded: no tercile",IF(CB464="","Counted (simple tally only — no weight)","Counted")))))))))</f>
        <v/>
      </c>
      <c r="CF464" s="49" t="str">
        <f>IF(AH464="","",IFERROR(INDEX('Prior Multipliers'!$C$6:$C$70,MATCH(LEFT(AH464,10),'Prior Multipliers'!$A$6:$A$70,0)),IFERROR(INDEX('Prior Multipliers'!$C$6:$C$70,MATCH(LEFT(AH464,6),'Prior Multipliers'!$A$6:$A$70,0)),IFERROR(INDEX('Prior Multipliers'!$C$6:$C$70,MATCH(LEFT(AH464,2),'Prior Multipliers'!$A$6:$A$70,0)),1))))</f>
        <v/>
      </c>
      <c r="CG464" s="49" t="str">
        <f>IF(CB464="","",IF(AND('Seasonal Tercile Tally'!$B$5=1,BT464="Rating-based"),CB464*CF464,CB464))</f>
        <v/>
      </c>
      <c r="CH464" s="47">
        <f t="shared" si="212"/>
        <v>0</v>
      </c>
      <c r="CI464" s="45"/>
      <c r="CJ464" s="42" t="str">
        <f t="shared" si="213"/>
        <v/>
      </c>
      <c r="CM464" s="42" t="str">
        <f t="shared" si="214"/>
        <v/>
      </c>
      <c r="CP464" s="46" t="str">
        <f t="shared" si="215"/>
        <v/>
      </c>
      <c r="CS464" s="46" t="str">
        <f t="shared" si="216"/>
        <v/>
      </c>
      <c r="CT464" s="42" t="str">
        <f t="shared" si="217"/>
        <v/>
      </c>
      <c r="CU464" s="42" t="str">
        <f t="shared" si="218"/>
        <v/>
      </c>
      <c r="CV464" s="42" t="str">
        <f t="shared" si="219"/>
        <v/>
      </c>
      <c r="DB464" s="45"/>
      <c r="DH464" s="42" t="str">
        <f t="shared" si="220"/>
        <v/>
      </c>
      <c r="DI464" s="43" t="str">
        <f t="shared" si="221"/>
        <v/>
      </c>
      <c r="DK464" s="46" t="str">
        <f t="shared" si="222"/>
        <v/>
      </c>
      <c r="DQ464" s="42" t="str">
        <f>IF(AH464="","",IFERROR(ROUND(100*('Weighting Options'!$D$7*IF(ISNUMBER(CA464),CA464/3,0)+'Weighting Options'!$D$8*MIN(N(BL464),3)/3+'Weighting Options'!$D$9*IF(AP464="Community/Plenary-endorsed",1,IF(AP464="FGD-validated only",0.75,IF(AP464="Sub-community-specific",0.5,IF(AP464="Provisional/emerging",0.25,0))))+'Weighting Options'!$D$10*IF(ISNUMBER(K464),K464/3,0)+'Weighting Options'!$D$11*IF(CC464="",0.5,IF(CC464="OK",1,0.25))+'Weighting Options'!$D$12*IF(DK464="",0.5,IF(DK464="Agrees",1,IF(DK464="Opposite",0,0.5)))+'Weighting Options'!$D$13*MIN(N(BG464),3)/3+'Weighting Options'!$D$14*IF(AE464=1,1,0))/SUM('Weighting Options'!$D$7:$D$14),0),""))</f>
        <v/>
      </c>
      <c r="DR464" s="44" t="str">
        <f>IF(AH464="","",IFERROR(INDEX('Weighting Options'!$D$20:$D$27,VALUE(LEFT(TRIM(BU464),1))),1))</f>
        <v/>
      </c>
      <c r="DS464" s="44" t="str">
        <f t="shared" si="223"/>
        <v/>
      </c>
      <c r="DT464" s="42" t="str">
        <f>IF(AH464="","",IF(COUNTIFS($AH$12:AH464,AH464,$AI$12:AI464,AI464,$AM$12:AM464,AM464)=1,1,0))</f>
        <v/>
      </c>
    </row>
    <row r="465" spans="16:124" ht="12.75" customHeight="1" x14ac:dyDescent="0.35">
      <c r="P465" s="41"/>
      <c r="Q465" s="41"/>
      <c r="R465" s="41"/>
      <c r="S465" s="41"/>
      <c r="AH465" s="40"/>
      <c r="AP465" s="40"/>
      <c r="AS465" s="41"/>
      <c r="AT465" s="41"/>
      <c r="AW465" t="str">
        <f t="shared" si="196"/>
        <v/>
      </c>
      <c r="AX465" t="str">
        <f t="shared" si="197"/>
        <v/>
      </c>
      <c r="AY465" t="str">
        <f t="shared" si="198"/>
        <v/>
      </c>
      <c r="AZ465" s="40"/>
      <c r="BL465" s="47" t="str">
        <f t="shared" si="199"/>
        <v/>
      </c>
      <c r="BM465" s="47" t="str">
        <f t="shared" si="200"/>
        <v/>
      </c>
      <c r="BN465" s="47" t="str">
        <f t="shared" si="201"/>
        <v/>
      </c>
      <c r="BO465" s="47" t="str">
        <f t="shared" si="202"/>
        <v/>
      </c>
      <c r="BP465" s="47" t="str">
        <f t="shared" si="203"/>
        <v/>
      </c>
      <c r="BQ465" s="48" t="str">
        <f t="shared" si="204"/>
        <v/>
      </c>
      <c r="BR465" s="48" t="str">
        <f t="shared" si="205"/>
        <v/>
      </c>
      <c r="BS465" s="48" t="str">
        <f t="shared" si="206"/>
        <v/>
      </c>
      <c r="BT465" s="47" t="str">
        <f t="shared" si="207"/>
        <v/>
      </c>
      <c r="CA465" s="47" t="str">
        <f t="shared" si="208"/>
        <v/>
      </c>
      <c r="CB465" s="47" t="str">
        <f t="shared" si="209"/>
        <v/>
      </c>
      <c r="CC465" s="47" t="str">
        <f t="shared" si="210"/>
        <v/>
      </c>
      <c r="CD465" s="47" t="str">
        <f t="shared" si="211"/>
        <v/>
      </c>
      <c r="CE465" s="47" t="str">
        <f>IF(AH465="","",IF(OR(AI465&lt;&gt;'Seasonal Tercile Tally'!$B$3,AM465&lt;&gt;'Seasonal Tercile Tally'!$B$4),"Other site/ season",IF(DT465=0,"Excluded: duplicate (later row)",IF(N465&lt;&gt;1,"Excluded: not sighted",IF(AC465&lt;&gt;1,"Excluded: not confirmed",IF(AD465&lt;&gt;1,"Excluded: not approved",IF(AP465="Contested","Excluded: contested",IF(OR(U465="",U465=0),"Excluded: no tercile",IF(CB465="","Counted (simple tally only — no weight)","Counted")))))))))</f>
        <v/>
      </c>
      <c r="CF465" s="49" t="str">
        <f>IF(AH465="","",IFERROR(INDEX('Prior Multipliers'!$C$6:$C$70,MATCH(LEFT(AH465,10),'Prior Multipliers'!$A$6:$A$70,0)),IFERROR(INDEX('Prior Multipliers'!$C$6:$C$70,MATCH(LEFT(AH465,6),'Prior Multipliers'!$A$6:$A$70,0)),IFERROR(INDEX('Prior Multipliers'!$C$6:$C$70,MATCH(LEFT(AH465,2),'Prior Multipliers'!$A$6:$A$70,0)),1))))</f>
        <v/>
      </c>
      <c r="CG465" s="49" t="str">
        <f>IF(CB465="","",IF(AND('Seasonal Tercile Tally'!$B$5=1,BT465="Rating-based"),CB465*CF465,CB465))</f>
        <v/>
      </c>
      <c r="CH465" s="47">
        <f t="shared" si="212"/>
        <v>0</v>
      </c>
      <c r="CI465" s="45"/>
      <c r="CJ465" s="42" t="str">
        <f t="shared" si="213"/>
        <v/>
      </c>
      <c r="CM465" s="42" t="str">
        <f t="shared" si="214"/>
        <v/>
      </c>
      <c r="CP465" s="46" t="str">
        <f t="shared" si="215"/>
        <v/>
      </c>
      <c r="CS465" s="46" t="str">
        <f t="shared" si="216"/>
        <v/>
      </c>
      <c r="CT465" s="42" t="str">
        <f t="shared" si="217"/>
        <v/>
      </c>
      <c r="CU465" s="42" t="str">
        <f t="shared" si="218"/>
        <v/>
      </c>
      <c r="CV465" s="42" t="str">
        <f t="shared" si="219"/>
        <v/>
      </c>
      <c r="DB465" s="45"/>
      <c r="DH465" s="42" t="str">
        <f t="shared" si="220"/>
        <v/>
      </c>
      <c r="DI465" s="43" t="str">
        <f t="shared" si="221"/>
        <v/>
      </c>
      <c r="DK465" s="46" t="str">
        <f t="shared" si="222"/>
        <v/>
      </c>
      <c r="DQ465" s="42" t="str">
        <f>IF(AH465="","",IFERROR(ROUND(100*('Weighting Options'!$D$7*IF(ISNUMBER(CA465),CA465/3,0)+'Weighting Options'!$D$8*MIN(N(BL465),3)/3+'Weighting Options'!$D$9*IF(AP465="Community/Plenary-endorsed",1,IF(AP465="FGD-validated only",0.75,IF(AP465="Sub-community-specific",0.5,IF(AP465="Provisional/emerging",0.25,0))))+'Weighting Options'!$D$10*IF(ISNUMBER(K465),K465/3,0)+'Weighting Options'!$D$11*IF(CC465="",0.5,IF(CC465="OK",1,0.25))+'Weighting Options'!$D$12*IF(DK465="",0.5,IF(DK465="Agrees",1,IF(DK465="Opposite",0,0.5)))+'Weighting Options'!$D$13*MIN(N(BG465),3)/3+'Weighting Options'!$D$14*IF(AE465=1,1,0))/SUM('Weighting Options'!$D$7:$D$14),0),""))</f>
        <v/>
      </c>
      <c r="DR465" s="44" t="str">
        <f>IF(AH465="","",IFERROR(INDEX('Weighting Options'!$D$20:$D$27,VALUE(LEFT(TRIM(BU465),1))),1))</f>
        <v/>
      </c>
      <c r="DS465" s="44" t="str">
        <f t="shared" si="223"/>
        <v/>
      </c>
      <c r="DT465" s="42" t="str">
        <f>IF(AH465="","",IF(COUNTIFS($AH$12:AH465,AH465,$AI$12:AI465,AI465,$AM$12:AM465,AM465)=1,1,0))</f>
        <v/>
      </c>
    </row>
    <row r="466" spans="16:124" ht="12.75" customHeight="1" x14ac:dyDescent="0.35">
      <c r="P466" s="41"/>
      <c r="Q466" s="41"/>
      <c r="R466" s="41"/>
      <c r="S466" s="41"/>
      <c r="AH466" s="40"/>
      <c r="AP466" s="40"/>
      <c r="AS466" s="41"/>
      <c r="AT466" s="41"/>
      <c r="AW466" t="str">
        <f t="shared" si="196"/>
        <v/>
      </c>
      <c r="AX466" t="str">
        <f t="shared" si="197"/>
        <v/>
      </c>
      <c r="AY466" t="str">
        <f t="shared" si="198"/>
        <v/>
      </c>
      <c r="AZ466" s="40"/>
      <c r="BL466" s="47" t="str">
        <f t="shared" si="199"/>
        <v/>
      </c>
      <c r="BM466" s="47" t="str">
        <f t="shared" si="200"/>
        <v/>
      </c>
      <c r="BN466" s="47" t="str">
        <f t="shared" si="201"/>
        <v/>
      </c>
      <c r="BO466" s="47" t="str">
        <f t="shared" si="202"/>
        <v/>
      </c>
      <c r="BP466" s="47" t="str">
        <f t="shared" si="203"/>
        <v/>
      </c>
      <c r="BQ466" s="48" t="str">
        <f t="shared" si="204"/>
        <v/>
      </c>
      <c r="BR466" s="48" t="str">
        <f t="shared" si="205"/>
        <v/>
      </c>
      <c r="BS466" s="48" t="str">
        <f t="shared" si="206"/>
        <v/>
      </c>
      <c r="BT466" s="47" t="str">
        <f t="shared" si="207"/>
        <v/>
      </c>
      <c r="CA466" s="47" t="str">
        <f t="shared" si="208"/>
        <v/>
      </c>
      <c r="CB466" s="47" t="str">
        <f t="shared" si="209"/>
        <v/>
      </c>
      <c r="CC466" s="47" t="str">
        <f t="shared" si="210"/>
        <v/>
      </c>
      <c r="CD466" s="47" t="str">
        <f t="shared" si="211"/>
        <v/>
      </c>
      <c r="CE466" s="47" t="str">
        <f>IF(AH466="","",IF(OR(AI466&lt;&gt;'Seasonal Tercile Tally'!$B$3,AM466&lt;&gt;'Seasonal Tercile Tally'!$B$4),"Other site/ season",IF(DT466=0,"Excluded: duplicate (later row)",IF(N466&lt;&gt;1,"Excluded: not sighted",IF(AC466&lt;&gt;1,"Excluded: not confirmed",IF(AD466&lt;&gt;1,"Excluded: not approved",IF(AP466="Contested","Excluded: contested",IF(OR(U466="",U466=0),"Excluded: no tercile",IF(CB466="","Counted (simple tally only — no weight)","Counted")))))))))</f>
        <v/>
      </c>
      <c r="CF466" s="49" t="str">
        <f>IF(AH466="","",IFERROR(INDEX('Prior Multipliers'!$C$6:$C$70,MATCH(LEFT(AH466,10),'Prior Multipliers'!$A$6:$A$70,0)),IFERROR(INDEX('Prior Multipliers'!$C$6:$C$70,MATCH(LEFT(AH466,6),'Prior Multipliers'!$A$6:$A$70,0)),IFERROR(INDEX('Prior Multipliers'!$C$6:$C$70,MATCH(LEFT(AH466,2),'Prior Multipliers'!$A$6:$A$70,0)),1))))</f>
        <v/>
      </c>
      <c r="CG466" s="49" t="str">
        <f>IF(CB466="","",IF(AND('Seasonal Tercile Tally'!$B$5=1,BT466="Rating-based"),CB466*CF466,CB466))</f>
        <v/>
      </c>
      <c r="CH466" s="47">
        <f t="shared" si="212"/>
        <v>0</v>
      </c>
      <c r="CI466" s="45"/>
      <c r="CJ466" s="42" t="str">
        <f t="shared" si="213"/>
        <v/>
      </c>
      <c r="CM466" s="42" t="str">
        <f t="shared" si="214"/>
        <v/>
      </c>
      <c r="CP466" s="46" t="str">
        <f t="shared" si="215"/>
        <v/>
      </c>
      <c r="CS466" s="46" t="str">
        <f t="shared" si="216"/>
        <v/>
      </c>
      <c r="CT466" s="42" t="str">
        <f t="shared" si="217"/>
        <v/>
      </c>
      <c r="CU466" s="42" t="str">
        <f t="shared" si="218"/>
        <v/>
      </c>
      <c r="CV466" s="42" t="str">
        <f t="shared" si="219"/>
        <v/>
      </c>
      <c r="DB466" s="45"/>
      <c r="DH466" s="42" t="str">
        <f t="shared" si="220"/>
        <v/>
      </c>
      <c r="DI466" s="43" t="str">
        <f t="shared" si="221"/>
        <v/>
      </c>
      <c r="DK466" s="46" t="str">
        <f t="shared" si="222"/>
        <v/>
      </c>
      <c r="DQ466" s="42" t="str">
        <f>IF(AH466="","",IFERROR(ROUND(100*('Weighting Options'!$D$7*IF(ISNUMBER(CA466),CA466/3,0)+'Weighting Options'!$D$8*MIN(N(BL466),3)/3+'Weighting Options'!$D$9*IF(AP466="Community/Plenary-endorsed",1,IF(AP466="FGD-validated only",0.75,IF(AP466="Sub-community-specific",0.5,IF(AP466="Provisional/emerging",0.25,0))))+'Weighting Options'!$D$10*IF(ISNUMBER(K466),K466/3,0)+'Weighting Options'!$D$11*IF(CC466="",0.5,IF(CC466="OK",1,0.25))+'Weighting Options'!$D$12*IF(DK466="",0.5,IF(DK466="Agrees",1,IF(DK466="Opposite",0,0.5)))+'Weighting Options'!$D$13*MIN(N(BG466),3)/3+'Weighting Options'!$D$14*IF(AE466=1,1,0))/SUM('Weighting Options'!$D$7:$D$14),0),""))</f>
        <v/>
      </c>
      <c r="DR466" s="44" t="str">
        <f>IF(AH466="","",IFERROR(INDEX('Weighting Options'!$D$20:$D$27,VALUE(LEFT(TRIM(BU466),1))),1))</f>
        <v/>
      </c>
      <c r="DS466" s="44" t="str">
        <f t="shared" si="223"/>
        <v/>
      </c>
      <c r="DT466" s="42" t="str">
        <f>IF(AH466="","",IF(COUNTIFS($AH$12:AH466,AH466,$AI$12:AI466,AI466,$AM$12:AM466,AM466)=1,1,0))</f>
        <v/>
      </c>
    </row>
    <row r="467" spans="16:124" ht="12.75" customHeight="1" x14ac:dyDescent="0.35">
      <c r="P467" s="41"/>
      <c r="Q467" s="41"/>
      <c r="R467" s="41"/>
      <c r="S467" s="41"/>
      <c r="AH467" s="40"/>
      <c r="AP467" s="40"/>
      <c r="AS467" s="41"/>
      <c r="AT467" s="41"/>
      <c r="AW467" t="str">
        <f t="shared" si="196"/>
        <v/>
      </c>
      <c r="AX467" t="str">
        <f t="shared" si="197"/>
        <v/>
      </c>
      <c r="AY467" t="str">
        <f t="shared" si="198"/>
        <v/>
      </c>
      <c r="AZ467" s="40"/>
      <c r="BL467" s="47" t="str">
        <f t="shared" si="199"/>
        <v/>
      </c>
      <c r="BM467" s="47" t="str">
        <f t="shared" si="200"/>
        <v/>
      </c>
      <c r="BN467" s="47" t="str">
        <f t="shared" si="201"/>
        <v/>
      </c>
      <c r="BO467" s="47" t="str">
        <f t="shared" si="202"/>
        <v/>
      </c>
      <c r="BP467" s="47" t="str">
        <f t="shared" si="203"/>
        <v/>
      </c>
      <c r="BQ467" s="48" t="str">
        <f t="shared" si="204"/>
        <v/>
      </c>
      <c r="BR467" s="48" t="str">
        <f t="shared" si="205"/>
        <v/>
      </c>
      <c r="BS467" s="48" t="str">
        <f t="shared" si="206"/>
        <v/>
      </c>
      <c r="BT467" s="47" t="str">
        <f t="shared" si="207"/>
        <v/>
      </c>
      <c r="CA467" s="47" t="str">
        <f t="shared" si="208"/>
        <v/>
      </c>
      <c r="CB467" s="47" t="str">
        <f t="shared" si="209"/>
        <v/>
      </c>
      <c r="CC467" s="47" t="str">
        <f t="shared" si="210"/>
        <v/>
      </c>
      <c r="CD467" s="47" t="str">
        <f t="shared" si="211"/>
        <v/>
      </c>
      <c r="CE467" s="47" t="str">
        <f>IF(AH467="","",IF(OR(AI467&lt;&gt;'Seasonal Tercile Tally'!$B$3,AM467&lt;&gt;'Seasonal Tercile Tally'!$B$4),"Other site/ season",IF(DT467=0,"Excluded: duplicate (later row)",IF(N467&lt;&gt;1,"Excluded: not sighted",IF(AC467&lt;&gt;1,"Excluded: not confirmed",IF(AD467&lt;&gt;1,"Excluded: not approved",IF(AP467="Contested","Excluded: contested",IF(OR(U467="",U467=0),"Excluded: no tercile",IF(CB467="","Counted (simple tally only — no weight)","Counted")))))))))</f>
        <v/>
      </c>
      <c r="CF467" s="49" t="str">
        <f>IF(AH467="","",IFERROR(INDEX('Prior Multipliers'!$C$6:$C$70,MATCH(LEFT(AH467,10),'Prior Multipliers'!$A$6:$A$70,0)),IFERROR(INDEX('Prior Multipliers'!$C$6:$C$70,MATCH(LEFT(AH467,6),'Prior Multipliers'!$A$6:$A$70,0)),IFERROR(INDEX('Prior Multipliers'!$C$6:$C$70,MATCH(LEFT(AH467,2),'Prior Multipliers'!$A$6:$A$70,0)),1))))</f>
        <v/>
      </c>
      <c r="CG467" s="49" t="str">
        <f>IF(CB467="","",IF(AND('Seasonal Tercile Tally'!$B$5=1,BT467="Rating-based"),CB467*CF467,CB467))</f>
        <v/>
      </c>
      <c r="CH467" s="47">
        <f t="shared" si="212"/>
        <v>0</v>
      </c>
      <c r="CI467" s="45"/>
      <c r="CJ467" s="42" t="str">
        <f t="shared" si="213"/>
        <v/>
      </c>
      <c r="CM467" s="42" t="str">
        <f t="shared" si="214"/>
        <v/>
      </c>
      <c r="CP467" s="46" t="str">
        <f t="shared" si="215"/>
        <v/>
      </c>
      <c r="CS467" s="46" t="str">
        <f t="shared" si="216"/>
        <v/>
      </c>
      <c r="CT467" s="42" t="str">
        <f t="shared" si="217"/>
        <v/>
      </c>
      <c r="CU467" s="42" t="str">
        <f t="shared" si="218"/>
        <v/>
      </c>
      <c r="CV467" s="42" t="str">
        <f t="shared" si="219"/>
        <v/>
      </c>
      <c r="DB467" s="45"/>
      <c r="DH467" s="42" t="str">
        <f t="shared" si="220"/>
        <v/>
      </c>
      <c r="DI467" s="43" t="str">
        <f t="shared" si="221"/>
        <v/>
      </c>
      <c r="DK467" s="46" t="str">
        <f t="shared" si="222"/>
        <v/>
      </c>
      <c r="DQ467" s="42" t="str">
        <f>IF(AH467="","",IFERROR(ROUND(100*('Weighting Options'!$D$7*IF(ISNUMBER(CA467),CA467/3,0)+'Weighting Options'!$D$8*MIN(N(BL467),3)/3+'Weighting Options'!$D$9*IF(AP467="Community/Plenary-endorsed",1,IF(AP467="FGD-validated only",0.75,IF(AP467="Sub-community-specific",0.5,IF(AP467="Provisional/emerging",0.25,0))))+'Weighting Options'!$D$10*IF(ISNUMBER(K467),K467/3,0)+'Weighting Options'!$D$11*IF(CC467="",0.5,IF(CC467="OK",1,0.25))+'Weighting Options'!$D$12*IF(DK467="",0.5,IF(DK467="Agrees",1,IF(DK467="Opposite",0,0.5)))+'Weighting Options'!$D$13*MIN(N(BG467),3)/3+'Weighting Options'!$D$14*IF(AE467=1,1,0))/SUM('Weighting Options'!$D$7:$D$14),0),""))</f>
        <v/>
      </c>
      <c r="DR467" s="44" t="str">
        <f>IF(AH467="","",IFERROR(INDEX('Weighting Options'!$D$20:$D$27,VALUE(LEFT(TRIM(BU467),1))),1))</f>
        <v/>
      </c>
      <c r="DS467" s="44" t="str">
        <f t="shared" si="223"/>
        <v/>
      </c>
      <c r="DT467" s="42" t="str">
        <f>IF(AH467="","",IF(COUNTIFS($AH$12:AH467,AH467,$AI$12:AI467,AI467,$AM$12:AM467,AM467)=1,1,0))</f>
        <v/>
      </c>
    </row>
    <row r="468" spans="16:124" ht="12.75" customHeight="1" x14ac:dyDescent="0.35">
      <c r="P468" s="41"/>
      <c r="Q468" s="41"/>
      <c r="R468" s="41"/>
      <c r="S468" s="41"/>
      <c r="AH468" s="40"/>
      <c r="AP468" s="40"/>
      <c r="AS468" s="41"/>
      <c r="AT468" s="41"/>
      <c r="AW468" t="str">
        <f t="shared" si="196"/>
        <v/>
      </c>
      <c r="AX468" t="str">
        <f t="shared" si="197"/>
        <v/>
      </c>
      <c r="AY468" t="str">
        <f t="shared" si="198"/>
        <v/>
      </c>
      <c r="AZ468" s="40"/>
      <c r="BL468" s="47" t="str">
        <f t="shared" si="199"/>
        <v/>
      </c>
      <c r="BM468" s="47" t="str">
        <f t="shared" si="200"/>
        <v/>
      </c>
      <c r="BN468" s="47" t="str">
        <f t="shared" si="201"/>
        <v/>
      </c>
      <c r="BO468" s="47" t="str">
        <f t="shared" si="202"/>
        <v/>
      </c>
      <c r="BP468" s="47" t="str">
        <f t="shared" si="203"/>
        <v/>
      </c>
      <c r="BQ468" s="48" t="str">
        <f t="shared" si="204"/>
        <v/>
      </c>
      <c r="BR468" s="48" t="str">
        <f t="shared" si="205"/>
        <v/>
      </c>
      <c r="BS468" s="48" t="str">
        <f t="shared" si="206"/>
        <v/>
      </c>
      <c r="BT468" s="47" t="str">
        <f t="shared" si="207"/>
        <v/>
      </c>
      <c r="CA468" s="47" t="str">
        <f t="shared" si="208"/>
        <v/>
      </c>
      <c r="CB468" s="47" t="str">
        <f t="shared" si="209"/>
        <v/>
      </c>
      <c r="CC468" s="47" t="str">
        <f t="shared" si="210"/>
        <v/>
      </c>
      <c r="CD468" s="47" t="str">
        <f t="shared" si="211"/>
        <v/>
      </c>
      <c r="CE468" s="47" t="str">
        <f>IF(AH468="","",IF(OR(AI468&lt;&gt;'Seasonal Tercile Tally'!$B$3,AM468&lt;&gt;'Seasonal Tercile Tally'!$B$4),"Other site/ season",IF(DT468=0,"Excluded: duplicate (later row)",IF(N468&lt;&gt;1,"Excluded: not sighted",IF(AC468&lt;&gt;1,"Excluded: not confirmed",IF(AD468&lt;&gt;1,"Excluded: not approved",IF(AP468="Contested","Excluded: contested",IF(OR(U468="",U468=0),"Excluded: no tercile",IF(CB468="","Counted (simple tally only — no weight)","Counted")))))))))</f>
        <v/>
      </c>
      <c r="CF468" s="49" t="str">
        <f>IF(AH468="","",IFERROR(INDEX('Prior Multipliers'!$C$6:$C$70,MATCH(LEFT(AH468,10),'Prior Multipliers'!$A$6:$A$70,0)),IFERROR(INDEX('Prior Multipliers'!$C$6:$C$70,MATCH(LEFT(AH468,6),'Prior Multipliers'!$A$6:$A$70,0)),IFERROR(INDEX('Prior Multipliers'!$C$6:$C$70,MATCH(LEFT(AH468,2),'Prior Multipliers'!$A$6:$A$70,0)),1))))</f>
        <v/>
      </c>
      <c r="CG468" s="49" t="str">
        <f>IF(CB468="","",IF(AND('Seasonal Tercile Tally'!$B$5=1,BT468="Rating-based"),CB468*CF468,CB468))</f>
        <v/>
      </c>
      <c r="CH468" s="47">
        <f t="shared" si="212"/>
        <v>0</v>
      </c>
      <c r="CI468" s="45"/>
      <c r="CJ468" s="42" t="str">
        <f t="shared" si="213"/>
        <v/>
      </c>
      <c r="CM468" s="42" t="str">
        <f t="shared" si="214"/>
        <v/>
      </c>
      <c r="CP468" s="46" t="str">
        <f t="shared" si="215"/>
        <v/>
      </c>
      <c r="CS468" s="46" t="str">
        <f t="shared" si="216"/>
        <v/>
      </c>
      <c r="CT468" s="42" t="str">
        <f t="shared" si="217"/>
        <v/>
      </c>
      <c r="CU468" s="42" t="str">
        <f t="shared" si="218"/>
        <v/>
      </c>
      <c r="CV468" s="42" t="str">
        <f t="shared" si="219"/>
        <v/>
      </c>
      <c r="DB468" s="45"/>
      <c r="DH468" s="42" t="str">
        <f t="shared" si="220"/>
        <v/>
      </c>
      <c r="DI468" s="43" t="str">
        <f t="shared" si="221"/>
        <v/>
      </c>
      <c r="DK468" s="46" t="str">
        <f t="shared" si="222"/>
        <v/>
      </c>
      <c r="DQ468" s="42" t="str">
        <f>IF(AH468="","",IFERROR(ROUND(100*('Weighting Options'!$D$7*IF(ISNUMBER(CA468),CA468/3,0)+'Weighting Options'!$D$8*MIN(N(BL468),3)/3+'Weighting Options'!$D$9*IF(AP468="Community/Plenary-endorsed",1,IF(AP468="FGD-validated only",0.75,IF(AP468="Sub-community-specific",0.5,IF(AP468="Provisional/emerging",0.25,0))))+'Weighting Options'!$D$10*IF(ISNUMBER(K468),K468/3,0)+'Weighting Options'!$D$11*IF(CC468="",0.5,IF(CC468="OK",1,0.25))+'Weighting Options'!$D$12*IF(DK468="",0.5,IF(DK468="Agrees",1,IF(DK468="Opposite",0,0.5)))+'Weighting Options'!$D$13*MIN(N(BG468),3)/3+'Weighting Options'!$D$14*IF(AE468=1,1,0))/SUM('Weighting Options'!$D$7:$D$14),0),""))</f>
        <v/>
      </c>
      <c r="DR468" s="44" t="str">
        <f>IF(AH468="","",IFERROR(INDEX('Weighting Options'!$D$20:$D$27,VALUE(LEFT(TRIM(BU468),1))),1))</f>
        <v/>
      </c>
      <c r="DS468" s="44" t="str">
        <f t="shared" si="223"/>
        <v/>
      </c>
      <c r="DT468" s="42" t="str">
        <f>IF(AH468="","",IF(COUNTIFS($AH$12:AH468,AH468,$AI$12:AI468,AI468,$AM$12:AM468,AM468)=1,1,0))</f>
        <v/>
      </c>
    </row>
    <row r="469" spans="16:124" ht="12.75" customHeight="1" x14ac:dyDescent="0.35">
      <c r="P469" s="41"/>
      <c r="Q469" s="41"/>
      <c r="R469" s="41"/>
      <c r="S469" s="41"/>
      <c r="AH469" s="40"/>
      <c r="AP469" s="40"/>
      <c r="AS469" s="41"/>
      <c r="AT469" s="41"/>
      <c r="AW469" t="str">
        <f t="shared" si="196"/>
        <v/>
      </c>
      <c r="AX469" t="str">
        <f t="shared" si="197"/>
        <v/>
      </c>
      <c r="AY469" t="str">
        <f t="shared" si="198"/>
        <v/>
      </c>
      <c r="AZ469" s="40"/>
      <c r="BL469" s="47" t="str">
        <f t="shared" si="199"/>
        <v/>
      </c>
      <c r="BM469" s="47" t="str">
        <f t="shared" si="200"/>
        <v/>
      </c>
      <c r="BN469" s="47" t="str">
        <f t="shared" si="201"/>
        <v/>
      </c>
      <c r="BO469" s="47" t="str">
        <f t="shared" si="202"/>
        <v/>
      </c>
      <c r="BP469" s="47" t="str">
        <f t="shared" si="203"/>
        <v/>
      </c>
      <c r="BQ469" s="48" t="str">
        <f t="shared" si="204"/>
        <v/>
      </c>
      <c r="BR469" s="48" t="str">
        <f t="shared" si="205"/>
        <v/>
      </c>
      <c r="BS469" s="48" t="str">
        <f t="shared" si="206"/>
        <v/>
      </c>
      <c r="BT469" s="47" t="str">
        <f t="shared" si="207"/>
        <v/>
      </c>
      <c r="CA469" s="47" t="str">
        <f t="shared" si="208"/>
        <v/>
      </c>
      <c r="CB469" s="47" t="str">
        <f t="shared" si="209"/>
        <v/>
      </c>
      <c r="CC469" s="47" t="str">
        <f t="shared" si="210"/>
        <v/>
      </c>
      <c r="CD469" s="47" t="str">
        <f t="shared" si="211"/>
        <v/>
      </c>
      <c r="CE469" s="47" t="str">
        <f>IF(AH469="","",IF(OR(AI469&lt;&gt;'Seasonal Tercile Tally'!$B$3,AM469&lt;&gt;'Seasonal Tercile Tally'!$B$4),"Other site/ season",IF(DT469=0,"Excluded: duplicate (later row)",IF(N469&lt;&gt;1,"Excluded: not sighted",IF(AC469&lt;&gt;1,"Excluded: not confirmed",IF(AD469&lt;&gt;1,"Excluded: not approved",IF(AP469="Contested","Excluded: contested",IF(OR(U469="",U469=0),"Excluded: no tercile",IF(CB469="","Counted (simple tally only — no weight)","Counted")))))))))</f>
        <v/>
      </c>
      <c r="CF469" s="49" t="str">
        <f>IF(AH469="","",IFERROR(INDEX('Prior Multipliers'!$C$6:$C$70,MATCH(LEFT(AH469,10),'Prior Multipliers'!$A$6:$A$70,0)),IFERROR(INDEX('Prior Multipliers'!$C$6:$C$70,MATCH(LEFT(AH469,6),'Prior Multipliers'!$A$6:$A$70,0)),IFERROR(INDEX('Prior Multipliers'!$C$6:$C$70,MATCH(LEFT(AH469,2),'Prior Multipliers'!$A$6:$A$70,0)),1))))</f>
        <v/>
      </c>
      <c r="CG469" s="49" t="str">
        <f>IF(CB469="","",IF(AND('Seasonal Tercile Tally'!$B$5=1,BT469="Rating-based"),CB469*CF469,CB469))</f>
        <v/>
      </c>
      <c r="CH469" s="47">
        <f t="shared" si="212"/>
        <v>0</v>
      </c>
      <c r="CI469" s="45"/>
      <c r="CJ469" s="42" t="str">
        <f t="shared" si="213"/>
        <v/>
      </c>
      <c r="CM469" s="42" t="str">
        <f t="shared" si="214"/>
        <v/>
      </c>
      <c r="CP469" s="46" t="str">
        <f t="shared" si="215"/>
        <v/>
      </c>
      <c r="CS469" s="46" t="str">
        <f t="shared" si="216"/>
        <v/>
      </c>
      <c r="CT469" s="42" t="str">
        <f t="shared" si="217"/>
        <v/>
      </c>
      <c r="CU469" s="42" t="str">
        <f t="shared" si="218"/>
        <v/>
      </c>
      <c r="CV469" s="42" t="str">
        <f t="shared" si="219"/>
        <v/>
      </c>
      <c r="DB469" s="45"/>
      <c r="DH469" s="42" t="str">
        <f t="shared" si="220"/>
        <v/>
      </c>
      <c r="DI469" s="43" t="str">
        <f t="shared" si="221"/>
        <v/>
      </c>
      <c r="DK469" s="46" t="str">
        <f t="shared" si="222"/>
        <v/>
      </c>
      <c r="DQ469" s="42" t="str">
        <f>IF(AH469="","",IFERROR(ROUND(100*('Weighting Options'!$D$7*IF(ISNUMBER(CA469),CA469/3,0)+'Weighting Options'!$D$8*MIN(N(BL469),3)/3+'Weighting Options'!$D$9*IF(AP469="Community/Plenary-endorsed",1,IF(AP469="FGD-validated only",0.75,IF(AP469="Sub-community-specific",0.5,IF(AP469="Provisional/emerging",0.25,0))))+'Weighting Options'!$D$10*IF(ISNUMBER(K469),K469/3,0)+'Weighting Options'!$D$11*IF(CC469="",0.5,IF(CC469="OK",1,0.25))+'Weighting Options'!$D$12*IF(DK469="",0.5,IF(DK469="Agrees",1,IF(DK469="Opposite",0,0.5)))+'Weighting Options'!$D$13*MIN(N(BG469),3)/3+'Weighting Options'!$D$14*IF(AE469=1,1,0))/SUM('Weighting Options'!$D$7:$D$14),0),""))</f>
        <v/>
      </c>
      <c r="DR469" s="44" t="str">
        <f>IF(AH469="","",IFERROR(INDEX('Weighting Options'!$D$20:$D$27,VALUE(LEFT(TRIM(BU469),1))),1))</f>
        <v/>
      </c>
      <c r="DS469" s="44" t="str">
        <f t="shared" si="223"/>
        <v/>
      </c>
      <c r="DT469" s="42" t="str">
        <f>IF(AH469="","",IF(COUNTIFS($AH$12:AH469,AH469,$AI$12:AI469,AI469,$AM$12:AM469,AM469)=1,1,0))</f>
        <v/>
      </c>
    </row>
    <row r="470" spans="16:124" ht="12.75" customHeight="1" x14ac:dyDescent="0.35">
      <c r="P470" s="41"/>
      <c r="Q470" s="41"/>
      <c r="R470" s="41"/>
      <c r="S470" s="41"/>
      <c r="AH470" s="40"/>
      <c r="AP470" s="40"/>
      <c r="AS470" s="41"/>
      <c r="AT470" s="41"/>
      <c r="AW470" t="str">
        <f t="shared" si="196"/>
        <v/>
      </c>
      <c r="AX470" t="str">
        <f t="shared" si="197"/>
        <v/>
      </c>
      <c r="AY470" t="str">
        <f t="shared" si="198"/>
        <v/>
      </c>
      <c r="AZ470" s="40"/>
      <c r="BL470" s="47" t="str">
        <f t="shared" si="199"/>
        <v/>
      </c>
      <c r="BM470" s="47" t="str">
        <f t="shared" si="200"/>
        <v/>
      </c>
      <c r="BN470" s="47" t="str">
        <f t="shared" si="201"/>
        <v/>
      </c>
      <c r="BO470" s="47" t="str">
        <f t="shared" si="202"/>
        <v/>
      </c>
      <c r="BP470" s="47" t="str">
        <f t="shared" si="203"/>
        <v/>
      </c>
      <c r="BQ470" s="48" t="str">
        <f t="shared" si="204"/>
        <v/>
      </c>
      <c r="BR470" s="48" t="str">
        <f t="shared" si="205"/>
        <v/>
      </c>
      <c r="BS470" s="48" t="str">
        <f t="shared" si="206"/>
        <v/>
      </c>
      <c r="BT470" s="47" t="str">
        <f t="shared" si="207"/>
        <v/>
      </c>
      <c r="CA470" s="47" t="str">
        <f t="shared" si="208"/>
        <v/>
      </c>
      <c r="CB470" s="47" t="str">
        <f t="shared" si="209"/>
        <v/>
      </c>
      <c r="CC470" s="47" t="str">
        <f t="shared" si="210"/>
        <v/>
      </c>
      <c r="CD470" s="47" t="str">
        <f t="shared" si="211"/>
        <v/>
      </c>
      <c r="CE470" s="47" t="str">
        <f>IF(AH470="","",IF(OR(AI470&lt;&gt;'Seasonal Tercile Tally'!$B$3,AM470&lt;&gt;'Seasonal Tercile Tally'!$B$4),"Other site/ season",IF(DT470=0,"Excluded: duplicate (later row)",IF(N470&lt;&gt;1,"Excluded: not sighted",IF(AC470&lt;&gt;1,"Excluded: not confirmed",IF(AD470&lt;&gt;1,"Excluded: not approved",IF(AP470="Contested","Excluded: contested",IF(OR(U470="",U470=0),"Excluded: no tercile",IF(CB470="","Counted (simple tally only — no weight)","Counted")))))))))</f>
        <v/>
      </c>
      <c r="CF470" s="49" t="str">
        <f>IF(AH470="","",IFERROR(INDEX('Prior Multipliers'!$C$6:$C$70,MATCH(LEFT(AH470,10),'Prior Multipliers'!$A$6:$A$70,0)),IFERROR(INDEX('Prior Multipliers'!$C$6:$C$70,MATCH(LEFT(AH470,6),'Prior Multipliers'!$A$6:$A$70,0)),IFERROR(INDEX('Prior Multipliers'!$C$6:$C$70,MATCH(LEFT(AH470,2),'Prior Multipliers'!$A$6:$A$70,0)),1))))</f>
        <v/>
      </c>
      <c r="CG470" s="49" t="str">
        <f>IF(CB470="","",IF(AND('Seasonal Tercile Tally'!$B$5=1,BT470="Rating-based"),CB470*CF470,CB470))</f>
        <v/>
      </c>
      <c r="CH470" s="47">
        <f t="shared" si="212"/>
        <v>0</v>
      </c>
      <c r="CI470" s="45"/>
      <c r="CJ470" s="42" t="str">
        <f t="shared" si="213"/>
        <v/>
      </c>
      <c r="CM470" s="42" t="str">
        <f t="shared" si="214"/>
        <v/>
      </c>
      <c r="CP470" s="46" t="str">
        <f t="shared" si="215"/>
        <v/>
      </c>
      <c r="CS470" s="46" t="str">
        <f t="shared" si="216"/>
        <v/>
      </c>
      <c r="CT470" s="42" t="str">
        <f t="shared" si="217"/>
        <v/>
      </c>
      <c r="CU470" s="42" t="str">
        <f t="shared" si="218"/>
        <v/>
      </c>
      <c r="CV470" s="42" t="str">
        <f t="shared" si="219"/>
        <v/>
      </c>
      <c r="DB470" s="45"/>
      <c r="DH470" s="42" t="str">
        <f t="shared" si="220"/>
        <v/>
      </c>
      <c r="DI470" s="43" t="str">
        <f t="shared" si="221"/>
        <v/>
      </c>
      <c r="DK470" s="46" t="str">
        <f t="shared" si="222"/>
        <v/>
      </c>
      <c r="DQ470" s="42" t="str">
        <f>IF(AH470="","",IFERROR(ROUND(100*('Weighting Options'!$D$7*IF(ISNUMBER(CA470),CA470/3,0)+'Weighting Options'!$D$8*MIN(N(BL470),3)/3+'Weighting Options'!$D$9*IF(AP470="Community/Plenary-endorsed",1,IF(AP470="FGD-validated only",0.75,IF(AP470="Sub-community-specific",0.5,IF(AP470="Provisional/emerging",0.25,0))))+'Weighting Options'!$D$10*IF(ISNUMBER(K470),K470/3,0)+'Weighting Options'!$D$11*IF(CC470="",0.5,IF(CC470="OK",1,0.25))+'Weighting Options'!$D$12*IF(DK470="",0.5,IF(DK470="Agrees",1,IF(DK470="Opposite",0,0.5)))+'Weighting Options'!$D$13*MIN(N(BG470),3)/3+'Weighting Options'!$D$14*IF(AE470=1,1,0))/SUM('Weighting Options'!$D$7:$D$14),0),""))</f>
        <v/>
      </c>
      <c r="DR470" s="44" t="str">
        <f>IF(AH470="","",IFERROR(INDEX('Weighting Options'!$D$20:$D$27,VALUE(LEFT(TRIM(BU470),1))),1))</f>
        <v/>
      </c>
      <c r="DS470" s="44" t="str">
        <f t="shared" si="223"/>
        <v/>
      </c>
      <c r="DT470" s="42" t="str">
        <f>IF(AH470="","",IF(COUNTIFS($AH$12:AH470,AH470,$AI$12:AI470,AI470,$AM$12:AM470,AM470)=1,1,0))</f>
        <v/>
      </c>
    </row>
    <row r="471" spans="16:124" ht="12.75" customHeight="1" x14ac:dyDescent="0.35">
      <c r="P471" s="41"/>
      <c r="Q471" s="41"/>
      <c r="R471" s="41"/>
      <c r="S471" s="41"/>
      <c r="AH471" s="40"/>
      <c r="AP471" s="40"/>
      <c r="AS471" s="41"/>
      <c r="AT471" s="41"/>
      <c r="AW471" t="str">
        <f t="shared" si="196"/>
        <v/>
      </c>
      <c r="AX471" t="str">
        <f t="shared" si="197"/>
        <v/>
      </c>
      <c r="AY471" t="str">
        <f t="shared" si="198"/>
        <v/>
      </c>
      <c r="AZ471" s="40"/>
      <c r="BL471" s="47" t="str">
        <f t="shared" si="199"/>
        <v/>
      </c>
      <c r="BM471" s="47" t="str">
        <f t="shared" si="200"/>
        <v/>
      </c>
      <c r="BN471" s="47" t="str">
        <f t="shared" si="201"/>
        <v/>
      </c>
      <c r="BO471" s="47" t="str">
        <f t="shared" si="202"/>
        <v/>
      </c>
      <c r="BP471" s="47" t="str">
        <f t="shared" si="203"/>
        <v/>
      </c>
      <c r="BQ471" s="48" t="str">
        <f t="shared" si="204"/>
        <v/>
      </c>
      <c r="BR471" s="48" t="str">
        <f t="shared" si="205"/>
        <v/>
      </c>
      <c r="BS471" s="48" t="str">
        <f t="shared" si="206"/>
        <v/>
      </c>
      <c r="BT471" s="47" t="str">
        <f t="shared" si="207"/>
        <v/>
      </c>
      <c r="CA471" s="47" t="str">
        <f t="shared" si="208"/>
        <v/>
      </c>
      <c r="CB471" s="47" t="str">
        <f t="shared" si="209"/>
        <v/>
      </c>
      <c r="CC471" s="47" t="str">
        <f t="shared" si="210"/>
        <v/>
      </c>
      <c r="CD471" s="47" t="str">
        <f t="shared" si="211"/>
        <v/>
      </c>
      <c r="CE471" s="47" t="str">
        <f>IF(AH471="","",IF(OR(AI471&lt;&gt;'Seasonal Tercile Tally'!$B$3,AM471&lt;&gt;'Seasonal Tercile Tally'!$B$4),"Other site/ season",IF(DT471=0,"Excluded: duplicate (later row)",IF(N471&lt;&gt;1,"Excluded: not sighted",IF(AC471&lt;&gt;1,"Excluded: not confirmed",IF(AD471&lt;&gt;1,"Excluded: not approved",IF(AP471="Contested","Excluded: contested",IF(OR(U471="",U471=0),"Excluded: no tercile",IF(CB471="","Counted (simple tally only — no weight)","Counted")))))))))</f>
        <v/>
      </c>
      <c r="CF471" s="49" t="str">
        <f>IF(AH471="","",IFERROR(INDEX('Prior Multipliers'!$C$6:$C$70,MATCH(LEFT(AH471,10),'Prior Multipliers'!$A$6:$A$70,0)),IFERROR(INDEX('Prior Multipliers'!$C$6:$C$70,MATCH(LEFT(AH471,6),'Prior Multipliers'!$A$6:$A$70,0)),IFERROR(INDEX('Prior Multipliers'!$C$6:$C$70,MATCH(LEFT(AH471,2),'Prior Multipliers'!$A$6:$A$70,0)),1))))</f>
        <v/>
      </c>
      <c r="CG471" s="49" t="str">
        <f>IF(CB471="","",IF(AND('Seasonal Tercile Tally'!$B$5=1,BT471="Rating-based"),CB471*CF471,CB471))</f>
        <v/>
      </c>
      <c r="CH471" s="47">
        <f t="shared" si="212"/>
        <v>0</v>
      </c>
      <c r="CI471" s="45"/>
      <c r="CJ471" s="42" t="str">
        <f t="shared" si="213"/>
        <v/>
      </c>
      <c r="CM471" s="42" t="str">
        <f t="shared" si="214"/>
        <v/>
      </c>
      <c r="CP471" s="46" t="str">
        <f t="shared" si="215"/>
        <v/>
      </c>
      <c r="CS471" s="46" t="str">
        <f t="shared" si="216"/>
        <v/>
      </c>
      <c r="CT471" s="42" t="str">
        <f t="shared" si="217"/>
        <v/>
      </c>
      <c r="CU471" s="42" t="str">
        <f t="shared" si="218"/>
        <v/>
      </c>
      <c r="CV471" s="42" t="str">
        <f t="shared" si="219"/>
        <v/>
      </c>
      <c r="DB471" s="45"/>
      <c r="DH471" s="42" t="str">
        <f t="shared" si="220"/>
        <v/>
      </c>
      <c r="DI471" s="43" t="str">
        <f t="shared" si="221"/>
        <v/>
      </c>
      <c r="DK471" s="46" t="str">
        <f t="shared" si="222"/>
        <v/>
      </c>
      <c r="DQ471" s="42" t="str">
        <f>IF(AH471="","",IFERROR(ROUND(100*('Weighting Options'!$D$7*IF(ISNUMBER(CA471),CA471/3,0)+'Weighting Options'!$D$8*MIN(N(BL471),3)/3+'Weighting Options'!$D$9*IF(AP471="Community/Plenary-endorsed",1,IF(AP471="FGD-validated only",0.75,IF(AP471="Sub-community-specific",0.5,IF(AP471="Provisional/emerging",0.25,0))))+'Weighting Options'!$D$10*IF(ISNUMBER(K471),K471/3,0)+'Weighting Options'!$D$11*IF(CC471="",0.5,IF(CC471="OK",1,0.25))+'Weighting Options'!$D$12*IF(DK471="",0.5,IF(DK471="Agrees",1,IF(DK471="Opposite",0,0.5)))+'Weighting Options'!$D$13*MIN(N(BG471),3)/3+'Weighting Options'!$D$14*IF(AE471=1,1,0))/SUM('Weighting Options'!$D$7:$D$14),0),""))</f>
        <v/>
      </c>
      <c r="DR471" s="44" t="str">
        <f>IF(AH471="","",IFERROR(INDEX('Weighting Options'!$D$20:$D$27,VALUE(LEFT(TRIM(BU471),1))),1))</f>
        <v/>
      </c>
      <c r="DS471" s="44" t="str">
        <f t="shared" si="223"/>
        <v/>
      </c>
      <c r="DT471" s="42" t="str">
        <f>IF(AH471="","",IF(COUNTIFS($AH$12:AH471,AH471,$AI$12:AI471,AI471,$AM$12:AM471,AM471)=1,1,0))</f>
        <v/>
      </c>
    </row>
    <row r="472" spans="16:124" ht="12.75" customHeight="1" x14ac:dyDescent="0.35">
      <c r="P472" s="41"/>
      <c r="Q472" s="41"/>
      <c r="R472" s="41"/>
      <c r="S472" s="41"/>
      <c r="AH472" s="40"/>
      <c r="AP472" s="40"/>
      <c r="AS472" s="41"/>
      <c r="AT472" s="41"/>
      <c r="AW472" t="str">
        <f t="shared" si="196"/>
        <v/>
      </c>
      <c r="AX472" t="str">
        <f t="shared" si="197"/>
        <v/>
      </c>
      <c r="AY472" t="str">
        <f t="shared" si="198"/>
        <v/>
      </c>
      <c r="AZ472" s="40"/>
      <c r="BL472" s="47" t="str">
        <f t="shared" si="199"/>
        <v/>
      </c>
      <c r="BM472" s="47" t="str">
        <f t="shared" si="200"/>
        <v/>
      </c>
      <c r="BN472" s="47" t="str">
        <f t="shared" si="201"/>
        <v/>
      </c>
      <c r="BO472" s="47" t="str">
        <f t="shared" si="202"/>
        <v/>
      </c>
      <c r="BP472" s="47" t="str">
        <f t="shared" si="203"/>
        <v/>
      </c>
      <c r="BQ472" s="48" t="str">
        <f t="shared" si="204"/>
        <v/>
      </c>
      <c r="BR472" s="48" t="str">
        <f t="shared" si="205"/>
        <v/>
      </c>
      <c r="BS472" s="48" t="str">
        <f t="shared" si="206"/>
        <v/>
      </c>
      <c r="BT472" s="47" t="str">
        <f t="shared" si="207"/>
        <v/>
      </c>
      <c r="CA472" s="47" t="str">
        <f t="shared" si="208"/>
        <v/>
      </c>
      <c r="CB472" s="47" t="str">
        <f t="shared" si="209"/>
        <v/>
      </c>
      <c r="CC472" s="47" t="str">
        <f t="shared" si="210"/>
        <v/>
      </c>
      <c r="CD472" s="47" t="str">
        <f t="shared" si="211"/>
        <v/>
      </c>
      <c r="CE472" s="47" t="str">
        <f>IF(AH472="","",IF(OR(AI472&lt;&gt;'Seasonal Tercile Tally'!$B$3,AM472&lt;&gt;'Seasonal Tercile Tally'!$B$4),"Other site/ season",IF(DT472=0,"Excluded: duplicate (later row)",IF(N472&lt;&gt;1,"Excluded: not sighted",IF(AC472&lt;&gt;1,"Excluded: not confirmed",IF(AD472&lt;&gt;1,"Excluded: not approved",IF(AP472="Contested","Excluded: contested",IF(OR(U472="",U472=0),"Excluded: no tercile",IF(CB472="","Counted (simple tally only — no weight)","Counted")))))))))</f>
        <v/>
      </c>
      <c r="CF472" s="49" t="str">
        <f>IF(AH472="","",IFERROR(INDEX('Prior Multipliers'!$C$6:$C$70,MATCH(LEFT(AH472,10),'Prior Multipliers'!$A$6:$A$70,0)),IFERROR(INDEX('Prior Multipliers'!$C$6:$C$70,MATCH(LEFT(AH472,6),'Prior Multipliers'!$A$6:$A$70,0)),IFERROR(INDEX('Prior Multipliers'!$C$6:$C$70,MATCH(LEFT(AH472,2),'Prior Multipliers'!$A$6:$A$70,0)),1))))</f>
        <v/>
      </c>
      <c r="CG472" s="49" t="str">
        <f>IF(CB472="","",IF(AND('Seasonal Tercile Tally'!$B$5=1,BT472="Rating-based"),CB472*CF472,CB472))</f>
        <v/>
      </c>
      <c r="CH472" s="47">
        <f t="shared" si="212"/>
        <v>0</v>
      </c>
      <c r="CI472" s="45"/>
      <c r="CJ472" s="42" t="str">
        <f t="shared" si="213"/>
        <v/>
      </c>
      <c r="CM472" s="42" t="str">
        <f t="shared" si="214"/>
        <v/>
      </c>
      <c r="CP472" s="46" t="str">
        <f t="shared" si="215"/>
        <v/>
      </c>
      <c r="CS472" s="46" t="str">
        <f t="shared" si="216"/>
        <v/>
      </c>
      <c r="CT472" s="42" t="str">
        <f t="shared" si="217"/>
        <v/>
      </c>
      <c r="CU472" s="42" t="str">
        <f t="shared" si="218"/>
        <v/>
      </c>
      <c r="CV472" s="42" t="str">
        <f t="shared" si="219"/>
        <v/>
      </c>
      <c r="DB472" s="45"/>
      <c r="DH472" s="42" t="str">
        <f t="shared" si="220"/>
        <v/>
      </c>
      <c r="DI472" s="43" t="str">
        <f t="shared" si="221"/>
        <v/>
      </c>
      <c r="DK472" s="46" t="str">
        <f t="shared" si="222"/>
        <v/>
      </c>
      <c r="DQ472" s="42" t="str">
        <f>IF(AH472="","",IFERROR(ROUND(100*('Weighting Options'!$D$7*IF(ISNUMBER(CA472),CA472/3,0)+'Weighting Options'!$D$8*MIN(N(BL472),3)/3+'Weighting Options'!$D$9*IF(AP472="Community/Plenary-endorsed",1,IF(AP472="FGD-validated only",0.75,IF(AP472="Sub-community-specific",0.5,IF(AP472="Provisional/emerging",0.25,0))))+'Weighting Options'!$D$10*IF(ISNUMBER(K472),K472/3,0)+'Weighting Options'!$D$11*IF(CC472="",0.5,IF(CC472="OK",1,0.25))+'Weighting Options'!$D$12*IF(DK472="",0.5,IF(DK472="Agrees",1,IF(DK472="Opposite",0,0.5)))+'Weighting Options'!$D$13*MIN(N(BG472),3)/3+'Weighting Options'!$D$14*IF(AE472=1,1,0))/SUM('Weighting Options'!$D$7:$D$14),0),""))</f>
        <v/>
      </c>
      <c r="DR472" s="44" t="str">
        <f>IF(AH472="","",IFERROR(INDEX('Weighting Options'!$D$20:$D$27,VALUE(LEFT(TRIM(BU472),1))),1))</f>
        <v/>
      </c>
      <c r="DS472" s="44" t="str">
        <f t="shared" si="223"/>
        <v/>
      </c>
      <c r="DT472" s="42" t="str">
        <f>IF(AH472="","",IF(COUNTIFS($AH$12:AH472,AH472,$AI$12:AI472,AI472,$AM$12:AM472,AM472)=1,1,0))</f>
        <v/>
      </c>
    </row>
    <row r="473" spans="16:124" ht="12.75" customHeight="1" x14ac:dyDescent="0.35">
      <c r="P473" s="41"/>
      <c r="Q473" s="41"/>
      <c r="R473" s="41"/>
      <c r="S473" s="41"/>
      <c r="AH473" s="40"/>
      <c r="AP473" s="40"/>
      <c r="AS473" s="41"/>
      <c r="AT473" s="41"/>
      <c r="AW473" t="str">
        <f t="shared" si="196"/>
        <v/>
      </c>
      <c r="AX473" t="str">
        <f t="shared" si="197"/>
        <v/>
      </c>
      <c r="AY473" t="str">
        <f t="shared" si="198"/>
        <v/>
      </c>
      <c r="AZ473" s="40"/>
      <c r="BL473" s="47" t="str">
        <f t="shared" si="199"/>
        <v/>
      </c>
      <c r="BM473" s="47" t="str">
        <f t="shared" si="200"/>
        <v/>
      </c>
      <c r="BN473" s="47" t="str">
        <f t="shared" si="201"/>
        <v/>
      </c>
      <c r="BO473" s="47" t="str">
        <f t="shared" si="202"/>
        <v/>
      </c>
      <c r="BP473" s="47" t="str">
        <f t="shared" si="203"/>
        <v/>
      </c>
      <c r="BQ473" s="48" t="str">
        <f t="shared" si="204"/>
        <v/>
      </c>
      <c r="BR473" s="48" t="str">
        <f t="shared" si="205"/>
        <v/>
      </c>
      <c r="BS473" s="48" t="str">
        <f t="shared" si="206"/>
        <v/>
      </c>
      <c r="BT473" s="47" t="str">
        <f t="shared" si="207"/>
        <v/>
      </c>
      <c r="CA473" s="47" t="str">
        <f t="shared" si="208"/>
        <v/>
      </c>
      <c r="CB473" s="47" t="str">
        <f t="shared" si="209"/>
        <v/>
      </c>
      <c r="CC473" s="47" t="str">
        <f t="shared" si="210"/>
        <v/>
      </c>
      <c r="CD473" s="47" t="str">
        <f t="shared" si="211"/>
        <v/>
      </c>
      <c r="CE473" s="47" t="str">
        <f>IF(AH473="","",IF(OR(AI473&lt;&gt;'Seasonal Tercile Tally'!$B$3,AM473&lt;&gt;'Seasonal Tercile Tally'!$B$4),"Other site/ season",IF(DT473=0,"Excluded: duplicate (later row)",IF(N473&lt;&gt;1,"Excluded: not sighted",IF(AC473&lt;&gt;1,"Excluded: not confirmed",IF(AD473&lt;&gt;1,"Excluded: not approved",IF(AP473="Contested","Excluded: contested",IF(OR(U473="",U473=0),"Excluded: no tercile",IF(CB473="","Counted (simple tally only — no weight)","Counted")))))))))</f>
        <v/>
      </c>
      <c r="CF473" s="49" t="str">
        <f>IF(AH473="","",IFERROR(INDEX('Prior Multipliers'!$C$6:$C$70,MATCH(LEFT(AH473,10),'Prior Multipliers'!$A$6:$A$70,0)),IFERROR(INDEX('Prior Multipliers'!$C$6:$C$70,MATCH(LEFT(AH473,6),'Prior Multipliers'!$A$6:$A$70,0)),IFERROR(INDEX('Prior Multipliers'!$C$6:$C$70,MATCH(LEFT(AH473,2),'Prior Multipliers'!$A$6:$A$70,0)),1))))</f>
        <v/>
      </c>
      <c r="CG473" s="49" t="str">
        <f>IF(CB473="","",IF(AND('Seasonal Tercile Tally'!$B$5=1,BT473="Rating-based"),CB473*CF473,CB473))</f>
        <v/>
      </c>
      <c r="CH473" s="47">
        <f t="shared" si="212"/>
        <v>0</v>
      </c>
      <c r="CI473" s="45"/>
      <c r="CJ473" s="42" t="str">
        <f t="shared" si="213"/>
        <v/>
      </c>
      <c r="CM473" s="42" t="str">
        <f t="shared" si="214"/>
        <v/>
      </c>
      <c r="CP473" s="46" t="str">
        <f t="shared" si="215"/>
        <v/>
      </c>
      <c r="CS473" s="46" t="str">
        <f t="shared" si="216"/>
        <v/>
      </c>
      <c r="CT473" s="42" t="str">
        <f t="shared" si="217"/>
        <v/>
      </c>
      <c r="CU473" s="42" t="str">
        <f t="shared" si="218"/>
        <v/>
      </c>
      <c r="CV473" s="42" t="str">
        <f t="shared" si="219"/>
        <v/>
      </c>
      <c r="DB473" s="45"/>
      <c r="DH473" s="42" t="str">
        <f t="shared" si="220"/>
        <v/>
      </c>
      <c r="DI473" s="43" t="str">
        <f t="shared" si="221"/>
        <v/>
      </c>
      <c r="DK473" s="46" t="str">
        <f t="shared" si="222"/>
        <v/>
      </c>
      <c r="DQ473" s="42" t="str">
        <f>IF(AH473="","",IFERROR(ROUND(100*('Weighting Options'!$D$7*IF(ISNUMBER(CA473),CA473/3,0)+'Weighting Options'!$D$8*MIN(N(BL473),3)/3+'Weighting Options'!$D$9*IF(AP473="Community/Plenary-endorsed",1,IF(AP473="FGD-validated only",0.75,IF(AP473="Sub-community-specific",0.5,IF(AP473="Provisional/emerging",0.25,0))))+'Weighting Options'!$D$10*IF(ISNUMBER(K473),K473/3,0)+'Weighting Options'!$D$11*IF(CC473="",0.5,IF(CC473="OK",1,0.25))+'Weighting Options'!$D$12*IF(DK473="",0.5,IF(DK473="Agrees",1,IF(DK473="Opposite",0,0.5)))+'Weighting Options'!$D$13*MIN(N(BG473),3)/3+'Weighting Options'!$D$14*IF(AE473=1,1,0))/SUM('Weighting Options'!$D$7:$D$14),0),""))</f>
        <v/>
      </c>
      <c r="DR473" s="44" t="str">
        <f>IF(AH473="","",IFERROR(INDEX('Weighting Options'!$D$20:$D$27,VALUE(LEFT(TRIM(BU473),1))),1))</f>
        <v/>
      </c>
      <c r="DS473" s="44" t="str">
        <f t="shared" si="223"/>
        <v/>
      </c>
      <c r="DT473" s="42" t="str">
        <f>IF(AH473="","",IF(COUNTIFS($AH$12:AH473,AH473,$AI$12:AI473,AI473,$AM$12:AM473,AM473)=1,1,0))</f>
        <v/>
      </c>
    </row>
    <row r="474" spans="16:124" ht="12.75" customHeight="1" x14ac:dyDescent="0.35">
      <c r="P474" s="41"/>
      <c r="Q474" s="41"/>
      <c r="R474" s="41"/>
      <c r="S474" s="41"/>
      <c r="AH474" s="40"/>
      <c r="AP474" s="40"/>
      <c r="AS474" s="41"/>
      <c r="AT474" s="41"/>
      <c r="AW474" t="str">
        <f t="shared" si="196"/>
        <v/>
      </c>
      <c r="AX474" t="str">
        <f t="shared" si="197"/>
        <v/>
      </c>
      <c r="AY474" t="str">
        <f t="shared" si="198"/>
        <v/>
      </c>
      <c r="AZ474" s="40"/>
      <c r="BL474" s="47" t="str">
        <f t="shared" si="199"/>
        <v/>
      </c>
      <c r="BM474" s="47" t="str">
        <f t="shared" si="200"/>
        <v/>
      </c>
      <c r="BN474" s="47" t="str">
        <f t="shared" si="201"/>
        <v/>
      </c>
      <c r="BO474" s="47" t="str">
        <f t="shared" si="202"/>
        <v/>
      </c>
      <c r="BP474" s="47" t="str">
        <f t="shared" si="203"/>
        <v/>
      </c>
      <c r="BQ474" s="48" t="str">
        <f t="shared" si="204"/>
        <v/>
      </c>
      <c r="BR474" s="48" t="str">
        <f t="shared" si="205"/>
        <v/>
      </c>
      <c r="BS474" s="48" t="str">
        <f t="shared" si="206"/>
        <v/>
      </c>
      <c r="BT474" s="47" t="str">
        <f t="shared" si="207"/>
        <v/>
      </c>
      <c r="CA474" s="47" t="str">
        <f t="shared" si="208"/>
        <v/>
      </c>
      <c r="CB474" s="47" t="str">
        <f t="shared" si="209"/>
        <v/>
      </c>
      <c r="CC474" s="47" t="str">
        <f t="shared" si="210"/>
        <v/>
      </c>
      <c r="CD474" s="47" t="str">
        <f t="shared" si="211"/>
        <v/>
      </c>
      <c r="CE474" s="47" t="str">
        <f>IF(AH474="","",IF(OR(AI474&lt;&gt;'Seasonal Tercile Tally'!$B$3,AM474&lt;&gt;'Seasonal Tercile Tally'!$B$4),"Other site/ season",IF(DT474=0,"Excluded: duplicate (later row)",IF(N474&lt;&gt;1,"Excluded: not sighted",IF(AC474&lt;&gt;1,"Excluded: not confirmed",IF(AD474&lt;&gt;1,"Excluded: not approved",IF(AP474="Contested","Excluded: contested",IF(OR(U474="",U474=0),"Excluded: no tercile",IF(CB474="","Counted (simple tally only — no weight)","Counted")))))))))</f>
        <v/>
      </c>
      <c r="CF474" s="49" t="str">
        <f>IF(AH474="","",IFERROR(INDEX('Prior Multipliers'!$C$6:$C$70,MATCH(LEFT(AH474,10),'Prior Multipliers'!$A$6:$A$70,0)),IFERROR(INDEX('Prior Multipliers'!$C$6:$C$70,MATCH(LEFT(AH474,6),'Prior Multipliers'!$A$6:$A$70,0)),IFERROR(INDEX('Prior Multipliers'!$C$6:$C$70,MATCH(LEFT(AH474,2),'Prior Multipliers'!$A$6:$A$70,0)),1))))</f>
        <v/>
      </c>
      <c r="CG474" s="49" t="str">
        <f>IF(CB474="","",IF(AND('Seasonal Tercile Tally'!$B$5=1,BT474="Rating-based"),CB474*CF474,CB474))</f>
        <v/>
      </c>
      <c r="CH474" s="47">
        <f t="shared" si="212"/>
        <v>0</v>
      </c>
      <c r="CI474" s="45"/>
      <c r="CJ474" s="42" t="str">
        <f t="shared" si="213"/>
        <v/>
      </c>
      <c r="CM474" s="42" t="str">
        <f t="shared" si="214"/>
        <v/>
      </c>
      <c r="CP474" s="46" t="str">
        <f t="shared" si="215"/>
        <v/>
      </c>
      <c r="CS474" s="46" t="str">
        <f t="shared" si="216"/>
        <v/>
      </c>
      <c r="CT474" s="42" t="str">
        <f t="shared" si="217"/>
        <v/>
      </c>
      <c r="CU474" s="42" t="str">
        <f t="shared" si="218"/>
        <v/>
      </c>
      <c r="CV474" s="42" t="str">
        <f t="shared" si="219"/>
        <v/>
      </c>
      <c r="DB474" s="45"/>
      <c r="DH474" s="42" t="str">
        <f t="shared" si="220"/>
        <v/>
      </c>
      <c r="DI474" s="43" t="str">
        <f t="shared" si="221"/>
        <v/>
      </c>
      <c r="DK474" s="46" t="str">
        <f t="shared" si="222"/>
        <v/>
      </c>
      <c r="DQ474" s="42" t="str">
        <f>IF(AH474="","",IFERROR(ROUND(100*('Weighting Options'!$D$7*IF(ISNUMBER(CA474),CA474/3,0)+'Weighting Options'!$D$8*MIN(N(BL474),3)/3+'Weighting Options'!$D$9*IF(AP474="Community/Plenary-endorsed",1,IF(AP474="FGD-validated only",0.75,IF(AP474="Sub-community-specific",0.5,IF(AP474="Provisional/emerging",0.25,0))))+'Weighting Options'!$D$10*IF(ISNUMBER(K474),K474/3,0)+'Weighting Options'!$D$11*IF(CC474="",0.5,IF(CC474="OK",1,0.25))+'Weighting Options'!$D$12*IF(DK474="",0.5,IF(DK474="Agrees",1,IF(DK474="Opposite",0,0.5)))+'Weighting Options'!$D$13*MIN(N(BG474),3)/3+'Weighting Options'!$D$14*IF(AE474=1,1,0))/SUM('Weighting Options'!$D$7:$D$14),0),""))</f>
        <v/>
      </c>
      <c r="DR474" s="44" t="str">
        <f>IF(AH474="","",IFERROR(INDEX('Weighting Options'!$D$20:$D$27,VALUE(LEFT(TRIM(BU474),1))),1))</f>
        <v/>
      </c>
      <c r="DS474" s="44" t="str">
        <f t="shared" si="223"/>
        <v/>
      </c>
      <c r="DT474" s="42" t="str">
        <f>IF(AH474="","",IF(COUNTIFS($AH$12:AH474,AH474,$AI$12:AI474,AI474,$AM$12:AM474,AM474)=1,1,0))</f>
        <v/>
      </c>
    </row>
    <row r="475" spans="16:124" ht="12.75" customHeight="1" x14ac:dyDescent="0.35">
      <c r="P475" s="41"/>
      <c r="Q475" s="41"/>
      <c r="R475" s="41"/>
      <c r="S475" s="41"/>
      <c r="AH475" s="40"/>
      <c r="AP475" s="40"/>
      <c r="AS475" s="41"/>
      <c r="AT475" s="41"/>
      <c r="AW475" t="str">
        <f t="shared" si="196"/>
        <v/>
      </c>
      <c r="AX475" t="str">
        <f t="shared" si="197"/>
        <v/>
      </c>
      <c r="AY475" t="str">
        <f t="shared" si="198"/>
        <v/>
      </c>
      <c r="AZ475" s="40"/>
      <c r="BL475" s="47" t="str">
        <f t="shared" si="199"/>
        <v/>
      </c>
      <c r="BM475" s="47" t="str">
        <f t="shared" si="200"/>
        <v/>
      </c>
      <c r="BN475" s="47" t="str">
        <f t="shared" si="201"/>
        <v/>
      </c>
      <c r="BO475" s="47" t="str">
        <f t="shared" si="202"/>
        <v/>
      </c>
      <c r="BP475" s="47" t="str">
        <f t="shared" si="203"/>
        <v/>
      </c>
      <c r="BQ475" s="48" t="str">
        <f t="shared" si="204"/>
        <v/>
      </c>
      <c r="BR475" s="48" t="str">
        <f t="shared" si="205"/>
        <v/>
      </c>
      <c r="BS475" s="48" t="str">
        <f t="shared" si="206"/>
        <v/>
      </c>
      <c r="BT475" s="47" t="str">
        <f t="shared" si="207"/>
        <v/>
      </c>
      <c r="CA475" s="47" t="str">
        <f t="shared" si="208"/>
        <v/>
      </c>
      <c r="CB475" s="47" t="str">
        <f t="shared" si="209"/>
        <v/>
      </c>
      <c r="CC475" s="47" t="str">
        <f t="shared" si="210"/>
        <v/>
      </c>
      <c r="CD475" s="47" t="str">
        <f t="shared" si="211"/>
        <v/>
      </c>
      <c r="CE475" s="47" t="str">
        <f>IF(AH475="","",IF(OR(AI475&lt;&gt;'Seasonal Tercile Tally'!$B$3,AM475&lt;&gt;'Seasonal Tercile Tally'!$B$4),"Other site/ season",IF(DT475=0,"Excluded: duplicate (later row)",IF(N475&lt;&gt;1,"Excluded: not sighted",IF(AC475&lt;&gt;1,"Excluded: not confirmed",IF(AD475&lt;&gt;1,"Excluded: not approved",IF(AP475="Contested","Excluded: contested",IF(OR(U475="",U475=0),"Excluded: no tercile",IF(CB475="","Counted (simple tally only — no weight)","Counted")))))))))</f>
        <v/>
      </c>
      <c r="CF475" s="49" t="str">
        <f>IF(AH475="","",IFERROR(INDEX('Prior Multipliers'!$C$6:$C$70,MATCH(LEFT(AH475,10),'Prior Multipliers'!$A$6:$A$70,0)),IFERROR(INDEX('Prior Multipliers'!$C$6:$C$70,MATCH(LEFT(AH475,6),'Prior Multipliers'!$A$6:$A$70,0)),IFERROR(INDEX('Prior Multipliers'!$C$6:$C$70,MATCH(LEFT(AH475,2),'Prior Multipliers'!$A$6:$A$70,0)),1))))</f>
        <v/>
      </c>
      <c r="CG475" s="49" t="str">
        <f>IF(CB475="","",IF(AND('Seasonal Tercile Tally'!$B$5=1,BT475="Rating-based"),CB475*CF475,CB475))</f>
        <v/>
      </c>
      <c r="CH475" s="47">
        <f t="shared" si="212"/>
        <v>0</v>
      </c>
      <c r="CI475" s="45"/>
      <c r="CJ475" s="42" t="str">
        <f t="shared" si="213"/>
        <v/>
      </c>
      <c r="CM475" s="42" t="str">
        <f t="shared" si="214"/>
        <v/>
      </c>
      <c r="CP475" s="46" t="str">
        <f t="shared" si="215"/>
        <v/>
      </c>
      <c r="CS475" s="46" t="str">
        <f t="shared" si="216"/>
        <v/>
      </c>
      <c r="CT475" s="42" t="str">
        <f t="shared" si="217"/>
        <v/>
      </c>
      <c r="CU475" s="42" t="str">
        <f t="shared" si="218"/>
        <v/>
      </c>
      <c r="CV475" s="42" t="str">
        <f t="shared" si="219"/>
        <v/>
      </c>
      <c r="DB475" s="45"/>
      <c r="DH475" s="42" t="str">
        <f t="shared" si="220"/>
        <v/>
      </c>
      <c r="DI475" s="43" t="str">
        <f t="shared" si="221"/>
        <v/>
      </c>
      <c r="DK475" s="46" t="str">
        <f t="shared" si="222"/>
        <v/>
      </c>
      <c r="DQ475" s="42" t="str">
        <f>IF(AH475="","",IFERROR(ROUND(100*('Weighting Options'!$D$7*IF(ISNUMBER(CA475),CA475/3,0)+'Weighting Options'!$D$8*MIN(N(BL475),3)/3+'Weighting Options'!$D$9*IF(AP475="Community/Plenary-endorsed",1,IF(AP475="FGD-validated only",0.75,IF(AP475="Sub-community-specific",0.5,IF(AP475="Provisional/emerging",0.25,0))))+'Weighting Options'!$D$10*IF(ISNUMBER(K475),K475/3,0)+'Weighting Options'!$D$11*IF(CC475="",0.5,IF(CC475="OK",1,0.25))+'Weighting Options'!$D$12*IF(DK475="",0.5,IF(DK475="Agrees",1,IF(DK475="Opposite",0,0.5)))+'Weighting Options'!$D$13*MIN(N(BG475),3)/3+'Weighting Options'!$D$14*IF(AE475=1,1,0))/SUM('Weighting Options'!$D$7:$D$14),0),""))</f>
        <v/>
      </c>
      <c r="DR475" s="44" t="str">
        <f>IF(AH475="","",IFERROR(INDEX('Weighting Options'!$D$20:$D$27,VALUE(LEFT(TRIM(BU475),1))),1))</f>
        <v/>
      </c>
      <c r="DS475" s="44" t="str">
        <f t="shared" si="223"/>
        <v/>
      </c>
      <c r="DT475" s="42" t="str">
        <f>IF(AH475="","",IF(COUNTIFS($AH$12:AH475,AH475,$AI$12:AI475,AI475,$AM$12:AM475,AM475)=1,1,0))</f>
        <v/>
      </c>
    </row>
    <row r="476" spans="16:124" ht="12.75" customHeight="1" x14ac:dyDescent="0.35">
      <c r="P476" s="41"/>
      <c r="Q476" s="41"/>
      <c r="R476" s="41"/>
      <c r="S476" s="41"/>
      <c r="AH476" s="40"/>
      <c r="AP476" s="40"/>
      <c r="AS476" s="41"/>
      <c r="AT476" s="41"/>
      <c r="AW476" t="str">
        <f t="shared" si="196"/>
        <v/>
      </c>
      <c r="AX476" t="str">
        <f t="shared" si="197"/>
        <v/>
      </c>
      <c r="AY476" t="str">
        <f t="shared" si="198"/>
        <v/>
      </c>
      <c r="AZ476" s="40"/>
      <c r="BL476" s="47" t="str">
        <f t="shared" si="199"/>
        <v/>
      </c>
      <c r="BM476" s="47" t="str">
        <f t="shared" si="200"/>
        <v/>
      </c>
      <c r="BN476" s="47" t="str">
        <f t="shared" si="201"/>
        <v/>
      </c>
      <c r="BO476" s="47" t="str">
        <f t="shared" si="202"/>
        <v/>
      </c>
      <c r="BP476" s="47" t="str">
        <f t="shared" si="203"/>
        <v/>
      </c>
      <c r="BQ476" s="48" t="str">
        <f t="shared" si="204"/>
        <v/>
      </c>
      <c r="BR476" s="48" t="str">
        <f t="shared" si="205"/>
        <v/>
      </c>
      <c r="BS476" s="48" t="str">
        <f t="shared" si="206"/>
        <v/>
      </c>
      <c r="BT476" s="47" t="str">
        <f t="shared" si="207"/>
        <v/>
      </c>
      <c r="CA476" s="47" t="str">
        <f t="shared" si="208"/>
        <v/>
      </c>
      <c r="CB476" s="47" t="str">
        <f t="shared" si="209"/>
        <v/>
      </c>
      <c r="CC476" s="47" t="str">
        <f t="shared" si="210"/>
        <v/>
      </c>
      <c r="CD476" s="47" t="str">
        <f t="shared" si="211"/>
        <v/>
      </c>
      <c r="CE476" s="47" t="str">
        <f>IF(AH476="","",IF(OR(AI476&lt;&gt;'Seasonal Tercile Tally'!$B$3,AM476&lt;&gt;'Seasonal Tercile Tally'!$B$4),"Other site/ season",IF(DT476=0,"Excluded: duplicate (later row)",IF(N476&lt;&gt;1,"Excluded: not sighted",IF(AC476&lt;&gt;1,"Excluded: not confirmed",IF(AD476&lt;&gt;1,"Excluded: not approved",IF(AP476="Contested","Excluded: contested",IF(OR(U476="",U476=0),"Excluded: no tercile",IF(CB476="","Counted (simple tally only — no weight)","Counted")))))))))</f>
        <v/>
      </c>
      <c r="CF476" s="49" t="str">
        <f>IF(AH476="","",IFERROR(INDEX('Prior Multipliers'!$C$6:$C$70,MATCH(LEFT(AH476,10),'Prior Multipliers'!$A$6:$A$70,0)),IFERROR(INDEX('Prior Multipliers'!$C$6:$C$70,MATCH(LEFT(AH476,6),'Prior Multipliers'!$A$6:$A$70,0)),IFERROR(INDEX('Prior Multipliers'!$C$6:$C$70,MATCH(LEFT(AH476,2),'Prior Multipliers'!$A$6:$A$70,0)),1))))</f>
        <v/>
      </c>
      <c r="CG476" s="49" t="str">
        <f>IF(CB476="","",IF(AND('Seasonal Tercile Tally'!$B$5=1,BT476="Rating-based"),CB476*CF476,CB476))</f>
        <v/>
      </c>
      <c r="CH476" s="47">
        <f t="shared" si="212"/>
        <v>0</v>
      </c>
      <c r="CI476" s="45"/>
      <c r="CJ476" s="42" t="str">
        <f t="shared" si="213"/>
        <v/>
      </c>
      <c r="CM476" s="42" t="str">
        <f t="shared" si="214"/>
        <v/>
      </c>
      <c r="CP476" s="46" t="str">
        <f t="shared" si="215"/>
        <v/>
      </c>
      <c r="CS476" s="46" t="str">
        <f t="shared" si="216"/>
        <v/>
      </c>
      <c r="CT476" s="42" t="str">
        <f t="shared" si="217"/>
        <v/>
      </c>
      <c r="CU476" s="42" t="str">
        <f t="shared" si="218"/>
        <v/>
      </c>
      <c r="CV476" s="42" t="str">
        <f t="shared" si="219"/>
        <v/>
      </c>
      <c r="DB476" s="45"/>
      <c r="DH476" s="42" t="str">
        <f t="shared" si="220"/>
        <v/>
      </c>
      <c r="DI476" s="43" t="str">
        <f t="shared" si="221"/>
        <v/>
      </c>
      <c r="DK476" s="46" t="str">
        <f t="shared" si="222"/>
        <v/>
      </c>
      <c r="DQ476" s="42" t="str">
        <f>IF(AH476="","",IFERROR(ROUND(100*('Weighting Options'!$D$7*IF(ISNUMBER(CA476),CA476/3,0)+'Weighting Options'!$D$8*MIN(N(BL476),3)/3+'Weighting Options'!$D$9*IF(AP476="Community/Plenary-endorsed",1,IF(AP476="FGD-validated only",0.75,IF(AP476="Sub-community-specific",0.5,IF(AP476="Provisional/emerging",0.25,0))))+'Weighting Options'!$D$10*IF(ISNUMBER(K476),K476/3,0)+'Weighting Options'!$D$11*IF(CC476="",0.5,IF(CC476="OK",1,0.25))+'Weighting Options'!$D$12*IF(DK476="",0.5,IF(DK476="Agrees",1,IF(DK476="Opposite",0,0.5)))+'Weighting Options'!$D$13*MIN(N(BG476),3)/3+'Weighting Options'!$D$14*IF(AE476=1,1,0))/SUM('Weighting Options'!$D$7:$D$14),0),""))</f>
        <v/>
      </c>
      <c r="DR476" s="44" t="str">
        <f>IF(AH476="","",IFERROR(INDEX('Weighting Options'!$D$20:$D$27,VALUE(LEFT(TRIM(BU476),1))),1))</f>
        <v/>
      </c>
      <c r="DS476" s="44" t="str">
        <f t="shared" si="223"/>
        <v/>
      </c>
      <c r="DT476" s="42" t="str">
        <f>IF(AH476="","",IF(COUNTIFS($AH$12:AH476,AH476,$AI$12:AI476,AI476,$AM$12:AM476,AM476)=1,1,0))</f>
        <v/>
      </c>
    </row>
    <row r="477" spans="16:124" ht="12.75" customHeight="1" x14ac:dyDescent="0.35">
      <c r="P477" s="41"/>
      <c r="Q477" s="41"/>
      <c r="R477" s="41"/>
      <c r="S477" s="41"/>
      <c r="AH477" s="40"/>
      <c r="AP477" s="40"/>
      <c r="AS477" s="41"/>
      <c r="AT477" s="41"/>
      <c r="AW477" t="str">
        <f t="shared" si="196"/>
        <v/>
      </c>
      <c r="AX477" t="str">
        <f t="shared" si="197"/>
        <v/>
      </c>
      <c r="AY477" t="str">
        <f t="shared" si="198"/>
        <v/>
      </c>
      <c r="AZ477" s="40"/>
      <c r="BL477" s="47" t="str">
        <f t="shared" si="199"/>
        <v/>
      </c>
      <c r="BM477" s="47" t="str">
        <f t="shared" si="200"/>
        <v/>
      </c>
      <c r="BN477" s="47" t="str">
        <f t="shared" si="201"/>
        <v/>
      </c>
      <c r="BO477" s="47" t="str">
        <f t="shared" si="202"/>
        <v/>
      </c>
      <c r="BP477" s="47" t="str">
        <f t="shared" si="203"/>
        <v/>
      </c>
      <c r="BQ477" s="48" t="str">
        <f t="shared" si="204"/>
        <v/>
      </c>
      <c r="BR477" s="48" t="str">
        <f t="shared" si="205"/>
        <v/>
      </c>
      <c r="BS477" s="48" t="str">
        <f t="shared" si="206"/>
        <v/>
      </c>
      <c r="BT477" s="47" t="str">
        <f t="shared" si="207"/>
        <v/>
      </c>
      <c r="CA477" s="47" t="str">
        <f t="shared" si="208"/>
        <v/>
      </c>
      <c r="CB477" s="47" t="str">
        <f t="shared" si="209"/>
        <v/>
      </c>
      <c r="CC477" s="47" t="str">
        <f t="shared" si="210"/>
        <v/>
      </c>
      <c r="CD477" s="47" t="str">
        <f t="shared" si="211"/>
        <v/>
      </c>
      <c r="CE477" s="47" t="str">
        <f>IF(AH477="","",IF(OR(AI477&lt;&gt;'Seasonal Tercile Tally'!$B$3,AM477&lt;&gt;'Seasonal Tercile Tally'!$B$4),"Other site/ season",IF(DT477=0,"Excluded: duplicate (later row)",IF(N477&lt;&gt;1,"Excluded: not sighted",IF(AC477&lt;&gt;1,"Excluded: not confirmed",IF(AD477&lt;&gt;1,"Excluded: not approved",IF(AP477="Contested","Excluded: contested",IF(OR(U477="",U477=0),"Excluded: no tercile",IF(CB477="","Counted (simple tally only — no weight)","Counted")))))))))</f>
        <v/>
      </c>
      <c r="CF477" s="49" t="str">
        <f>IF(AH477="","",IFERROR(INDEX('Prior Multipliers'!$C$6:$C$70,MATCH(LEFT(AH477,10),'Prior Multipliers'!$A$6:$A$70,0)),IFERROR(INDEX('Prior Multipliers'!$C$6:$C$70,MATCH(LEFT(AH477,6),'Prior Multipliers'!$A$6:$A$70,0)),IFERROR(INDEX('Prior Multipliers'!$C$6:$C$70,MATCH(LEFT(AH477,2),'Prior Multipliers'!$A$6:$A$70,0)),1))))</f>
        <v/>
      </c>
      <c r="CG477" s="49" t="str">
        <f>IF(CB477="","",IF(AND('Seasonal Tercile Tally'!$B$5=1,BT477="Rating-based"),CB477*CF477,CB477))</f>
        <v/>
      </c>
      <c r="CH477" s="47">
        <f t="shared" si="212"/>
        <v>0</v>
      </c>
      <c r="CI477" s="45"/>
      <c r="CJ477" s="42" t="str">
        <f t="shared" si="213"/>
        <v/>
      </c>
      <c r="CM477" s="42" t="str">
        <f t="shared" si="214"/>
        <v/>
      </c>
      <c r="CP477" s="46" t="str">
        <f t="shared" si="215"/>
        <v/>
      </c>
      <c r="CS477" s="46" t="str">
        <f t="shared" si="216"/>
        <v/>
      </c>
      <c r="CT477" s="42" t="str">
        <f t="shared" si="217"/>
        <v/>
      </c>
      <c r="CU477" s="42" t="str">
        <f t="shared" si="218"/>
        <v/>
      </c>
      <c r="CV477" s="42" t="str">
        <f t="shared" si="219"/>
        <v/>
      </c>
      <c r="DB477" s="45"/>
      <c r="DH477" s="42" t="str">
        <f t="shared" si="220"/>
        <v/>
      </c>
      <c r="DI477" s="43" t="str">
        <f t="shared" si="221"/>
        <v/>
      </c>
      <c r="DK477" s="46" t="str">
        <f t="shared" si="222"/>
        <v/>
      </c>
      <c r="DQ477" s="42" t="str">
        <f>IF(AH477="","",IFERROR(ROUND(100*('Weighting Options'!$D$7*IF(ISNUMBER(CA477),CA477/3,0)+'Weighting Options'!$D$8*MIN(N(BL477),3)/3+'Weighting Options'!$D$9*IF(AP477="Community/Plenary-endorsed",1,IF(AP477="FGD-validated only",0.75,IF(AP477="Sub-community-specific",0.5,IF(AP477="Provisional/emerging",0.25,0))))+'Weighting Options'!$D$10*IF(ISNUMBER(K477),K477/3,0)+'Weighting Options'!$D$11*IF(CC477="",0.5,IF(CC477="OK",1,0.25))+'Weighting Options'!$D$12*IF(DK477="",0.5,IF(DK477="Agrees",1,IF(DK477="Opposite",0,0.5)))+'Weighting Options'!$D$13*MIN(N(BG477),3)/3+'Weighting Options'!$D$14*IF(AE477=1,1,0))/SUM('Weighting Options'!$D$7:$D$14),0),""))</f>
        <v/>
      </c>
      <c r="DR477" s="44" t="str">
        <f>IF(AH477="","",IFERROR(INDEX('Weighting Options'!$D$20:$D$27,VALUE(LEFT(TRIM(BU477),1))),1))</f>
        <v/>
      </c>
      <c r="DS477" s="44" t="str">
        <f t="shared" si="223"/>
        <v/>
      </c>
      <c r="DT477" s="42" t="str">
        <f>IF(AH477="","",IF(COUNTIFS($AH$12:AH477,AH477,$AI$12:AI477,AI477,$AM$12:AM477,AM477)=1,1,0))</f>
        <v/>
      </c>
    </row>
    <row r="478" spans="16:124" ht="12.75" customHeight="1" x14ac:dyDescent="0.35">
      <c r="P478" s="41"/>
      <c r="Q478" s="41"/>
      <c r="R478" s="41"/>
      <c r="S478" s="41"/>
      <c r="AH478" s="40"/>
      <c r="AP478" s="40"/>
      <c r="AS478" s="41"/>
      <c r="AT478" s="41"/>
      <c r="AW478" t="str">
        <f t="shared" si="196"/>
        <v/>
      </c>
      <c r="AX478" t="str">
        <f t="shared" si="197"/>
        <v/>
      </c>
      <c r="AY478" t="str">
        <f t="shared" si="198"/>
        <v/>
      </c>
      <c r="AZ478" s="40"/>
      <c r="BL478" s="47" t="str">
        <f t="shared" si="199"/>
        <v/>
      </c>
      <c r="BM478" s="47" t="str">
        <f t="shared" si="200"/>
        <v/>
      </c>
      <c r="BN478" s="47" t="str">
        <f t="shared" si="201"/>
        <v/>
      </c>
      <c r="BO478" s="47" t="str">
        <f t="shared" si="202"/>
        <v/>
      </c>
      <c r="BP478" s="47" t="str">
        <f t="shared" si="203"/>
        <v/>
      </c>
      <c r="BQ478" s="48" t="str">
        <f t="shared" si="204"/>
        <v/>
      </c>
      <c r="BR478" s="48" t="str">
        <f t="shared" si="205"/>
        <v/>
      </c>
      <c r="BS478" s="48" t="str">
        <f t="shared" si="206"/>
        <v/>
      </c>
      <c r="BT478" s="47" t="str">
        <f t="shared" si="207"/>
        <v/>
      </c>
      <c r="CA478" s="47" t="str">
        <f t="shared" si="208"/>
        <v/>
      </c>
      <c r="CB478" s="47" t="str">
        <f t="shared" si="209"/>
        <v/>
      </c>
      <c r="CC478" s="47" t="str">
        <f t="shared" si="210"/>
        <v/>
      </c>
      <c r="CD478" s="47" t="str">
        <f t="shared" si="211"/>
        <v/>
      </c>
      <c r="CE478" s="47" t="str">
        <f>IF(AH478="","",IF(OR(AI478&lt;&gt;'Seasonal Tercile Tally'!$B$3,AM478&lt;&gt;'Seasonal Tercile Tally'!$B$4),"Other site/ season",IF(DT478=0,"Excluded: duplicate (later row)",IF(N478&lt;&gt;1,"Excluded: not sighted",IF(AC478&lt;&gt;1,"Excluded: not confirmed",IF(AD478&lt;&gt;1,"Excluded: not approved",IF(AP478="Contested","Excluded: contested",IF(OR(U478="",U478=0),"Excluded: no tercile",IF(CB478="","Counted (simple tally only — no weight)","Counted")))))))))</f>
        <v/>
      </c>
      <c r="CF478" s="49" t="str">
        <f>IF(AH478="","",IFERROR(INDEX('Prior Multipliers'!$C$6:$C$70,MATCH(LEFT(AH478,10),'Prior Multipliers'!$A$6:$A$70,0)),IFERROR(INDEX('Prior Multipliers'!$C$6:$C$70,MATCH(LEFT(AH478,6),'Prior Multipliers'!$A$6:$A$70,0)),IFERROR(INDEX('Prior Multipliers'!$C$6:$C$70,MATCH(LEFT(AH478,2),'Prior Multipliers'!$A$6:$A$70,0)),1))))</f>
        <v/>
      </c>
      <c r="CG478" s="49" t="str">
        <f>IF(CB478="","",IF(AND('Seasonal Tercile Tally'!$B$5=1,BT478="Rating-based"),CB478*CF478,CB478))</f>
        <v/>
      </c>
      <c r="CH478" s="47">
        <f t="shared" si="212"/>
        <v>0</v>
      </c>
      <c r="CI478" s="45"/>
      <c r="CJ478" s="42" t="str">
        <f t="shared" si="213"/>
        <v/>
      </c>
      <c r="CM478" s="42" t="str">
        <f t="shared" si="214"/>
        <v/>
      </c>
      <c r="CP478" s="46" t="str">
        <f t="shared" si="215"/>
        <v/>
      </c>
      <c r="CS478" s="46" t="str">
        <f t="shared" si="216"/>
        <v/>
      </c>
      <c r="CT478" s="42" t="str">
        <f t="shared" si="217"/>
        <v/>
      </c>
      <c r="CU478" s="42" t="str">
        <f t="shared" si="218"/>
        <v/>
      </c>
      <c r="CV478" s="42" t="str">
        <f t="shared" si="219"/>
        <v/>
      </c>
      <c r="DB478" s="45"/>
      <c r="DH478" s="42" t="str">
        <f t="shared" si="220"/>
        <v/>
      </c>
      <c r="DI478" s="43" t="str">
        <f t="shared" si="221"/>
        <v/>
      </c>
      <c r="DK478" s="46" t="str">
        <f t="shared" si="222"/>
        <v/>
      </c>
      <c r="DQ478" s="42" t="str">
        <f>IF(AH478="","",IFERROR(ROUND(100*('Weighting Options'!$D$7*IF(ISNUMBER(CA478),CA478/3,0)+'Weighting Options'!$D$8*MIN(N(BL478),3)/3+'Weighting Options'!$D$9*IF(AP478="Community/Plenary-endorsed",1,IF(AP478="FGD-validated only",0.75,IF(AP478="Sub-community-specific",0.5,IF(AP478="Provisional/emerging",0.25,0))))+'Weighting Options'!$D$10*IF(ISNUMBER(K478),K478/3,0)+'Weighting Options'!$D$11*IF(CC478="",0.5,IF(CC478="OK",1,0.25))+'Weighting Options'!$D$12*IF(DK478="",0.5,IF(DK478="Agrees",1,IF(DK478="Opposite",0,0.5)))+'Weighting Options'!$D$13*MIN(N(BG478),3)/3+'Weighting Options'!$D$14*IF(AE478=1,1,0))/SUM('Weighting Options'!$D$7:$D$14),0),""))</f>
        <v/>
      </c>
      <c r="DR478" s="44" t="str">
        <f>IF(AH478="","",IFERROR(INDEX('Weighting Options'!$D$20:$D$27,VALUE(LEFT(TRIM(BU478),1))),1))</f>
        <v/>
      </c>
      <c r="DS478" s="44" t="str">
        <f t="shared" si="223"/>
        <v/>
      </c>
      <c r="DT478" s="42" t="str">
        <f>IF(AH478="","",IF(COUNTIFS($AH$12:AH478,AH478,$AI$12:AI478,AI478,$AM$12:AM478,AM478)=1,1,0))</f>
        <v/>
      </c>
    </row>
    <row r="479" spans="16:124" ht="12.75" customHeight="1" x14ac:dyDescent="0.35">
      <c r="P479" s="41"/>
      <c r="Q479" s="41"/>
      <c r="R479" s="41"/>
      <c r="S479" s="41"/>
      <c r="AH479" s="40"/>
      <c r="AP479" s="40"/>
      <c r="AS479" s="41"/>
      <c r="AT479" s="41"/>
      <c r="AW479" t="str">
        <f t="shared" si="196"/>
        <v/>
      </c>
      <c r="AX479" t="str">
        <f t="shared" si="197"/>
        <v/>
      </c>
      <c r="AY479" t="str">
        <f t="shared" si="198"/>
        <v/>
      </c>
      <c r="AZ479" s="40"/>
      <c r="BL479" s="47" t="str">
        <f t="shared" si="199"/>
        <v/>
      </c>
      <c r="BM479" s="47" t="str">
        <f t="shared" si="200"/>
        <v/>
      </c>
      <c r="BN479" s="47" t="str">
        <f t="shared" si="201"/>
        <v/>
      </c>
      <c r="BO479" s="47" t="str">
        <f t="shared" si="202"/>
        <v/>
      </c>
      <c r="BP479" s="47" t="str">
        <f t="shared" si="203"/>
        <v/>
      </c>
      <c r="BQ479" s="48" t="str">
        <f t="shared" si="204"/>
        <v/>
      </c>
      <c r="BR479" s="48" t="str">
        <f t="shared" si="205"/>
        <v/>
      </c>
      <c r="BS479" s="48" t="str">
        <f t="shared" si="206"/>
        <v/>
      </c>
      <c r="BT479" s="47" t="str">
        <f t="shared" si="207"/>
        <v/>
      </c>
      <c r="CA479" s="47" t="str">
        <f t="shared" si="208"/>
        <v/>
      </c>
      <c r="CB479" s="47" t="str">
        <f t="shared" si="209"/>
        <v/>
      </c>
      <c r="CC479" s="47" t="str">
        <f t="shared" si="210"/>
        <v/>
      </c>
      <c r="CD479" s="47" t="str">
        <f t="shared" si="211"/>
        <v/>
      </c>
      <c r="CE479" s="47" t="str">
        <f>IF(AH479="","",IF(OR(AI479&lt;&gt;'Seasonal Tercile Tally'!$B$3,AM479&lt;&gt;'Seasonal Tercile Tally'!$B$4),"Other site/ season",IF(DT479=0,"Excluded: duplicate (later row)",IF(N479&lt;&gt;1,"Excluded: not sighted",IF(AC479&lt;&gt;1,"Excluded: not confirmed",IF(AD479&lt;&gt;1,"Excluded: not approved",IF(AP479="Contested","Excluded: contested",IF(OR(U479="",U479=0),"Excluded: no tercile",IF(CB479="","Counted (simple tally only — no weight)","Counted")))))))))</f>
        <v/>
      </c>
      <c r="CF479" s="49" t="str">
        <f>IF(AH479="","",IFERROR(INDEX('Prior Multipliers'!$C$6:$C$70,MATCH(LEFT(AH479,10),'Prior Multipliers'!$A$6:$A$70,0)),IFERROR(INDEX('Prior Multipliers'!$C$6:$C$70,MATCH(LEFT(AH479,6),'Prior Multipliers'!$A$6:$A$70,0)),IFERROR(INDEX('Prior Multipliers'!$C$6:$C$70,MATCH(LEFT(AH479,2),'Prior Multipliers'!$A$6:$A$70,0)),1))))</f>
        <v/>
      </c>
      <c r="CG479" s="49" t="str">
        <f>IF(CB479="","",IF(AND('Seasonal Tercile Tally'!$B$5=1,BT479="Rating-based"),CB479*CF479,CB479))</f>
        <v/>
      </c>
      <c r="CH479" s="47">
        <f t="shared" si="212"/>
        <v>0</v>
      </c>
      <c r="CI479" s="45"/>
      <c r="CJ479" s="42" t="str">
        <f t="shared" si="213"/>
        <v/>
      </c>
      <c r="CM479" s="42" t="str">
        <f t="shared" si="214"/>
        <v/>
      </c>
      <c r="CP479" s="46" t="str">
        <f t="shared" si="215"/>
        <v/>
      </c>
      <c r="CS479" s="46" t="str">
        <f t="shared" si="216"/>
        <v/>
      </c>
      <c r="CT479" s="42" t="str">
        <f t="shared" si="217"/>
        <v/>
      </c>
      <c r="CU479" s="42" t="str">
        <f t="shared" si="218"/>
        <v/>
      </c>
      <c r="CV479" s="42" t="str">
        <f t="shared" si="219"/>
        <v/>
      </c>
      <c r="DB479" s="45"/>
      <c r="DH479" s="42" t="str">
        <f t="shared" si="220"/>
        <v/>
      </c>
      <c r="DI479" s="43" t="str">
        <f t="shared" si="221"/>
        <v/>
      </c>
      <c r="DK479" s="46" t="str">
        <f t="shared" si="222"/>
        <v/>
      </c>
      <c r="DQ479" s="42" t="str">
        <f>IF(AH479="","",IFERROR(ROUND(100*('Weighting Options'!$D$7*IF(ISNUMBER(CA479),CA479/3,0)+'Weighting Options'!$D$8*MIN(N(BL479),3)/3+'Weighting Options'!$D$9*IF(AP479="Community/Plenary-endorsed",1,IF(AP479="FGD-validated only",0.75,IF(AP479="Sub-community-specific",0.5,IF(AP479="Provisional/emerging",0.25,0))))+'Weighting Options'!$D$10*IF(ISNUMBER(K479),K479/3,0)+'Weighting Options'!$D$11*IF(CC479="",0.5,IF(CC479="OK",1,0.25))+'Weighting Options'!$D$12*IF(DK479="",0.5,IF(DK479="Agrees",1,IF(DK479="Opposite",0,0.5)))+'Weighting Options'!$D$13*MIN(N(BG479),3)/3+'Weighting Options'!$D$14*IF(AE479=1,1,0))/SUM('Weighting Options'!$D$7:$D$14),0),""))</f>
        <v/>
      </c>
      <c r="DR479" s="44" t="str">
        <f>IF(AH479="","",IFERROR(INDEX('Weighting Options'!$D$20:$D$27,VALUE(LEFT(TRIM(BU479),1))),1))</f>
        <v/>
      </c>
      <c r="DS479" s="44" t="str">
        <f t="shared" si="223"/>
        <v/>
      </c>
      <c r="DT479" s="42" t="str">
        <f>IF(AH479="","",IF(COUNTIFS($AH$12:AH479,AH479,$AI$12:AI479,AI479,$AM$12:AM479,AM479)=1,1,0))</f>
        <v/>
      </c>
    </row>
    <row r="480" spans="16:124" ht="12.75" customHeight="1" x14ac:dyDescent="0.35">
      <c r="P480" s="41"/>
      <c r="Q480" s="41"/>
      <c r="R480" s="41"/>
      <c r="S480" s="41"/>
      <c r="AH480" s="40"/>
      <c r="AP480" s="40"/>
      <c r="AS480" s="41"/>
      <c r="AT480" s="41"/>
      <c r="AW480" t="str">
        <f t="shared" si="196"/>
        <v/>
      </c>
      <c r="AX480" t="str">
        <f t="shared" si="197"/>
        <v/>
      </c>
      <c r="AY480" t="str">
        <f t="shared" si="198"/>
        <v/>
      </c>
      <c r="AZ480" s="40"/>
      <c r="BL480" s="47" t="str">
        <f t="shared" si="199"/>
        <v/>
      </c>
      <c r="BM480" s="47" t="str">
        <f t="shared" si="200"/>
        <v/>
      </c>
      <c r="BN480" s="47" t="str">
        <f t="shared" si="201"/>
        <v/>
      </c>
      <c r="BO480" s="47" t="str">
        <f t="shared" si="202"/>
        <v/>
      </c>
      <c r="BP480" s="47" t="str">
        <f t="shared" si="203"/>
        <v/>
      </c>
      <c r="BQ480" s="48" t="str">
        <f t="shared" si="204"/>
        <v/>
      </c>
      <c r="BR480" s="48" t="str">
        <f t="shared" si="205"/>
        <v/>
      </c>
      <c r="BS480" s="48" t="str">
        <f t="shared" si="206"/>
        <v/>
      </c>
      <c r="BT480" s="47" t="str">
        <f t="shared" si="207"/>
        <v/>
      </c>
      <c r="CA480" s="47" t="str">
        <f t="shared" si="208"/>
        <v/>
      </c>
      <c r="CB480" s="47" t="str">
        <f t="shared" si="209"/>
        <v/>
      </c>
      <c r="CC480" s="47" t="str">
        <f t="shared" si="210"/>
        <v/>
      </c>
      <c r="CD480" s="47" t="str">
        <f t="shared" si="211"/>
        <v/>
      </c>
      <c r="CE480" s="47" t="str">
        <f>IF(AH480="","",IF(OR(AI480&lt;&gt;'Seasonal Tercile Tally'!$B$3,AM480&lt;&gt;'Seasonal Tercile Tally'!$B$4),"Other site/ season",IF(DT480=0,"Excluded: duplicate (later row)",IF(N480&lt;&gt;1,"Excluded: not sighted",IF(AC480&lt;&gt;1,"Excluded: not confirmed",IF(AD480&lt;&gt;1,"Excluded: not approved",IF(AP480="Contested","Excluded: contested",IF(OR(U480="",U480=0),"Excluded: no tercile",IF(CB480="","Counted (simple tally only — no weight)","Counted")))))))))</f>
        <v/>
      </c>
      <c r="CF480" s="49" t="str">
        <f>IF(AH480="","",IFERROR(INDEX('Prior Multipliers'!$C$6:$C$70,MATCH(LEFT(AH480,10),'Prior Multipliers'!$A$6:$A$70,0)),IFERROR(INDEX('Prior Multipliers'!$C$6:$C$70,MATCH(LEFT(AH480,6),'Prior Multipliers'!$A$6:$A$70,0)),IFERROR(INDEX('Prior Multipliers'!$C$6:$C$70,MATCH(LEFT(AH480,2),'Prior Multipliers'!$A$6:$A$70,0)),1))))</f>
        <v/>
      </c>
      <c r="CG480" s="49" t="str">
        <f>IF(CB480="","",IF(AND('Seasonal Tercile Tally'!$B$5=1,BT480="Rating-based"),CB480*CF480,CB480))</f>
        <v/>
      </c>
      <c r="CH480" s="47">
        <f t="shared" si="212"/>
        <v>0</v>
      </c>
      <c r="CI480" s="45"/>
      <c r="CJ480" s="42" t="str">
        <f t="shared" si="213"/>
        <v/>
      </c>
      <c r="CM480" s="42" t="str">
        <f t="shared" si="214"/>
        <v/>
      </c>
      <c r="CP480" s="46" t="str">
        <f t="shared" si="215"/>
        <v/>
      </c>
      <c r="CS480" s="46" t="str">
        <f t="shared" si="216"/>
        <v/>
      </c>
      <c r="CT480" s="42" t="str">
        <f t="shared" si="217"/>
        <v/>
      </c>
      <c r="CU480" s="42" t="str">
        <f t="shared" si="218"/>
        <v/>
      </c>
      <c r="CV480" s="42" t="str">
        <f t="shared" si="219"/>
        <v/>
      </c>
      <c r="DB480" s="45"/>
      <c r="DH480" s="42" t="str">
        <f t="shared" si="220"/>
        <v/>
      </c>
      <c r="DI480" s="43" t="str">
        <f t="shared" si="221"/>
        <v/>
      </c>
      <c r="DK480" s="46" t="str">
        <f t="shared" si="222"/>
        <v/>
      </c>
      <c r="DQ480" s="42" t="str">
        <f>IF(AH480="","",IFERROR(ROUND(100*('Weighting Options'!$D$7*IF(ISNUMBER(CA480),CA480/3,0)+'Weighting Options'!$D$8*MIN(N(BL480),3)/3+'Weighting Options'!$D$9*IF(AP480="Community/Plenary-endorsed",1,IF(AP480="FGD-validated only",0.75,IF(AP480="Sub-community-specific",0.5,IF(AP480="Provisional/emerging",0.25,0))))+'Weighting Options'!$D$10*IF(ISNUMBER(K480),K480/3,0)+'Weighting Options'!$D$11*IF(CC480="",0.5,IF(CC480="OK",1,0.25))+'Weighting Options'!$D$12*IF(DK480="",0.5,IF(DK480="Agrees",1,IF(DK480="Opposite",0,0.5)))+'Weighting Options'!$D$13*MIN(N(BG480),3)/3+'Weighting Options'!$D$14*IF(AE480=1,1,0))/SUM('Weighting Options'!$D$7:$D$14),0),""))</f>
        <v/>
      </c>
      <c r="DR480" s="44" t="str">
        <f>IF(AH480="","",IFERROR(INDEX('Weighting Options'!$D$20:$D$27,VALUE(LEFT(TRIM(BU480),1))),1))</f>
        <v/>
      </c>
      <c r="DS480" s="44" t="str">
        <f t="shared" si="223"/>
        <v/>
      </c>
      <c r="DT480" s="42" t="str">
        <f>IF(AH480="","",IF(COUNTIFS($AH$12:AH480,AH480,$AI$12:AI480,AI480,$AM$12:AM480,AM480)=1,1,0))</f>
        <v/>
      </c>
    </row>
    <row r="481" spans="16:124" ht="12.75" customHeight="1" x14ac:dyDescent="0.35">
      <c r="P481" s="41"/>
      <c r="Q481" s="41"/>
      <c r="R481" s="41"/>
      <c r="S481" s="41"/>
      <c r="AH481" s="40"/>
      <c r="AP481" s="40"/>
      <c r="AS481" s="41"/>
      <c r="AT481" s="41"/>
      <c r="AW481" t="str">
        <f t="shared" si="196"/>
        <v/>
      </c>
      <c r="AX481" t="str">
        <f t="shared" si="197"/>
        <v/>
      </c>
      <c r="AY481" t="str">
        <f t="shared" si="198"/>
        <v/>
      </c>
      <c r="AZ481" s="40"/>
      <c r="BL481" s="47" t="str">
        <f t="shared" si="199"/>
        <v/>
      </c>
      <c r="BM481" s="47" t="str">
        <f t="shared" si="200"/>
        <v/>
      </c>
      <c r="BN481" s="47" t="str">
        <f t="shared" si="201"/>
        <v/>
      </c>
      <c r="BO481" s="47" t="str">
        <f t="shared" si="202"/>
        <v/>
      </c>
      <c r="BP481" s="47" t="str">
        <f t="shared" si="203"/>
        <v/>
      </c>
      <c r="BQ481" s="48" t="str">
        <f t="shared" si="204"/>
        <v/>
      </c>
      <c r="BR481" s="48" t="str">
        <f t="shared" si="205"/>
        <v/>
      </c>
      <c r="BS481" s="48" t="str">
        <f t="shared" si="206"/>
        <v/>
      </c>
      <c r="BT481" s="47" t="str">
        <f t="shared" si="207"/>
        <v/>
      </c>
      <c r="CA481" s="47" t="str">
        <f t="shared" si="208"/>
        <v/>
      </c>
      <c r="CB481" s="47" t="str">
        <f t="shared" si="209"/>
        <v/>
      </c>
      <c r="CC481" s="47" t="str">
        <f t="shared" si="210"/>
        <v/>
      </c>
      <c r="CD481" s="47" t="str">
        <f t="shared" si="211"/>
        <v/>
      </c>
      <c r="CE481" s="47" t="str">
        <f>IF(AH481="","",IF(OR(AI481&lt;&gt;'Seasonal Tercile Tally'!$B$3,AM481&lt;&gt;'Seasonal Tercile Tally'!$B$4),"Other site/ season",IF(DT481=0,"Excluded: duplicate (later row)",IF(N481&lt;&gt;1,"Excluded: not sighted",IF(AC481&lt;&gt;1,"Excluded: not confirmed",IF(AD481&lt;&gt;1,"Excluded: not approved",IF(AP481="Contested","Excluded: contested",IF(OR(U481="",U481=0),"Excluded: no tercile",IF(CB481="","Counted (simple tally only — no weight)","Counted")))))))))</f>
        <v/>
      </c>
      <c r="CF481" s="49" t="str">
        <f>IF(AH481="","",IFERROR(INDEX('Prior Multipliers'!$C$6:$C$70,MATCH(LEFT(AH481,10),'Prior Multipliers'!$A$6:$A$70,0)),IFERROR(INDEX('Prior Multipliers'!$C$6:$C$70,MATCH(LEFT(AH481,6),'Prior Multipliers'!$A$6:$A$70,0)),IFERROR(INDEX('Prior Multipliers'!$C$6:$C$70,MATCH(LEFT(AH481,2),'Prior Multipliers'!$A$6:$A$70,0)),1))))</f>
        <v/>
      </c>
      <c r="CG481" s="49" t="str">
        <f>IF(CB481="","",IF(AND('Seasonal Tercile Tally'!$B$5=1,BT481="Rating-based"),CB481*CF481,CB481))</f>
        <v/>
      </c>
      <c r="CH481" s="47">
        <f t="shared" si="212"/>
        <v>0</v>
      </c>
      <c r="CI481" s="45"/>
      <c r="CJ481" s="42" t="str">
        <f t="shared" si="213"/>
        <v/>
      </c>
      <c r="CM481" s="42" t="str">
        <f t="shared" si="214"/>
        <v/>
      </c>
      <c r="CP481" s="46" t="str">
        <f t="shared" si="215"/>
        <v/>
      </c>
      <c r="CS481" s="46" t="str">
        <f t="shared" si="216"/>
        <v/>
      </c>
      <c r="CT481" s="42" t="str">
        <f t="shared" si="217"/>
        <v/>
      </c>
      <c r="CU481" s="42" t="str">
        <f t="shared" si="218"/>
        <v/>
      </c>
      <c r="CV481" s="42" t="str">
        <f t="shared" si="219"/>
        <v/>
      </c>
      <c r="DB481" s="45"/>
      <c r="DH481" s="42" t="str">
        <f t="shared" si="220"/>
        <v/>
      </c>
      <c r="DI481" s="43" t="str">
        <f t="shared" si="221"/>
        <v/>
      </c>
      <c r="DK481" s="46" t="str">
        <f t="shared" si="222"/>
        <v/>
      </c>
      <c r="DQ481" s="42" t="str">
        <f>IF(AH481="","",IFERROR(ROUND(100*('Weighting Options'!$D$7*IF(ISNUMBER(CA481),CA481/3,0)+'Weighting Options'!$D$8*MIN(N(BL481),3)/3+'Weighting Options'!$D$9*IF(AP481="Community/Plenary-endorsed",1,IF(AP481="FGD-validated only",0.75,IF(AP481="Sub-community-specific",0.5,IF(AP481="Provisional/emerging",0.25,0))))+'Weighting Options'!$D$10*IF(ISNUMBER(K481),K481/3,0)+'Weighting Options'!$D$11*IF(CC481="",0.5,IF(CC481="OK",1,0.25))+'Weighting Options'!$D$12*IF(DK481="",0.5,IF(DK481="Agrees",1,IF(DK481="Opposite",0,0.5)))+'Weighting Options'!$D$13*MIN(N(BG481),3)/3+'Weighting Options'!$D$14*IF(AE481=1,1,0))/SUM('Weighting Options'!$D$7:$D$14),0),""))</f>
        <v/>
      </c>
      <c r="DR481" s="44" t="str">
        <f>IF(AH481="","",IFERROR(INDEX('Weighting Options'!$D$20:$D$27,VALUE(LEFT(TRIM(BU481),1))),1))</f>
        <v/>
      </c>
      <c r="DS481" s="44" t="str">
        <f t="shared" si="223"/>
        <v/>
      </c>
      <c r="DT481" s="42" t="str">
        <f>IF(AH481="","",IF(COUNTIFS($AH$12:AH481,AH481,$AI$12:AI481,AI481,$AM$12:AM481,AM481)=1,1,0))</f>
        <v/>
      </c>
    </row>
    <row r="482" spans="16:124" ht="12.75" customHeight="1" x14ac:dyDescent="0.35">
      <c r="P482" s="41"/>
      <c r="Q482" s="41"/>
      <c r="R482" s="41"/>
      <c r="S482" s="41"/>
      <c r="AH482" s="40"/>
      <c r="AP482" s="40"/>
      <c r="AS482" s="41"/>
      <c r="AT482" s="41"/>
      <c r="AW482" t="str">
        <f t="shared" si="196"/>
        <v/>
      </c>
      <c r="AX482" t="str">
        <f t="shared" si="197"/>
        <v/>
      </c>
      <c r="AY482" t="str">
        <f t="shared" si="198"/>
        <v/>
      </c>
      <c r="AZ482" s="40"/>
      <c r="BL482" s="47" t="str">
        <f t="shared" si="199"/>
        <v/>
      </c>
      <c r="BM482" s="47" t="str">
        <f t="shared" si="200"/>
        <v/>
      </c>
      <c r="BN482" s="47" t="str">
        <f t="shared" si="201"/>
        <v/>
      </c>
      <c r="BO482" s="47" t="str">
        <f t="shared" si="202"/>
        <v/>
      </c>
      <c r="BP482" s="47" t="str">
        <f t="shared" si="203"/>
        <v/>
      </c>
      <c r="BQ482" s="48" t="str">
        <f t="shared" si="204"/>
        <v/>
      </c>
      <c r="BR482" s="48" t="str">
        <f t="shared" si="205"/>
        <v/>
      </c>
      <c r="BS482" s="48" t="str">
        <f t="shared" si="206"/>
        <v/>
      </c>
      <c r="BT482" s="47" t="str">
        <f t="shared" si="207"/>
        <v/>
      </c>
      <c r="CA482" s="47" t="str">
        <f t="shared" si="208"/>
        <v/>
      </c>
      <c r="CB482" s="47" t="str">
        <f t="shared" si="209"/>
        <v/>
      </c>
      <c r="CC482" s="47" t="str">
        <f t="shared" si="210"/>
        <v/>
      </c>
      <c r="CD482" s="47" t="str">
        <f t="shared" si="211"/>
        <v/>
      </c>
      <c r="CE482" s="47" t="str">
        <f>IF(AH482="","",IF(OR(AI482&lt;&gt;'Seasonal Tercile Tally'!$B$3,AM482&lt;&gt;'Seasonal Tercile Tally'!$B$4),"Other site/ season",IF(DT482=0,"Excluded: duplicate (later row)",IF(N482&lt;&gt;1,"Excluded: not sighted",IF(AC482&lt;&gt;1,"Excluded: not confirmed",IF(AD482&lt;&gt;1,"Excluded: not approved",IF(AP482="Contested","Excluded: contested",IF(OR(U482="",U482=0),"Excluded: no tercile",IF(CB482="","Counted (simple tally only — no weight)","Counted")))))))))</f>
        <v/>
      </c>
      <c r="CF482" s="49" t="str">
        <f>IF(AH482="","",IFERROR(INDEX('Prior Multipliers'!$C$6:$C$70,MATCH(LEFT(AH482,10),'Prior Multipliers'!$A$6:$A$70,0)),IFERROR(INDEX('Prior Multipliers'!$C$6:$C$70,MATCH(LEFT(AH482,6),'Prior Multipliers'!$A$6:$A$70,0)),IFERROR(INDEX('Prior Multipliers'!$C$6:$C$70,MATCH(LEFT(AH482,2),'Prior Multipliers'!$A$6:$A$70,0)),1))))</f>
        <v/>
      </c>
      <c r="CG482" s="49" t="str">
        <f>IF(CB482="","",IF(AND('Seasonal Tercile Tally'!$B$5=1,BT482="Rating-based"),CB482*CF482,CB482))</f>
        <v/>
      </c>
      <c r="CH482" s="47">
        <f t="shared" si="212"/>
        <v>0</v>
      </c>
      <c r="CI482" s="45"/>
      <c r="CJ482" s="42" t="str">
        <f t="shared" si="213"/>
        <v/>
      </c>
      <c r="CM482" s="42" t="str">
        <f t="shared" si="214"/>
        <v/>
      </c>
      <c r="CP482" s="46" t="str">
        <f t="shared" si="215"/>
        <v/>
      </c>
      <c r="CS482" s="46" t="str">
        <f t="shared" si="216"/>
        <v/>
      </c>
      <c r="CT482" s="42" t="str">
        <f t="shared" si="217"/>
        <v/>
      </c>
      <c r="CU482" s="42" t="str">
        <f t="shared" si="218"/>
        <v/>
      </c>
      <c r="CV482" s="42" t="str">
        <f t="shared" si="219"/>
        <v/>
      </c>
      <c r="DB482" s="45"/>
      <c r="DH482" s="42" t="str">
        <f t="shared" si="220"/>
        <v/>
      </c>
      <c r="DI482" s="43" t="str">
        <f t="shared" si="221"/>
        <v/>
      </c>
      <c r="DK482" s="46" t="str">
        <f t="shared" si="222"/>
        <v/>
      </c>
      <c r="DQ482" s="42" t="str">
        <f>IF(AH482="","",IFERROR(ROUND(100*('Weighting Options'!$D$7*IF(ISNUMBER(CA482),CA482/3,0)+'Weighting Options'!$D$8*MIN(N(BL482),3)/3+'Weighting Options'!$D$9*IF(AP482="Community/Plenary-endorsed",1,IF(AP482="FGD-validated only",0.75,IF(AP482="Sub-community-specific",0.5,IF(AP482="Provisional/emerging",0.25,0))))+'Weighting Options'!$D$10*IF(ISNUMBER(K482),K482/3,0)+'Weighting Options'!$D$11*IF(CC482="",0.5,IF(CC482="OK",1,0.25))+'Weighting Options'!$D$12*IF(DK482="",0.5,IF(DK482="Agrees",1,IF(DK482="Opposite",0,0.5)))+'Weighting Options'!$D$13*MIN(N(BG482),3)/3+'Weighting Options'!$D$14*IF(AE482=1,1,0))/SUM('Weighting Options'!$D$7:$D$14),0),""))</f>
        <v/>
      </c>
      <c r="DR482" s="44" t="str">
        <f>IF(AH482="","",IFERROR(INDEX('Weighting Options'!$D$20:$D$27,VALUE(LEFT(TRIM(BU482),1))),1))</f>
        <v/>
      </c>
      <c r="DS482" s="44" t="str">
        <f t="shared" si="223"/>
        <v/>
      </c>
      <c r="DT482" s="42" t="str">
        <f>IF(AH482="","",IF(COUNTIFS($AH$12:AH482,AH482,$AI$12:AI482,AI482,$AM$12:AM482,AM482)=1,1,0))</f>
        <v/>
      </c>
    </row>
    <row r="483" spans="16:124" ht="12.75" customHeight="1" x14ac:dyDescent="0.35">
      <c r="P483" s="41"/>
      <c r="Q483" s="41"/>
      <c r="R483" s="41"/>
      <c r="S483" s="41"/>
      <c r="AH483" s="40"/>
      <c r="AP483" s="40"/>
      <c r="AS483" s="41"/>
      <c r="AT483" s="41"/>
      <c r="AW483" t="str">
        <f t="shared" si="196"/>
        <v/>
      </c>
      <c r="AX483" t="str">
        <f t="shared" si="197"/>
        <v/>
      </c>
      <c r="AY483" t="str">
        <f t="shared" si="198"/>
        <v/>
      </c>
      <c r="AZ483" s="40"/>
      <c r="BL483" s="47" t="str">
        <f t="shared" si="199"/>
        <v/>
      </c>
      <c r="BM483" s="47" t="str">
        <f t="shared" si="200"/>
        <v/>
      </c>
      <c r="BN483" s="47" t="str">
        <f t="shared" si="201"/>
        <v/>
      </c>
      <c r="BO483" s="47" t="str">
        <f t="shared" si="202"/>
        <v/>
      </c>
      <c r="BP483" s="47" t="str">
        <f t="shared" si="203"/>
        <v/>
      </c>
      <c r="BQ483" s="48" t="str">
        <f t="shared" si="204"/>
        <v/>
      </c>
      <c r="BR483" s="48" t="str">
        <f t="shared" si="205"/>
        <v/>
      </c>
      <c r="BS483" s="48" t="str">
        <f t="shared" si="206"/>
        <v/>
      </c>
      <c r="BT483" s="47" t="str">
        <f t="shared" si="207"/>
        <v/>
      </c>
      <c r="CA483" s="47" t="str">
        <f t="shared" si="208"/>
        <v/>
      </c>
      <c r="CB483" s="47" t="str">
        <f t="shared" si="209"/>
        <v/>
      </c>
      <c r="CC483" s="47" t="str">
        <f t="shared" si="210"/>
        <v/>
      </c>
      <c r="CD483" s="47" t="str">
        <f t="shared" si="211"/>
        <v/>
      </c>
      <c r="CE483" s="47" t="str">
        <f>IF(AH483="","",IF(OR(AI483&lt;&gt;'Seasonal Tercile Tally'!$B$3,AM483&lt;&gt;'Seasonal Tercile Tally'!$B$4),"Other site/ season",IF(DT483=0,"Excluded: duplicate (later row)",IF(N483&lt;&gt;1,"Excluded: not sighted",IF(AC483&lt;&gt;1,"Excluded: not confirmed",IF(AD483&lt;&gt;1,"Excluded: not approved",IF(AP483="Contested","Excluded: contested",IF(OR(U483="",U483=0),"Excluded: no tercile",IF(CB483="","Counted (simple tally only — no weight)","Counted")))))))))</f>
        <v/>
      </c>
      <c r="CF483" s="49" t="str">
        <f>IF(AH483="","",IFERROR(INDEX('Prior Multipliers'!$C$6:$C$70,MATCH(LEFT(AH483,10),'Prior Multipliers'!$A$6:$A$70,0)),IFERROR(INDEX('Prior Multipliers'!$C$6:$C$70,MATCH(LEFT(AH483,6),'Prior Multipliers'!$A$6:$A$70,0)),IFERROR(INDEX('Prior Multipliers'!$C$6:$C$70,MATCH(LEFT(AH483,2),'Prior Multipliers'!$A$6:$A$70,0)),1))))</f>
        <v/>
      </c>
      <c r="CG483" s="49" t="str">
        <f>IF(CB483="","",IF(AND('Seasonal Tercile Tally'!$B$5=1,BT483="Rating-based"),CB483*CF483,CB483))</f>
        <v/>
      </c>
      <c r="CH483" s="47">
        <f t="shared" si="212"/>
        <v>0</v>
      </c>
      <c r="CI483" s="45"/>
      <c r="CJ483" s="42" t="str">
        <f t="shared" si="213"/>
        <v/>
      </c>
      <c r="CM483" s="42" t="str">
        <f t="shared" si="214"/>
        <v/>
      </c>
      <c r="CP483" s="46" t="str">
        <f t="shared" si="215"/>
        <v/>
      </c>
      <c r="CS483" s="46" t="str">
        <f t="shared" si="216"/>
        <v/>
      </c>
      <c r="CT483" s="42" t="str">
        <f t="shared" si="217"/>
        <v/>
      </c>
      <c r="CU483" s="42" t="str">
        <f t="shared" si="218"/>
        <v/>
      </c>
      <c r="CV483" s="42" t="str">
        <f t="shared" si="219"/>
        <v/>
      </c>
      <c r="DB483" s="45"/>
      <c r="DH483" s="42" t="str">
        <f t="shared" si="220"/>
        <v/>
      </c>
      <c r="DI483" s="43" t="str">
        <f t="shared" si="221"/>
        <v/>
      </c>
      <c r="DK483" s="46" t="str">
        <f t="shared" si="222"/>
        <v/>
      </c>
      <c r="DQ483" s="42" t="str">
        <f>IF(AH483="","",IFERROR(ROUND(100*('Weighting Options'!$D$7*IF(ISNUMBER(CA483),CA483/3,0)+'Weighting Options'!$D$8*MIN(N(BL483),3)/3+'Weighting Options'!$D$9*IF(AP483="Community/Plenary-endorsed",1,IF(AP483="FGD-validated only",0.75,IF(AP483="Sub-community-specific",0.5,IF(AP483="Provisional/emerging",0.25,0))))+'Weighting Options'!$D$10*IF(ISNUMBER(K483),K483/3,0)+'Weighting Options'!$D$11*IF(CC483="",0.5,IF(CC483="OK",1,0.25))+'Weighting Options'!$D$12*IF(DK483="",0.5,IF(DK483="Agrees",1,IF(DK483="Opposite",0,0.5)))+'Weighting Options'!$D$13*MIN(N(BG483),3)/3+'Weighting Options'!$D$14*IF(AE483=1,1,0))/SUM('Weighting Options'!$D$7:$D$14),0),""))</f>
        <v/>
      </c>
      <c r="DR483" s="44" t="str">
        <f>IF(AH483="","",IFERROR(INDEX('Weighting Options'!$D$20:$D$27,VALUE(LEFT(TRIM(BU483),1))),1))</f>
        <v/>
      </c>
      <c r="DS483" s="44" t="str">
        <f t="shared" si="223"/>
        <v/>
      </c>
      <c r="DT483" s="42" t="str">
        <f>IF(AH483="","",IF(COUNTIFS($AH$12:AH483,AH483,$AI$12:AI483,AI483,$AM$12:AM483,AM483)=1,1,0))</f>
        <v/>
      </c>
    </row>
    <row r="484" spans="16:124" ht="12.75" customHeight="1" x14ac:dyDescent="0.35">
      <c r="P484" s="41"/>
      <c r="Q484" s="41"/>
      <c r="R484" s="41"/>
      <c r="S484" s="41"/>
      <c r="AH484" s="40"/>
      <c r="AP484" s="40"/>
      <c r="AS484" s="41"/>
      <c r="AT484" s="41"/>
      <c r="AW484" t="str">
        <f t="shared" si="196"/>
        <v/>
      </c>
      <c r="AX484" t="str">
        <f t="shared" si="197"/>
        <v/>
      </c>
      <c r="AY484" t="str">
        <f t="shared" si="198"/>
        <v/>
      </c>
      <c r="AZ484" s="40"/>
      <c r="BL484" s="47" t="str">
        <f t="shared" si="199"/>
        <v/>
      </c>
      <c r="BM484" s="47" t="str">
        <f t="shared" si="200"/>
        <v/>
      </c>
      <c r="BN484" s="47" t="str">
        <f t="shared" si="201"/>
        <v/>
      </c>
      <c r="BO484" s="47" t="str">
        <f t="shared" si="202"/>
        <v/>
      </c>
      <c r="BP484" s="47" t="str">
        <f t="shared" si="203"/>
        <v/>
      </c>
      <c r="BQ484" s="48" t="str">
        <f t="shared" si="204"/>
        <v/>
      </c>
      <c r="BR484" s="48" t="str">
        <f t="shared" si="205"/>
        <v/>
      </c>
      <c r="BS484" s="48" t="str">
        <f t="shared" si="206"/>
        <v/>
      </c>
      <c r="BT484" s="47" t="str">
        <f t="shared" si="207"/>
        <v/>
      </c>
      <c r="CA484" s="47" t="str">
        <f t="shared" si="208"/>
        <v/>
      </c>
      <c r="CB484" s="47" t="str">
        <f t="shared" si="209"/>
        <v/>
      </c>
      <c r="CC484" s="47" t="str">
        <f t="shared" si="210"/>
        <v/>
      </c>
      <c r="CD484" s="47" t="str">
        <f t="shared" si="211"/>
        <v/>
      </c>
      <c r="CE484" s="47" t="str">
        <f>IF(AH484="","",IF(OR(AI484&lt;&gt;'Seasonal Tercile Tally'!$B$3,AM484&lt;&gt;'Seasonal Tercile Tally'!$B$4),"Other site/ season",IF(DT484=0,"Excluded: duplicate (later row)",IF(N484&lt;&gt;1,"Excluded: not sighted",IF(AC484&lt;&gt;1,"Excluded: not confirmed",IF(AD484&lt;&gt;1,"Excluded: not approved",IF(AP484="Contested","Excluded: contested",IF(OR(U484="",U484=0),"Excluded: no tercile",IF(CB484="","Counted (simple tally only — no weight)","Counted")))))))))</f>
        <v/>
      </c>
      <c r="CF484" s="49" t="str">
        <f>IF(AH484="","",IFERROR(INDEX('Prior Multipliers'!$C$6:$C$70,MATCH(LEFT(AH484,10),'Prior Multipliers'!$A$6:$A$70,0)),IFERROR(INDEX('Prior Multipliers'!$C$6:$C$70,MATCH(LEFT(AH484,6),'Prior Multipliers'!$A$6:$A$70,0)),IFERROR(INDEX('Prior Multipliers'!$C$6:$C$70,MATCH(LEFT(AH484,2),'Prior Multipliers'!$A$6:$A$70,0)),1))))</f>
        <v/>
      </c>
      <c r="CG484" s="49" t="str">
        <f>IF(CB484="","",IF(AND('Seasonal Tercile Tally'!$B$5=1,BT484="Rating-based"),CB484*CF484,CB484))</f>
        <v/>
      </c>
      <c r="CH484" s="47">
        <f t="shared" si="212"/>
        <v>0</v>
      </c>
      <c r="CI484" s="45"/>
      <c r="CJ484" s="42" t="str">
        <f t="shared" si="213"/>
        <v/>
      </c>
      <c r="CM484" s="42" t="str">
        <f t="shared" si="214"/>
        <v/>
      </c>
      <c r="CP484" s="46" t="str">
        <f t="shared" si="215"/>
        <v/>
      </c>
      <c r="CS484" s="46" t="str">
        <f t="shared" si="216"/>
        <v/>
      </c>
      <c r="CT484" s="42" t="str">
        <f t="shared" si="217"/>
        <v/>
      </c>
      <c r="CU484" s="42" t="str">
        <f t="shared" si="218"/>
        <v/>
      </c>
      <c r="CV484" s="42" t="str">
        <f t="shared" si="219"/>
        <v/>
      </c>
      <c r="DB484" s="45"/>
      <c r="DH484" s="42" t="str">
        <f t="shared" si="220"/>
        <v/>
      </c>
      <c r="DI484" s="43" t="str">
        <f t="shared" si="221"/>
        <v/>
      </c>
      <c r="DK484" s="46" t="str">
        <f t="shared" si="222"/>
        <v/>
      </c>
      <c r="DQ484" s="42" t="str">
        <f>IF(AH484="","",IFERROR(ROUND(100*('Weighting Options'!$D$7*IF(ISNUMBER(CA484),CA484/3,0)+'Weighting Options'!$D$8*MIN(N(BL484),3)/3+'Weighting Options'!$D$9*IF(AP484="Community/Plenary-endorsed",1,IF(AP484="FGD-validated only",0.75,IF(AP484="Sub-community-specific",0.5,IF(AP484="Provisional/emerging",0.25,0))))+'Weighting Options'!$D$10*IF(ISNUMBER(K484),K484/3,0)+'Weighting Options'!$D$11*IF(CC484="",0.5,IF(CC484="OK",1,0.25))+'Weighting Options'!$D$12*IF(DK484="",0.5,IF(DK484="Agrees",1,IF(DK484="Opposite",0,0.5)))+'Weighting Options'!$D$13*MIN(N(BG484),3)/3+'Weighting Options'!$D$14*IF(AE484=1,1,0))/SUM('Weighting Options'!$D$7:$D$14),0),""))</f>
        <v/>
      </c>
      <c r="DR484" s="44" t="str">
        <f>IF(AH484="","",IFERROR(INDEX('Weighting Options'!$D$20:$D$27,VALUE(LEFT(TRIM(BU484),1))),1))</f>
        <v/>
      </c>
      <c r="DS484" s="44" t="str">
        <f t="shared" si="223"/>
        <v/>
      </c>
      <c r="DT484" s="42" t="str">
        <f>IF(AH484="","",IF(COUNTIFS($AH$12:AH484,AH484,$AI$12:AI484,AI484,$AM$12:AM484,AM484)=1,1,0))</f>
        <v/>
      </c>
    </row>
    <row r="485" spans="16:124" ht="12.75" customHeight="1" x14ac:dyDescent="0.35">
      <c r="P485" s="41"/>
      <c r="Q485" s="41"/>
      <c r="R485" s="41"/>
      <c r="S485" s="41"/>
      <c r="AH485" s="40"/>
      <c r="AP485" s="40"/>
      <c r="AS485" s="41"/>
      <c r="AT485" s="41"/>
      <c r="AW485" t="str">
        <f t="shared" si="196"/>
        <v/>
      </c>
      <c r="AX485" t="str">
        <f t="shared" si="197"/>
        <v/>
      </c>
      <c r="AY485" t="str">
        <f t="shared" si="198"/>
        <v/>
      </c>
      <c r="AZ485" s="40"/>
      <c r="BL485" s="47" t="str">
        <f t="shared" si="199"/>
        <v/>
      </c>
      <c r="BM485" s="47" t="str">
        <f t="shared" si="200"/>
        <v/>
      </c>
      <c r="BN485" s="47" t="str">
        <f t="shared" si="201"/>
        <v/>
      </c>
      <c r="BO485" s="47" t="str">
        <f t="shared" si="202"/>
        <v/>
      </c>
      <c r="BP485" s="47" t="str">
        <f t="shared" si="203"/>
        <v/>
      </c>
      <c r="BQ485" s="48" t="str">
        <f t="shared" si="204"/>
        <v/>
      </c>
      <c r="BR485" s="48" t="str">
        <f t="shared" si="205"/>
        <v/>
      </c>
      <c r="BS485" s="48" t="str">
        <f t="shared" si="206"/>
        <v/>
      </c>
      <c r="BT485" s="47" t="str">
        <f t="shared" si="207"/>
        <v/>
      </c>
      <c r="CA485" s="47" t="str">
        <f t="shared" si="208"/>
        <v/>
      </c>
      <c r="CB485" s="47" t="str">
        <f t="shared" si="209"/>
        <v/>
      </c>
      <c r="CC485" s="47" t="str">
        <f t="shared" si="210"/>
        <v/>
      </c>
      <c r="CD485" s="47" t="str">
        <f t="shared" si="211"/>
        <v/>
      </c>
      <c r="CE485" s="47" t="str">
        <f>IF(AH485="","",IF(OR(AI485&lt;&gt;'Seasonal Tercile Tally'!$B$3,AM485&lt;&gt;'Seasonal Tercile Tally'!$B$4),"Other site/ season",IF(DT485=0,"Excluded: duplicate (later row)",IF(N485&lt;&gt;1,"Excluded: not sighted",IF(AC485&lt;&gt;1,"Excluded: not confirmed",IF(AD485&lt;&gt;1,"Excluded: not approved",IF(AP485="Contested","Excluded: contested",IF(OR(U485="",U485=0),"Excluded: no tercile",IF(CB485="","Counted (simple tally only — no weight)","Counted")))))))))</f>
        <v/>
      </c>
      <c r="CF485" s="49" t="str">
        <f>IF(AH485="","",IFERROR(INDEX('Prior Multipliers'!$C$6:$C$70,MATCH(LEFT(AH485,10),'Prior Multipliers'!$A$6:$A$70,0)),IFERROR(INDEX('Prior Multipliers'!$C$6:$C$70,MATCH(LEFT(AH485,6),'Prior Multipliers'!$A$6:$A$70,0)),IFERROR(INDEX('Prior Multipliers'!$C$6:$C$70,MATCH(LEFT(AH485,2),'Prior Multipliers'!$A$6:$A$70,0)),1))))</f>
        <v/>
      </c>
      <c r="CG485" s="49" t="str">
        <f>IF(CB485="","",IF(AND('Seasonal Tercile Tally'!$B$5=1,BT485="Rating-based"),CB485*CF485,CB485))</f>
        <v/>
      </c>
      <c r="CH485" s="47">
        <f t="shared" si="212"/>
        <v>0</v>
      </c>
      <c r="CI485" s="45"/>
      <c r="CJ485" s="42" t="str">
        <f t="shared" si="213"/>
        <v/>
      </c>
      <c r="CM485" s="42" t="str">
        <f t="shared" si="214"/>
        <v/>
      </c>
      <c r="CP485" s="46" t="str">
        <f t="shared" si="215"/>
        <v/>
      </c>
      <c r="CS485" s="46" t="str">
        <f t="shared" si="216"/>
        <v/>
      </c>
      <c r="CT485" s="42" t="str">
        <f t="shared" si="217"/>
        <v/>
      </c>
      <c r="CU485" s="42" t="str">
        <f t="shared" si="218"/>
        <v/>
      </c>
      <c r="CV485" s="42" t="str">
        <f t="shared" si="219"/>
        <v/>
      </c>
      <c r="DB485" s="45"/>
      <c r="DH485" s="42" t="str">
        <f t="shared" si="220"/>
        <v/>
      </c>
      <c r="DI485" s="43" t="str">
        <f t="shared" si="221"/>
        <v/>
      </c>
      <c r="DK485" s="46" t="str">
        <f t="shared" si="222"/>
        <v/>
      </c>
      <c r="DQ485" s="42" t="str">
        <f>IF(AH485="","",IFERROR(ROUND(100*('Weighting Options'!$D$7*IF(ISNUMBER(CA485),CA485/3,0)+'Weighting Options'!$D$8*MIN(N(BL485),3)/3+'Weighting Options'!$D$9*IF(AP485="Community/Plenary-endorsed",1,IF(AP485="FGD-validated only",0.75,IF(AP485="Sub-community-specific",0.5,IF(AP485="Provisional/emerging",0.25,0))))+'Weighting Options'!$D$10*IF(ISNUMBER(K485),K485/3,0)+'Weighting Options'!$D$11*IF(CC485="",0.5,IF(CC485="OK",1,0.25))+'Weighting Options'!$D$12*IF(DK485="",0.5,IF(DK485="Agrees",1,IF(DK485="Opposite",0,0.5)))+'Weighting Options'!$D$13*MIN(N(BG485),3)/3+'Weighting Options'!$D$14*IF(AE485=1,1,0))/SUM('Weighting Options'!$D$7:$D$14),0),""))</f>
        <v/>
      </c>
      <c r="DR485" s="44" t="str">
        <f>IF(AH485="","",IFERROR(INDEX('Weighting Options'!$D$20:$D$27,VALUE(LEFT(TRIM(BU485),1))),1))</f>
        <v/>
      </c>
      <c r="DS485" s="44" t="str">
        <f t="shared" si="223"/>
        <v/>
      </c>
      <c r="DT485" s="42" t="str">
        <f>IF(AH485="","",IF(COUNTIFS($AH$12:AH485,AH485,$AI$12:AI485,AI485,$AM$12:AM485,AM485)=1,1,0))</f>
        <v/>
      </c>
    </row>
    <row r="486" spans="16:124" ht="12.75" customHeight="1" x14ac:dyDescent="0.35">
      <c r="P486" s="41"/>
      <c r="Q486" s="41"/>
      <c r="R486" s="41"/>
      <c r="S486" s="41"/>
      <c r="AH486" s="40"/>
      <c r="AP486" s="40"/>
      <c r="AS486" s="41"/>
      <c r="AT486" s="41"/>
      <c r="AW486" t="str">
        <f t="shared" si="196"/>
        <v/>
      </c>
      <c r="AX486" t="str">
        <f t="shared" si="197"/>
        <v/>
      </c>
      <c r="AY486" t="str">
        <f t="shared" si="198"/>
        <v/>
      </c>
      <c r="AZ486" s="40"/>
      <c r="BL486" s="47" t="str">
        <f t="shared" si="199"/>
        <v/>
      </c>
      <c r="BM486" s="47" t="str">
        <f t="shared" si="200"/>
        <v/>
      </c>
      <c r="BN486" s="47" t="str">
        <f t="shared" si="201"/>
        <v/>
      </c>
      <c r="BO486" s="47" t="str">
        <f t="shared" si="202"/>
        <v/>
      </c>
      <c r="BP486" s="47" t="str">
        <f t="shared" si="203"/>
        <v/>
      </c>
      <c r="BQ486" s="48" t="str">
        <f t="shared" si="204"/>
        <v/>
      </c>
      <c r="BR486" s="48" t="str">
        <f t="shared" si="205"/>
        <v/>
      </c>
      <c r="BS486" s="48" t="str">
        <f t="shared" si="206"/>
        <v/>
      </c>
      <c r="BT486" s="47" t="str">
        <f t="shared" si="207"/>
        <v/>
      </c>
      <c r="CA486" s="47" t="str">
        <f t="shared" si="208"/>
        <v/>
      </c>
      <c r="CB486" s="47" t="str">
        <f t="shared" si="209"/>
        <v/>
      </c>
      <c r="CC486" s="47" t="str">
        <f t="shared" si="210"/>
        <v/>
      </c>
      <c r="CD486" s="47" t="str">
        <f t="shared" si="211"/>
        <v/>
      </c>
      <c r="CE486" s="47" t="str">
        <f>IF(AH486="","",IF(OR(AI486&lt;&gt;'Seasonal Tercile Tally'!$B$3,AM486&lt;&gt;'Seasonal Tercile Tally'!$B$4),"Other site/ season",IF(DT486=0,"Excluded: duplicate (later row)",IF(N486&lt;&gt;1,"Excluded: not sighted",IF(AC486&lt;&gt;1,"Excluded: not confirmed",IF(AD486&lt;&gt;1,"Excluded: not approved",IF(AP486="Contested","Excluded: contested",IF(OR(U486="",U486=0),"Excluded: no tercile",IF(CB486="","Counted (simple tally only — no weight)","Counted")))))))))</f>
        <v/>
      </c>
      <c r="CF486" s="49" t="str">
        <f>IF(AH486="","",IFERROR(INDEX('Prior Multipliers'!$C$6:$C$70,MATCH(LEFT(AH486,10),'Prior Multipliers'!$A$6:$A$70,0)),IFERROR(INDEX('Prior Multipliers'!$C$6:$C$70,MATCH(LEFT(AH486,6),'Prior Multipliers'!$A$6:$A$70,0)),IFERROR(INDEX('Prior Multipliers'!$C$6:$C$70,MATCH(LEFT(AH486,2),'Prior Multipliers'!$A$6:$A$70,0)),1))))</f>
        <v/>
      </c>
      <c r="CG486" s="49" t="str">
        <f>IF(CB486="","",IF(AND('Seasonal Tercile Tally'!$B$5=1,BT486="Rating-based"),CB486*CF486,CB486))</f>
        <v/>
      </c>
      <c r="CH486" s="47">
        <f t="shared" si="212"/>
        <v>0</v>
      </c>
      <c r="CI486" s="45"/>
      <c r="CJ486" s="42" t="str">
        <f t="shared" si="213"/>
        <v/>
      </c>
      <c r="CM486" s="42" t="str">
        <f t="shared" si="214"/>
        <v/>
      </c>
      <c r="CP486" s="46" t="str">
        <f t="shared" si="215"/>
        <v/>
      </c>
      <c r="CS486" s="46" t="str">
        <f t="shared" si="216"/>
        <v/>
      </c>
      <c r="CT486" s="42" t="str">
        <f t="shared" si="217"/>
        <v/>
      </c>
      <c r="CU486" s="42" t="str">
        <f t="shared" si="218"/>
        <v/>
      </c>
      <c r="CV486" s="42" t="str">
        <f t="shared" si="219"/>
        <v/>
      </c>
      <c r="DB486" s="45"/>
      <c r="DH486" s="42" t="str">
        <f t="shared" si="220"/>
        <v/>
      </c>
      <c r="DI486" s="43" t="str">
        <f t="shared" si="221"/>
        <v/>
      </c>
      <c r="DK486" s="46" t="str">
        <f t="shared" si="222"/>
        <v/>
      </c>
      <c r="DQ486" s="42" t="str">
        <f>IF(AH486="","",IFERROR(ROUND(100*('Weighting Options'!$D$7*IF(ISNUMBER(CA486),CA486/3,0)+'Weighting Options'!$D$8*MIN(N(BL486),3)/3+'Weighting Options'!$D$9*IF(AP486="Community/Plenary-endorsed",1,IF(AP486="FGD-validated only",0.75,IF(AP486="Sub-community-specific",0.5,IF(AP486="Provisional/emerging",0.25,0))))+'Weighting Options'!$D$10*IF(ISNUMBER(K486),K486/3,0)+'Weighting Options'!$D$11*IF(CC486="",0.5,IF(CC486="OK",1,0.25))+'Weighting Options'!$D$12*IF(DK486="",0.5,IF(DK486="Agrees",1,IF(DK486="Opposite",0,0.5)))+'Weighting Options'!$D$13*MIN(N(BG486),3)/3+'Weighting Options'!$D$14*IF(AE486=1,1,0))/SUM('Weighting Options'!$D$7:$D$14),0),""))</f>
        <v/>
      </c>
      <c r="DR486" s="44" t="str">
        <f>IF(AH486="","",IFERROR(INDEX('Weighting Options'!$D$20:$D$27,VALUE(LEFT(TRIM(BU486),1))),1))</f>
        <v/>
      </c>
      <c r="DS486" s="44" t="str">
        <f t="shared" si="223"/>
        <v/>
      </c>
      <c r="DT486" s="42" t="str">
        <f>IF(AH486="","",IF(COUNTIFS($AH$12:AH486,AH486,$AI$12:AI486,AI486,$AM$12:AM486,AM486)=1,1,0))</f>
        <v/>
      </c>
    </row>
    <row r="487" spans="16:124" ht="12.75" customHeight="1" x14ac:dyDescent="0.35">
      <c r="P487" s="41"/>
      <c r="Q487" s="41"/>
      <c r="R487" s="41"/>
      <c r="S487" s="41"/>
      <c r="AH487" s="40"/>
      <c r="AP487" s="40"/>
      <c r="AS487" s="41"/>
      <c r="AT487" s="41"/>
      <c r="AW487" t="str">
        <f t="shared" si="196"/>
        <v/>
      </c>
      <c r="AX487" t="str">
        <f t="shared" si="197"/>
        <v/>
      </c>
      <c r="AY487" t="str">
        <f t="shared" si="198"/>
        <v/>
      </c>
      <c r="AZ487" s="40"/>
      <c r="BL487" s="47" t="str">
        <f t="shared" si="199"/>
        <v/>
      </c>
      <c r="BM487" s="47" t="str">
        <f t="shared" si="200"/>
        <v/>
      </c>
      <c r="BN487" s="47" t="str">
        <f t="shared" si="201"/>
        <v/>
      </c>
      <c r="BO487" s="47" t="str">
        <f t="shared" si="202"/>
        <v/>
      </c>
      <c r="BP487" s="47" t="str">
        <f t="shared" si="203"/>
        <v/>
      </c>
      <c r="BQ487" s="48" t="str">
        <f t="shared" si="204"/>
        <v/>
      </c>
      <c r="BR487" s="48" t="str">
        <f t="shared" si="205"/>
        <v/>
      </c>
      <c r="BS487" s="48" t="str">
        <f t="shared" si="206"/>
        <v/>
      </c>
      <c r="BT487" s="47" t="str">
        <f t="shared" si="207"/>
        <v/>
      </c>
      <c r="CA487" s="47" t="str">
        <f t="shared" si="208"/>
        <v/>
      </c>
      <c r="CB487" s="47" t="str">
        <f t="shared" si="209"/>
        <v/>
      </c>
      <c r="CC487" s="47" t="str">
        <f t="shared" si="210"/>
        <v/>
      </c>
      <c r="CD487" s="47" t="str">
        <f t="shared" si="211"/>
        <v/>
      </c>
      <c r="CE487" s="47" t="str">
        <f>IF(AH487="","",IF(OR(AI487&lt;&gt;'Seasonal Tercile Tally'!$B$3,AM487&lt;&gt;'Seasonal Tercile Tally'!$B$4),"Other site/ season",IF(DT487=0,"Excluded: duplicate (later row)",IF(N487&lt;&gt;1,"Excluded: not sighted",IF(AC487&lt;&gt;1,"Excluded: not confirmed",IF(AD487&lt;&gt;1,"Excluded: not approved",IF(AP487="Contested","Excluded: contested",IF(OR(U487="",U487=0),"Excluded: no tercile",IF(CB487="","Counted (simple tally only — no weight)","Counted")))))))))</f>
        <v/>
      </c>
      <c r="CF487" s="49" t="str">
        <f>IF(AH487="","",IFERROR(INDEX('Prior Multipliers'!$C$6:$C$70,MATCH(LEFT(AH487,10),'Prior Multipliers'!$A$6:$A$70,0)),IFERROR(INDEX('Prior Multipliers'!$C$6:$C$70,MATCH(LEFT(AH487,6),'Prior Multipliers'!$A$6:$A$70,0)),IFERROR(INDEX('Prior Multipliers'!$C$6:$C$70,MATCH(LEFT(AH487,2),'Prior Multipliers'!$A$6:$A$70,0)),1))))</f>
        <v/>
      </c>
      <c r="CG487" s="49" t="str">
        <f>IF(CB487="","",IF(AND('Seasonal Tercile Tally'!$B$5=1,BT487="Rating-based"),CB487*CF487,CB487))</f>
        <v/>
      </c>
      <c r="CH487" s="47">
        <f t="shared" si="212"/>
        <v>0</v>
      </c>
      <c r="CI487" s="45"/>
      <c r="CJ487" s="42" t="str">
        <f t="shared" si="213"/>
        <v/>
      </c>
      <c r="CM487" s="42" t="str">
        <f t="shared" si="214"/>
        <v/>
      </c>
      <c r="CP487" s="46" t="str">
        <f t="shared" si="215"/>
        <v/>
      </c>
      <c r="CS487" s="46" t="str">
        <f t="shared" si="216"/>
        <v/>
      </c>
      <c r="CT487" s="42" t="str">
        <f t="shared" si="217"/>
        <v/>
      </c>
      <c r="CU487" s="42" t="str">
        <f t="shared" si="218"/>
        <v/>
      </c>
      <c r="CV487" s="42" t="str">
        <f t="shared" si="219"/>
        <v/>
      </c>
      <c r="DB487" s="45"/>
      <c r="DH487" s="42" t="str">
        <f t="shared" si="220"/>
        <v/>
      </c>
      <c r="DI487" s="43" t="str">
        <f t="shared" si="221"/>
        <v/>
      </c>
      <c r="DK487" s="46" t="str">
        <f t="shared" si="222"/>
        <v/>
      </c>
      <c r="DQ487" s="42" t="str">
        <f>IF(AH487="","",IFERROR(ROUND(100*('Weighting Options'!$D$7*IF(ISNUMBER(CA487),CA487/3,0)+'Weighting Options'!$D$8*MIN(N(BL487),3)/3+'Weighting Options'!$D$9*IF(AP487="Community/Plenary-endorsed",1,IF(AP487="FGD-validated only",0.75,IF(AP487="Sub-community-specific",0.5,IF(AP487="Provisional/emerging",0.25,0))))+'Weighting Options'!$D$10*IF(ISNUMBER(K487),K487/3,0)+'Weighting Options'!$D$11*IF(CC487="",0.5,IF(CC487="OK",1,0.25))+'Weighting Options'!$D$12*IF(DK487="",0.5,IF(DK487="Agrees",1,IF(DK487="Opposite",0,0.5)))+'Weighting Options'!$D$13*MIN(N(BG487),3)/3+'Weighting Options'!$D$14*IF(AE487=1,1,0))/SUM('Weighting Options'!$D$7:$D$14),0),""))</f>
        <v/>
      </c>
      <c r="DR487" s="44" t="str">
        <f>IF(AH487="","",IFERROR(INDEX('Weighting Options'!$D$20:$D$27,VALUE(LEFT(TRIM(BU487),1))),1))</f>
        <v/>
      </c>
      <c r="DS487" s="44" t="str">
        <f t="shared" si="223"/>
        <v/>
      </c>
      <c r="DT487" s="42" t="str">
        <f>IF(AH487="","",IF(COUNTIFS($AH$12:AH487,AH487,$AI$12:AI487,AI487,$AM$12:AM487,AM487)=1,1,0))</f>
        <v/>
      </c>
    </row>
    <row r="488" spans="16:124" ht="12.75" customHeight="1" x14ac:dyDescent="0.35">
      <c r="P488" s="41"/>
      <c r="Q488" s="41"/>
      <c r="R488" s="41"/>
      <c r="S488" s="41"/>
      <c r="AH488" s="40"/>
      <c r="AP488" s="40"/>
      <c r="AS488" s="41"/>
      <c r="AT488" s="41"/>
      <c r="AW488" t="str">
        <f t="shared" si="196"/>
        <v/>
      </c>
      <c r="AX488" t="str">
        <f t="shared" si="197"/>
        <v/>
      </c>
      <c r="AY488" t="str">
        <f t="shared" si="198"/>
        <v/>
      </c>
      <c r="AZ488" s="40"/>
      <c r="BL488" s="47" t="str">
        <f t="shared" si="199"/>
        <v/>
      </c>
      <c r="BM488" s="47" t="str">
        <f t="shared" si="200"/>
        <v/>
      </c>
      <c r="BN488" s="47" t="str">
        <f t="shared" si="201"/>
        <v/>
      </c>
      <c r="BO488" s="47" t="str">
        <f t="shared" si="202"/>
        <v/>
      </c>
      <c r="BP488" s="47" t="str">
        <f t="shared" si="203"/>
        <v/>
      </c>
      <c r="BQ488" s="48" t="str">
        <f t="shared" si="204"/>
        <v/>
      </c>
      <c r="BR488" s="48" t="str">
        <f t="shared" si="205"/>
        <v/>
      </c>
      <c r="BS488" s="48" t="str">
        <f t="shared" si="206"/>
        <v/>
      </c>
      <c r="BT488" s="47" t="str">
        <f t="shared" si="207"/>
        <v/>
      </c>
      <c r="CA488" s="47" t="str">
        <f t="shared" si="208"/>
        <v/>
      </c>
      <c r="CB488" s="47" t="str">
        <f t="shared" si="209"/>
        <v/>
      </c>
      <c r="CC488" s="47" t="str">
        <f t="shared" si="210"/>
        <v/>
      </c>
      <c r="CD488" s="47" t="str">
        <f t="shared" si="211"/>
        <v/>
      </c>
      <c r="CE488" s="47" t="str">
        <f>IF(AH488="","",IF(OR(AI488&lt;&gt;'Seasonal Tercile Tally'!$B$3,AM488&lt;&gt;'Seasonal Tercile Tally'!$B$4),"Other site/ season",IF(DT488=0,"Excluded: duplicate (later row)",IF(N488&lt;&gt;1,"Excluded: not sighted",IF(AC488&lt;&gt;1,"Excluded: not confirmed",IF(AD488&lt;&gt;1,"Excluded: not approved",IF(AP488="Contested","Excluded: contested",IF(OR(U488="",U488=0),"Excluded: no tercile",IF(CB488="","Counted (simple tally only — no weight)","Counted")))))))))</f>
        <v/>
      </c>
      <c r="CF488" s="49" t="str">
        <f>IF(AH488="","",IFERROR(INDEX('Prior Multipliers'!$C$6:$C$70,MATCH(LEFT(AH488,10),'Prior Multipliers'!$A$6:$A$70,0)),IFERROR(INDEX('Prior Multipliers'!$C$6:$C$70,MATCH(LEFT(AH488,6),'Prior Multipliers'!$A$6:$A$70,0)),IFERROR(INDEX('Prior Multipliers'!$C$6:$C$70,MATCH(LEFT(AH488,2),'Prior Multipliers'!$A$6:$A$70,0)),1))))</f>
        <v/>
      </c>
      <c r="CG488" s="49" t="str">
        <f>IF(CB488="","",IF(AND('Seasonal Tercile Tally'!$B$5=1,BT488="Rating-based"),CB488*CF488,CB488))</f>
        <v/>
      </c>
      <c r="CH488" s="47">
        <f t="shared" si="212"/>
        <v>0</v>
      </c>
      <c r="CI488" s="45"/>
      <c r="CJ488" s="42" t="str">
        <f t="shared" si="213"/>
        <v/>
      </c>
      <c r="CM488" s="42" t="str">
        <f t="shared" si="214"/>
        <v/>
      </c>
      <c r="CP488" s="46" t="str">
        <f t="shared" si="215"/>
        <v/>
      </c>
      <c r="CS488" s="46" t="str">
        <f t="shared" si="216"/>
        <v/>
      </c>
      <c r="CT488" s="42" t="str">
        <f t="shared" si="217"/>
        <v/>
      </c>
      <c r="CU488" s="42" t="str">
        <f t="shared" si="218"/>
        <v/>
      </c>
      <c r="CV488" s="42" t="str">
        <f t="shared" si="219"/>
        <v/>
      </c>
      <c r="DB488" s="45"/>
      <c r="DH488" s="42" t="str">
        <f t="shared" si="220"/>
        <v/>
      </c>
      <c r="DI488" s="43" t="str">
        <f t="shared" si="221"/>
        <v/>
      </c>
      <c r="DK488" s="46" t="str">
        <f t="shared" si="222"/>
        <v/>
      </c>
      <c r="DQ488" s="42" t="str">
        <f>IF(AH488="","",IFERROR(ROUND(100*('Weighting Options'!$D$7*IF(ISNUMBER(CA488),CA488/3,0)+'Weighting Options'!$D$8*MIN(N(BL488),3)/3+'Weighting Options'!$D$9*IF(AP488="Community/Plenary-endorsed",1,IF(AP488="FGD-validated only",0.75,IF(AP488="Sub-community-specific",0.5,IF(AP488="Provisional/emerging",0.25,0))))+'Weighting Options'!$D$10*IF(ISNUMBER(K488),K488/3,0)+'Weighting Options'!$D$11*IF(CC488="",0.5,IF(CC488="OK",1,0.25))+'Weighting Options'!$D$12*IF(DK488="",0.5,IF(DK488="Agrees",1,IF(DK488="Opposite",0,0.5)))+'Weighting Options'!$D$13*MIN(N(BG488),3)/3+'Weighting Options'!$D$14*IF(AE488=1,1,0))/SUM('Weighting Options'!$D$7:$D$14),0),""))</f>
        <v/>
      </c>
      <c r="DR488" s="44" t="str">
        <f>IF(AH488="","",IFERROR(INDEX('Weighting Options'!$D$20:$D$27,VALUE(LEFT(TRIM(BU488),1))),1))</f>
        <v/>
      </c>
      <c r="DS488" s="44" t="str">
        <f t="shared" si="223"/>
        <v/>
      </c>
      <c r="DT488" s="42" t="str">
        <f>IF(AH488="","",IF(COUNTIFS($AH$12:AH488,AH488,$AI$12:AI488,AI488,$AM$12:AM488,AM488)=1,1,0))</f>
        <v/>
      </c>
    </row>
    <row r="489" spans="16:124" ht="12.75" customHeight="1" x14ac:dyDescent="0.35">
      <c r="P489" s="41"/>
      <c r="Q489" s="41"/>
      <c r="R489" s="41"/>
      <c r="S489" s="41"/>
      <c r="AH489" s="40"/>
      <c r="AP489" s="40"/>
      <c r="AS489" s="41"/>
      <c r="AT489" s="41"/>
      <c r="AW489" t="str">
        <f t="shared" si="196"/>
        <v/>
      </c>
      <c r="AX489" t="str">
        <f t="shared" si="197"/>
        <v/>
      </c>
      <c r="AY489" t="str">
        <f t="shared" si="198"/>
        <v/>
      </c>
      <c r="AZ489" s="40"/>
      <c r="BL489" s="47" t="str">
        <f t="shared" si="199"/>
        <v/>
      </c>
      <c r="BM489" s="47" t="str">
        <f t="shared" si="200"/>
        <v/>
      </c>
      <c r="BN489" s="47" t="str">
        <f t="shared" si="201"/>
        <v/>
      </c>
      <c r="BO489" s="47" t="str">
        <f t="shared" si="202"/>
        <v/>
      </c>
      <c r="BP489" s="47" t="str">
        <f t="shared" si="203"/>
        <v/>
      </c>
      <c r="BQ489" s="48" t="str">
        <f t="shared" si="204"/>
        <v/>
      </c>
      <c r="BR489" s="48" t="str">
        <f t="shared" si="205"/>
        <v/>
      </c>
      <c r="BS489" s="48" t="str">
        <f t="shared" si="206"/>
        <v/>
      </c>
      <c r="BT489" s="47" t="str">
        <f t="shared" si="207"/>
        <v/>
      </c>
      <c r="CA489" s="47" t="str">
        <f t="shared" si="208"/>
        <v/>
      </c>
      <c r="CB489" s="47" t="str">
        <f t="shared" si="209"/>
        <v/>
      </c>
      <c r="CC489" s="47" t="str">
        <f t="shared" si="210"/>
        <v/>
      </c>
      <c r="CD489" s="47" t="str">
        <f t="shared" si="211"/>
        <v/>
      </c>
      <c r="CE489" s="47" t="str">
        <f>IF(AH489="","",IF(OR(AI489&lt;&gt;'Seasonal Tercile Tally'!$B$3,AM489&lt;&gt;'Seasonal Tercile Tally'!$B$4),"Other site/ season",IF(DT489=0,"Excluded: duplicate (later row)",IF(N489&lt;&gt;1,"Excluded: not sighted",IF(AC489&lt;&gt;1,"Excluded: not confirmed",IF(AD489&lt;&gt;1,"Excluded: not approved",IF(AP489="Contested","Excluded: contested",IF(OR(U489="",U489=0),"Excluded: no tercile",IF(CB489="","Counted (simple tally only — no weight)","Counted")))))))))</f>
        <v/>
      </c>
      <c r="CF489" s="49" t="str">
        <f>IF(AH489="","",IFERROR(INDEX('Prior Multipliers'!$C$6:$C$70,MATCH(LEFT(AH489,10),'Prior Multipliers'!$A$6:$A$70,0)),IFERROR(INDEX('Prior Multipliers'!$C$6:$C$70,MATCH(LEFT(AH489,6),'Prior Multipliers'!$A$6:$A$70,0)),IFERROR(INDEX('Prior Multipliers'!$C$6:$C$70,MATCH(LEFT(AH489,2),'Prior Multipliers'!$A$6:$A$70,0)),1))))</f>
        <v/>
      </c>
      <c r="CG489" s="49" t="str">
        <f>IF(CB489="","",IF(AND('Seasonal Tercile Tally'!$B$5=1,BT489="Rating-based"),CB489*CF489,CB489))</f>
        <v/>
      </c>
      <c r="CH489" s="47">
        <f t="shared" si="212"/>
        <v>0</v>
      </c>
      <c r="CI489" s="45"/>
      <c r="CJ489" s="42" t="str">
        <f t="shared" si="213"/>
        <v/>
      </c>
      <c r="CM489" s="42" t="str">
        <f t="shared" si="214"/>
        <v/>
      </c>
      <c r="CP489" s="46" t="str">
        <f t="shared" si="215"/>
        <v/>
      </c>
      <c r="CS489" s="46" t="str">
        <f t="shared" si="216"/>
        <v/>
      </c>
      <c r="CT489" s="42" t="str">
        <f t="shared" si="217"/>
        <v/>
      </c>
      <c r="CU489" s="42" t="str">
        <f t="shared" si="218"/>
        <v/>
      </c>
      <c r="CV489" s="42" t="str">
        <f t="shared" si="219"/>
        <v/>
      </c>
      <c r="DB489" s="45"/>
      <c r="DH489" s="42" t="str">
        <f t="shared" si="220"/>
        <v/>
      </c>
      <c r="DI489" s="43" t="str">
        <f t="shared" si="221"/>
        <v/>
      </c>
      <c r="DK489" s="46" t="str">
        <f t="shared" si="222"/>
        <v/>
      </c>
      <c r="DQ489" s="42" t="str">
        <f>IF(AH489="","",IFERROR(ROUND(100*('Weighting Options'!$D$7*IF(ISNUMBER(CA489),CA489/3,0)+'Weighting Options'!$D$8*MIN(N(BL489),3)/3+'Weighting Options'!$D$9*IF(AP489="Community/Plenary-endorsed",1,IF(AP489="FGD-validated only",0.75,IF(AP489="Sub-community-specific",0.5,IF(AP489="Provisional/emerging",0.25,0))))+'Weighting Options'!$D$10*IF(ISNUMBER(K489),K489/3,0)+'Weighting Options'!$D$11*IF(CC489="",0.5,IF(CC489="OK",1,0.25))+'Weighting Options'!$D$12*IF(DK489="",0.5,IF(DK489="Agrees",1,IF(DK489="Opposite",0,0.5)))+'Weighting Options'!$D$13*MIN(N(BG489),3)/3+'Weighting Options'!$D$14*IF(AE489=1,1,0))/SUM('Weighting Options'!$D$7:$D$14),0),""))</f>
        <v/>
      </c>
      <c r="DR489" s="44" t="str">
        <f>IF(AH489="","",IFERROR(INDEX('Weighting Options'!$D$20:$D$27,VALUE(LEFT(TRIM(BU489),1))),1))</f>
        <v/>
      </c>
      <c r="DS489" s="44" t="str">
        <f t="shared" si="223"/>
        <v/>
      </c>
      <c r="DT489" s="42" t="str">
        <f>IF(AH489="","",IF(COUNTIFS($AH$12:AH489,AH489,$AI$12:AI489,AI489,$AM$12:AM489,AM489)=1,1,0))</f>
        <v/>
      </c>
    </row>
    <row r="490" spans="16:124" ht="12.75" customHeight="1" x14ac:dyDescent="0.35">
      <c r="P490" s="41"/>
      <c r="Q490" s="41"/>
      <c r="R490" s="41"/>
      <c r="S490" s="41"/>
      <c r="AH490" s="40"/>
      <c r="AP490" s="40"/>
      <c r="AS490" s="41"/>
      <c r="AT490" s="41"/>
      <c r="AW490" t="str">
        <f t="shared" si="196"/>
        <v/>
      </c>
      <c r="AX490" t="str">
        <f t="shared" si="197"/>
        <v/>
      </c>
      <c r="AY490" t="str">
        <f t="shared" si="198"/>
        <v/>
      </c>
      <c r="AZ490" s="40"/>
      <c r="BL490" s="47" t="str">
        <f t="shared" si="199"/>
        <v/>
      </c>
      <c r="BM490" s="47" t="str">
        <f t="shared" si="200"/>
        <v/>
      </c>
      <c r="BN490" s="47" t="str">
        <f t="shared" si="201"/>
        <v/>
      </c>
      <c r="BO490" s="47" t="str">
        <f t="shared" si="202"/>
        <v/>
      </c>
      <c r="BP490" s="47" t="str">
        <f t="shared" si="203"/>
        <v/>
      </c>
      <c r="BQ490" s="48" t="str">
        <f t="shared" si="204"/>
        <v/>
      </c>
      <c r="BR490" s="48" t="str">
        <f t="shared" si="205"/>
        <v/>
      </c>
      <c r="BS490" s="48" t="str">
        <f t="shared" si="206"/>
        <v/>
      </c>
      <c r="BT490" s="47" t="str">
        <f t="shared" si="207"/>
        <v/>
      </c>
      <c r="CA490" s="47" t="str">
        <f t="shared" si="208"/>
        <v/>
      </c>
      <c r="CB490" s="47" t="str">
        <f t="shared" si="209"/>
        <v/>
      </c>
      <c r="CC490" s="47" t="str">
        <f t="shared" si="210"/>
        <v/>
      </c>
      <c r="CD490" s="47" t="str">
        <f t="shared" si="211"/>
        <v/>
      </c>
      <c r="CE490" s="47" t="str">
        <f>IF(AH490="","",IF(OR(AI490&lt;&gt;'Seasonal Tercile Tally'!$B$3,AM490&lt;&gt;'Seasonal Tercile Tally'!$B$4),"Other site/ season",IF(DT490=0,"Excluded: duplicate (later row)",IF(N490&lt;&gt;1,"Excluded: not sighted",IF(AC490&lt;&gt;1,"Excluded: not confirmed",IF(AD490&lt;&gt;1,"Excluded: not approved",IF(AP490="Contested","Excluded: contested",IF(OR(U490="",U490=0),"Excluded: no tercile",IF(CB490="","Counted (simple tally only — no weight)","Counted")))))))))</f>
        <v/>
      </c>
      <c r="CF490" s="49" t="str">
        <f>IF(AH490="","",IFERROR(INDEX('Prior Multipliers'!$C$6:$C$70,MATCH(LEFT(AH490,10),'Prior Multipliers'!$A$6:$A$70,0)),IFERROR(INDEX('Prior Multipliers'!$C$6:$C$70,MATCH(LEFT(AH490,6),'Prior Multipliers'!$A$6:$A$70,0)),IFERROR(INDEX('Prior Multipliers'!$C$6:$C$70,MATCH(LEFT(AH490,2),'Prior Multipliers'!$A$6:$A$70,0)),1))))</f>
        <v/>
      </c>
      <c r="CG490" s="49" t="str">
        <f>IF(CB490="","",IF(AND('Seasonal Tercile Tally'!$B$5=1,BT490="Rating-based"),CB490*CF490,CB490))</f>
        <v/>
      </c>
      <c r="CH490" s="47">
        <f t="shared" si="212"/>
        <v>0</v>
      </c>
      <c r="CI490" s="45"/>
      <c r="CJ490" s="42" t="str">
        <f t="shared" si="213"/>
        <v/>
      </c>
      <c r="CM490" s="42" t="str">
        <f t="shared" si="214"/>
        <v/>
      </c>
      <c r="CP490" s="46" t="str">
        <f t="shared" si="215"/>
        <v/>
      </c>
      <c r="CS490" s="46" t="str">
        <f t="shared" si="216"/>
        <v/>
      </c>
      <c r="CT490" s="42" t="str">
        <f t="shared" si="217"/>
        <v/>
      </c>
      <c r="CU490" s="42" t="str">
        <f t="shared" si="218"/>
        <v/>
      </c>
      <c r="CV490" s="42" t="str">
        <f t="shared" si="219"/>
        <v/>
      </c>
      <c r="DB490" s="45"/>
      <c r="DH490" s="42" t="str">
        <f t="shared" si="220"/>
        <v/>
      </c>
      <c r="DI490" s="43" t="str">
        <f t="shared" si="221"/>
        <v/>
      </c>
      <c r="DK490" s="46" t="str">
        <f t="shared" si="222"/>
        <v/>
      </c>
      <c r="DQ490" s="42" t="str">
        <f>IF(AH490="","",IFERROR(ROUND(100*('Weighting Options'!$D$7*IF(ISNUMBER(CA490),CA490/3,0)+'Weighting Options'!$D$8*MIN(N(BL490),3)/3+'Weighting Options'!$D$9*IF(AP490="Community/Plenary-endorsed",1,IF(AP490="FGD-validated only",0.75,IF(AP490="Sub-community-specific",0.5,IF(AP490="Provisional/emerging",0.25,0))))+'Weighting Options'!$D$10*IF(ISNUMBER(K490),K490/3,0)+'Weighting Options'!$D$11*IF(CC490="",0.5,IF(CC490="OK",1,0.25))+'Weighting Options'!$D$12*IF(DK490="",0.5,IF(DK490="Agrees",1,IF(DK490="Opposite",0,0.5)))+'Weighting Options'!$D$13*MIN(N(BG490),3)/3+'Weighting Options'!$D$14*IF(AE490=1,1,0))/SUM('Weighting Options'!$D$7:$D$14),0),""))</f>
        <v/>
      </c>
      <c r="DR490" s="44" t="str">
        <f>IF(AH490="","",IFERROR(INDEX('Weighting Options'!$D$20:$D$27,VALUE(LEFT(TRIM(BU490),1))),1))</f>
        <v/>
      </c>
      <c r="DS490" s="44" t="str">
        <f t="shared" si="223"/>
        <v/>
      </c>
      <c r="DT490" s="42" t="str">
        <f>IF(AH490="","",IF(COUNTIFS($AH$12:AH490,AH490,$AI$12:AI490,AI490,$AM$12:AM490,AM490)=1,1,0))</f>
        <v/>
      </c>
    </row>
    <row r="491" spans="16:124" ht="12.75" customHeight="1" x14ac:dyDescent="0.35">
      <c r="P491" s="41"/>
      <c r="Q491" s="41"/>
      <c r="R491" s="41"/>
      <c r="S491" s="41"/>
      <c r="AH491" s="40"/>
      <c r="AP491" s="40"/>
      <c r="AS491" s="41"/>
      <c r="AT491" s="41"/>
      <c r="AW491" t="str">
        <f t="shared" si="196"/>
        <v/>
      </c>
      <c r="AX491" t="str">
        <f t="shared" si="197"/>
        <v/>
      </c>
      <c r="AY491" t="str">
        <f t="shared" si="198"/>
        <v/>
      </c>
      <c r="AZ491" s="40"/>
      <c r="BL491" s="47" t="str">
        <f t="shared" si="199"/>
        <v/>
      </c>
      <c r="BM491" s="47" t="str">
        <f t="shared" si="200"/>
        <v/>
      </c>
      <c r="BN491" s="47" t="str">
        <f t="shared" si="201"/>
        <v/>
      </c>
      <c r="BO491" s="47" t="str">
        <f t="shared" si="202"/>
        <v/>
      </c>
      <c r="BP491" s="47" t="str">
        <f t="shared" si="203"/>
        <v/>
      </c>
      <c r="BQ491" s="48" t="str">
        <f t="shared" si="204"/>
        <v/>
      </c>
      <c r="BR491" s="48" t="str">
        <f t="shared" si="205"/>
        <v/>
      </c>
      <c r="BS491" s="48" t="str">
        <f t="shared" si="206"/>
        <v/>
      </c>
      <c r="BT491" s="47" t="str">
        <f t="shared" si="207"/>
        <v/>
      </c>
      <c r="CA491" s="47" t="str">
        <f t="shared" si="208"/>
        <v/>
      </c>
      <c r="CB491" s="47" t="str">
        <f t="shared" si="209"/>
        <v/>
      </c>
      <c r="CC491" s="47" t="str">
        <f t="shared" si="210"/>
        <v/>
      </c>
      <c r="CD491" s="47" t="str">
        <f t="shared" si="211"/>
        <v/>
      </c>
      <c r="CE491" s="47" t="str">
        <f>IF(AH491="","",IF(OR(AI491&lt;&gt;'Seasonal Tercile Tally'!$B$3,AM491&lt;&gt;'Seasonal Tercile Tally'!$B$4),"Other site/ season",IF(DT491=0,"Excluded: duplicate (later row)",IF(N491&lt;&gt;1,"Excluded: not sighted",IF(AC491&lt;&gt;1,"Excluded: not confirmed",IF(AD491&lt;&gt;1,"Excluded: not approved",IF(AP491="Contested","Excluded: contested",IF(OR(U491="",U491=0),"Excluded: no tercile",IF(CB491="","Counted (simple tally only — no weight)","Counted")))))))))</f>
        <v/>
      </c>
      <c r="CF491" s="49" t="str">
        <f>IF(AH491="","",IFERROR(INDEX('Prior Multipliers'!$C$6:$C$70,MATCH(LEFT(AH491,10),'Prior Multipliers'!$A$6:$A$70,0)),IFERROR(INDEX('Prior Multipliers'!$C$6:$C$70,MATCH(LEFT(AH491,6),'Prior Multipliers'!$A$6:$A$70,0)),IFERROR(INDEX('Prior Multipliers'!$C$6:$C$70,MATCH(LEFT(AH491,2),'Prior Multipliers'!$A$6:$A$70,0)),1))))</f>
        <v/>
      </c>
      <c r="CG491" s="49" t="str">
        <f>IF(CB491="","",IF(AND('Seasonal Tercile Tally'!$B$5=1,BT491="Rating-based"),CB491*CF491,CB491))</f>
        <v/>
      </c>
      <c r="CH491" s="47">
        <f t="shared" si="212"/>
        <v>0</v>
      </c>
      <c r="CI491" s="45"/>
      <c r="CJ491" s="42" t="str">
        <f t="shared" si="213"/>
        <v/>
      </c>
      <c r="CM491" s="42" t="str">
        <f t="shared" si="214"/>
        <v/>
      </c>
      <c r="CP491" s="46" t="str">
        <f t="shared" si="215"/>
        <v/>
      </c>
      <c r="CS491" s="46" t="str">
        <f t="shared" si="216"/>
        <v/>
      </c>
      <c r="CT491" s="42" t="str">
        <f t="shared" si="217"/>
        <v/>
      </c>
      <c r="CU491" s="42" t="str">
        <f t="shared" si="218"/>
        <v/>
      </c>
      <c r="CV491" s="42" t="str">
        <f t="shared" si="219"/>
        <v/>
      </c>
      <c r="DB491" s="45"/>
      <c r="DH491" s="42" t="str">
        <f t="shared" si="220"/>
        <v/>
      </c>
      <c r="DI491" s="43" t="str">
        <f t="shared" si="221"/>
        <v/>
      </c>
      <c r="DK491" s="46" t="str">
        <f t="shared" si="222"/>
        <v/>
      </c>
      <c r="DQ491" s="42" t="str">
        <f>IF(AH491="","",IFERROR(ROUND(100*('Weighting Options'!$D$7*IF(ISNUMBER(CA491),CA491/3,0)+'Weighting Options'!$D$8*MIN(N(BL491),3)/3+'Weighting Options'!$D$9*IF(AP491="Community/Plenary-endorsed",1,IF(AP491="FGD-validated only",0.75,IF(AP491="Sub-community-specific",0.5,IF(AP491="Provisional/emerging",0.25,0))))+'Weighting Options'!$D$10*IF(ISNUMBER(K491),K491/3,0)+'Weighting Options'!$D$11*IF(CC491="",0.5,IF(CC491="OK",1,0.25))+'Weighting Options'!$D$12*IF(DK491="",0.5,IF(DK491="Agrees",1,IF(DK491="Opposite",0,0.5)))+'Weighting Options'!$D$13*MIN(N(BG491),3)/3+'Weighting Options'!$D$14*IF(AE491=1,1,0))/SUM('Weighting Options'!$D$7:$D$14),0),""))</f>
        <v/>
      </c>
      <c r="DR491" s="44" t="str">
        <f>IF(AH491="","",IFERROR(INDEX('Weighting Options'!$D$20:$D$27,VALUE(LEFT(TRIM(BU491),1))),1))</f>
        <v/>
      </c>
      <c r="DS491" s="44" t="str">
        <f t="shared" si="223"/>
        <v/>
      </c>
      <c r="DT491" s="42" t="str">
        <f>IF(AH491="","",IF(COUNTIFS($AH$12:AH491,AH491,$AI$12:AI491,AI491,$AM$12:AM491,AM491)=1,1,0))</f>
        <v/>
      </c>
    </row>
    <row r="492" spans="16:124" ht="12.75" customHeight="1" x14ac:dyDescent="0.35">
      <c r="P492" s="41"/>
      <c r="Q492" s="41"/>
      <c r="R492" s="41"/>
      <c r="S492" s="41"/>
      <c r="AH492" s="40"/>
      <c r="AP492" s="40"/>
      <c r="AS492" s="41"/>
      <c r="AT492" s="41"/>
      <c r="AW492" t="str">
        <f t="shared" si="196"/>
        <v/>
      </c>
      <c r="AX492" t="str">
        <f t="shared" si="197"/>
        <v/>
      </c>
      <c r="AY492" t="str">
        <f t="shared" si="198"/>
        <v/>
      </c>
      <c r="AZ492" s="40"/>
      <c r="BL492" s="47" t="str">
        <f t="shared" si="199"/>
        <v/>
      </c>
      <c r="BM492" s="47" t="str">
        <f t="shared" si="200"/>
        <v/>
      </c>
      <c r="BN492" s="47" t="str">
        <f t="shared" si="201"/>
        <v/>
      </c>
      <c r="BO492" s="47" t="str">
        <f t="shared" si="202"/>
        <v/>
      </c>
      <c r="BP492" s="47" t="str">
        <f t="shared" si="203"/>
        <v/>
      </c>
      <c r="BQ492" s="48" t="str">
        <f t="shared" si="204"/>
        <v/>
      </c>
      <c r="BR492" s="48" t="str">
        <f t="shared" si="205"/>
        <v/>
      </c>
      <c r="BS492" s="48" t="str">
        <f t="shared" si="206"/>
        <v/>
      </c>
      <c r="BT492" s="47" t="str">
        <f t="shared" si="207"/>
        <v/>
      </c>
      <c r="CA492" s="47" t="str">
        <f t="shared" si="208"/>
        <v/>
      </c>
      <c r="CB492" s="47" t="str">
        <f t="shared" si="209"/>
        <v/>
      </c>
      <c r="CC492" s="47" t="str">
        <f t="shared" si="210"/>
        <v/>
      </c>
      <c r="CD492" s="47" t="str">
        <f t="shared" si="211"/>
        <v/>
      </c>
      <c r="CE492" s="47" t="str">
        <f>IF(AH492="","",IF(OR(AI492&lt;&gt;'Seasonal Tercile Tally'!$B$3,AM492&lt;&gt;'Seasonal Tercile Tally'!$B$4),"Other site/ season",IF(DT492=0,"Excluded: duplicate (later row)",IF(N492&lt;&gt;1,"Excluded: not sighted",IF(AC492&lt;&gt;1,"Excluded: not confirmed",IF(AD492&lt;&gt;1,"Excluded: not approved",IF(AP492="Contested","Excluded: contested",IF(OR(U492="",U492=0),"Excluded: no tercile",IF(CB492="","Counted (simple tally only — no weight)","Counted")))))))))</f>
        <v/>
      </c>
      <c r="CF492" s="49" t="str">
        <f>IF(AH492="","",IFERROR(INDEX('Prior Multipliers'!$C$6:$C$70,MATCH(LEFT(AH492,10),'Prior Multipliers'!$A$6:$A$70,0)),IFERROR(INDEX('Prior Multipliers'!$C$6:$C$70,MATCH(LEFT(AH492,6),'Prior Multipliers'!$A$6:$A$70,0)),IFERROR(INDEX('Prior Multipliers'!$C$6:$C$70,MATCH(LEFT(AH492,2),'Prior Multipliers'!$A$6:$A$70,0)),1))))</f>
        <v/>
      </c>
      <c r="CG492" s="49" t="str">
        <f>IF(CB492="","",IF(AND('Seasonal Tercile Tally'!$B$5=1,BT492="Rating-based"),CB492*CF492,CB492))</f>
        <v/>
      </c>
      <c r="CH492" s="47">
        <f t="shared" si="212"/>
        <v>0</v>
      </c>
      <c r="CI492" s="45"/>
      <c r="CJ492" s="42" t="str">
        <f t="shared" si="213"/>
        <v/>
      </c>
      <c r="CM492" s="42" t="str">
        <f t="shared" si="214"/>
        <v/>
      </c>
      <c r="CP492" s="46" t="str">
        <f t="shared" si="215"/>
        <v/>
      </c>
      <c r="CS492" s="46" t="str">
        <f t="shared" si="216"/>
        <v/>
      </c>
      <c r="CT492" s="42" t="str">
        <f t="shared" si="217"/>
        <v/>
      </c>
      <c r="CU492" s="42" t="str">
        <f t="shared" si="218"/>
        <v/>
      </c>
      <c r="CV492" s="42" t="str">
        <f t="shared" si="219"/>
        <v/>
      </c>
      <c r="DB492" s="45"/>
      <c r="DH492" s="42" t="str">
        <f t="shared" si="220"/>
        <v/>
      </c>
      <c r="DI492" s="43" t="str">
        <f t="shared" si="221"/>
        <v/>
      </c>
      <c r="DK492" s="46" t="str">
        <f t="shared" si="222"/>
        <v/>
      </c>
      <c r="DQ492" s="42" t="str">
        <f>IF(AH492="","",IFERROR(ROUND(100*('Weighting Options'!$D$7*IF(ISNUMBER(CA492),CA492/3,0)+'Weighting Options'!$D$8*MIN(N(BL492),3)/3+'Weighting Options'!$D$9*IF(AP492="Community/Plenary-endorsed",1,IF(AP492="FGD-validated only",0.75,IF(AP492="Sub-community-specific",0.5,IF(AP492="Provisional/emerging",0.25,0))))+'Weighting Options'!$D$10*IF(ISNUMBER(K492),K492/3,0)+'Weighting Options'!$D$11*IF(CC492="",0.5,IF(CC492="OK",1,0.25))+'Weighting Options'!$D$12*IF(DK492="",0.5,IF(DK492="Agrees",1,IF(DK492="Opposite",0,0.5)))+'Weighting Options'!$D$13*MIN(N(BG492),3)/3+'Weighting Options'!$D$14*IF(AE492=1,1,0))/SUM('Weighting Options'!$D$7:$D$14),0),""))</f>
        <v/>
      </c>
      <c r="DR492" s="44" t="str">
        <f>IF(AH492="","",IFERROR(INDEX('Weighting Options'!$D$20:$D$27,VALUE(LEFT(TRIM(BU492),1))),1))</f>
        <v/>
      </c>
      <c r="DS492" s="44" t="str">
        <f t="shared" si="223"/>
        <v/>
      </c>
      <c r="DT492" s="42" t="str">
        <f>IF(AH492="","",IF(COUNTIFS($AH$12:AH492,AH492,$AI$12:AI492,AI492,$AM$12:AM492,AM492)=1,1,0))</f>
        <v/>
      </c>
    </row>
    <row r="493" spans="16:124" ht="12.75" customHeight="1" x14ac:dyDescent="0.35">
      <c r="P493" s="41"/>
      <c r="Q493" s="41"/>
      <c r="R493" s="41"/>
      <c r="S493" s="41"/>
      <c r="AH493" s="40"/>
      <c r="AP493" s="40"/>
      <c r="AS493" s="41"/>
      <c r="AT493" s="41"/>
      <c r="AW493" t="str">
        <f t="shared" si="196"/>
        <v/>
      </c>
      <c r="AX493" t="str">
        <f t="shared" si="197"/>
        <v/>
      </c>
      <c r="AY493" t="str">
        <f t="shared" si="198"/>
        <v/>
      </c>
      <c r="AZ493" s="40"/>
      <c r="BL493" s="47" t="str">
        <f t="shared" si="199"/>
        <v/>
      </c>
      <c r="BM493" s="47" t="str">
        <f t="shared" si="200"/>
        <v/>
      </c>
      <c r="BN493" s="47" t="str">
        <f t="shared" si="201"/>
        <v/>
      </c>
      <c r="BO493" s="47" t="str">
        <f t="shared" si="202"/>
        <v/>
      </c>
      <c r="BP493" s="47" t="str">
        <f t="shared" si="203"/>
        <v/>
      </c>
      <c r="BQ493" s="48" t="str">
        <f t="shared" si="204"/>
        <v/>
      </c>
      <c r="BR493" s="48" t="str">
        <f t="shared" si="205"/>
        <v/>
      </c>
      <c r="BS493" s="48" t="str">
        <f t="shared" si="206"/>
        <v/>
      </c>
      <c r="BT493" s="47" t="str">
        <f t="shared" si="207"/>
        <v/>
      </c>
      <c r="CA493" s="47" t="str">
        <f t="shared" si="208"/>
        <v/>
      </c>
      <c r="CB493" s="47" t="str">
        <f t="shared" si="209"/>
        <v/>
      </c>
      <c r="CC493" s="47" t="str">
        <f t="shared" si="210"/>
        <v/>
      </c>
      <c r="CD493" s="47" t="str">
        <f t="shared" si="211"/>
        <v/>
      </c>
      <c r="CE493" s="47" t="str">
        <f>IF(AH493="","",IF(OR(AI493&lt;&gt;'Seasonal Tercile Tally'!$B$3,AM493&lt;&gt;'Seasonal Tercile Tally'!$B$4),"Other site/ season",IF(DT493=0,"Excluded: duplicate (later row)",IF(N493&lt;&gt;1,"Excluded: not sighted",IF(AC493&lt;&gt;1,"Excluded: not confirmed",IF(AD493&lt;&gt;1,"Excluded: not approved",IF(AP493="Contested","Excluded: contested",IF(OR(U493="",U493=0),"Excluded: no tercile",IF(CB493="","Counted (simple tally only — no weight)","Counted")))))))))</f>
        <v/>
      </c>
      <c r="CF493" s="49" t="str">
        <f>IF(AH493="","",IFERROR(INDEX('Prior Multipliers'!$C$6:$C$70,MATCH(LEFT(AH493,10),'Prior Multipliers'!$A$6:$A$70,0)),IFERROR(INDEX('Prior Multipliers'!$C$6:$C$70,MATCH(LEFT(AH493,6),'Prior Multipliers'!$A$6:$A$70,0)),IFERROR(INDEX('Prior Multipliers'!$C$6:$C$70,MATCH(LEFT(AH493,2),'Prior Multipliers'!$A$6:$A$70,0)),1))))</f>
        <v/>
      </c>
      <c r="CG493" s="49" t="str">
        <f>IF(CB493="","",IF(AND('Seasonal Tercile Tally'!$B$5=1,BT493="Rating-based"),CB493*CF493,CB493))</f>
        <v/>
      </c>
      <c r="CH493" s="47">
        <f t="shared" si="212"/>
        <v>0</v>
      </c>
      <c r="CI493" s="45"/>
      <c r="CJ493" s="42" t="str">
        <f t="shared" si="213"/>
        <v/>
      </c>
      <c r="CM493" s="42" t="str">
        <f t="shared" si="214"/>
        <v/>
      </c>
      <c r="CP493" s="46" t="str">
        <f t="shared" si="215"/>
        <v/>
      </c>
      <c r="CS493" s="46" t="str">
        <f t="shared" si="216"/>
        <v/>
      </c>
      <c r="CT493" s="42" t="str">
        <f t="shared" si="217"/>
        <v/>
      </c>
      <c r="CU493" s="42" t="str">
        <f t="shared" si="218"/>
        <v/>
      </c>
      <c r="CV493" s="42" t="str">
        <f t="shared" si="219"/>
        <v/>
      </c>
      <c r="DB493" s="45"/>
      <c r="DH493" s="42" t="str">
        <f t="shared" si="220"/>
        <v/>
      </c>
      <c r="DI493" s="43" t="str">
        <f t="shared" si="221"/>
        <v/>
      </c>
      <c r="DK493" s="46" t="str">
        <f t="shared" si="222"/>
        <v/>
      </c>
      <c r="DQ493" s="42" t="str">
        <f>IF(AH493="","",IFERROR(ROUND(100*('Weighting Options'!$D$7*IF(ISNUMBER(CA493),CA493/3,0)+'Weighting Options'!$D$8*MIN(N(BL493),3)/3+'Weighting Options'!$D$9*IF(AP493="Community/Plenary-endorsed",1,IF(AP493="FGD-validated only",0.75,IF(AP493="Sub-community-specific",0.5,IF(AP493="Provisional/emerging",0.25,0))))+'Weighting Options'!$D$10*IF(ISNUMBER(K493),K493/3,0)+'Weighting Options'!$D$11*IF(CC493="",0.5,IF(CC493="OK",1,0.25))+'Weighting Options'!$D$12*IF(DK493="",0.5,IF(DK493="Agrees",1,IF(DK493="Opposite",0,0.5)))+'Weighting Options'!$D$13*MIN(N(BG493),3)/3+'Weighting Options'!$D$14*IF(AE493=1,1,0))/SUM('Weighting Options'!$D$7:$D$14),0),""))</f>
        <v/>
      </c>
      <c r="DR493" s="44" t="str">
        <f>IF(AH493="","",IFERROR(INDEX('Weighting Options'!$D$20:$D$27,VALUE(LEFT(TRIM(BU493),1))),1))</f>
        <v/>
      </c>
      <c r="DS493" s="44" t="str">
        <f t="shared" si="223"/>
        <v/>
      </c>
      <c r="DT493" s="42" t="str">
        <f>IF(AH493="","",IF(COUNTIFS($AH$12:AH493,AH493,$AI$12:AI493,AI493,$AM$12:AM493,AM493)=1,1,0))</f>
        <v/>
      </c>
    </row>
    <row r="494" spans="16:124" ht="12.75" customHeight="1" x14ac:dyDescent="0.35">
      <c r="P494" s="41"/>
      <c r="Q494" s="41"/>
      <c r="R494" s="41"/>
      <c r="S494" s="41"/>
      <c r="AH494" s="40"/>
      <c r="AP494" s="40"/>
      <c r="AS494" s="41"/>
      <c r="AT494" s="41"/>
      <c r="AW494" t="str">
        <f t="shared" si="196"/>
        <v/>
      </c>
      <c r="AX494" t="str">
        <f t="shared" si="197"/>
        <v/>
      </c>
      <c r="AY494" t="str">
        <f t="shared" si="198"/>
        <v/>
      </c>
      <c r="AZ494" s="40"/>
      <c r="BL494" s="47" t="str">
        <f t="shared" si="199"/>
        <v/>
      </c>
      <c r="BM494" s="47" t="str">
        <f t="shared" si="200"/>
        <v/>
      </c>
      <c r="BN494" s="47" t="str">
        <f t="shared" si="201"/>
        <v/>
      </c>
      <c r="BO494" s="47" t="str">
        <f t="shared" si="202"/>
        <v/>
      </c>
      <c r="BP494" s="47" t="str">
        <f t="shared" si="203"/>
        <v/>
      </c>
      <c r="BQ494" s="48" t="str">
        <f t="shared" si="204"/>
        <v/>
      </c>
      <c r="BR494" s="48" t="str">
        <f t="shared" si="205"/>
        <v/>
      </c>
      <c r="BS494" s="48" t="str">
        <f t="shared" si="206"/>
        <v/>
      </c>
      <c r="BT494" s="47" t="str">
        <f t="shared" si="207"/>
        <v/>
      </c>
      <c r="CA494" s="47" t="str">
        <f t="shared" si="208"/>
        <v/>
      </c>
      <c r="CB494" s="47" t="str">
        <f t="shared" si="209"/>
        <v/>
      </c>
      <c r="CC494" s="47" t="str">
        <f t="shared" si="210"/>
        <v/>
      </c>
      <c r="CD494" s="47" t="str">
        <f t="shared" si="211"/>
        <v/>
      </c>
      <c r="CE494" s="47" t="str">
        <f>IF(AH494="","",IF(OR(AI494&lt;&gt;'Seasonal Tercile Tally'!$B$3,AM494&lt;&gt;'Seasonal Tercile Tally'!$B$4),"Other site/ season",IF(DT494=0,"Excluded: duplicate (later row)",IF(N494&lt;&gt;1,"Excluded: not sighted",IF(AC494&lt;&gt;1,"Excluded: not confirmed",IF(AD494&lt;&gt;1,"Excluded: not approved",IF(AP494="Contested","Excluded: contested",IF(OR(U494="",U494=0),"Excluded: no tercile",IF(CB494="","Counted (simple tally only — no weight)","Counted")))))))))</f>
        <v/>
      </c>
      <c r="CF494" s="49" t="str">
        <f>IF(AH494="","",IFERROR(INDEX('Prior Multipliers'!$C$6:$C$70,MATCH(LEFT(AH494,10),'Prior Multipliers'!$A$6:$A$70,0)),IFERROR(INDEX('Prior Multipliers'!$C$6:$C$70,MATCH(LEFT(AH494,6),'Prior Multipliers'!$A$6:$A$70,0)),IFERROR(INDEX('Prior Multipliers'!$C$6:$C$70,MATCH(LEFT(AH494,2),'Prior Multipliers'!$A$6:$A$70,0)),1))))</f>
        <v/>
      </c>
      <c r="CG494" s="49" t="str">
        <f>IF(CB494="","",IF(AND('Seasonal Tercile Tally'!$B$5=1,BT494="Rating-based"),CB494*CF494,CB494))</f>
        <v/>
      </c>
      <c r="CH494" s="47">
        <f t="shared" si="212"/>
        <v>0</v>
      </c>
      <c r="CI494" s="45"/>
      <c r="CJ494" s="42" t="str">
        <f t="shared" si="213"/>
        <v/>
      </c>
      <c r="CM494" s="42" t="str">
        <f t="shared" si="214"/>
        <v/>
      </c>
      <c r="CP494" s="46" t="str">
        <f t="shared" si="215"/>
        <v/>
      </c>
      <c r="CS494" s="46" t="str">
        <f t="shared" si="216"/>
        <v/>
      </c>
      <c r="CT494" s="42" t="str">
        <f t="shared" si="217"/>
        <v/>
      </c>
      <c r="CU494" s="42" t="str">
        <f t="shared" si="218"/>
        <v/>
      </c>
      <c r="CV494" s="42" t="str">
        <f t="shared" si="219"/>
        <v/>
      </c>
      <c r="DB494" s="45"/>
      <c r="DH494" s="42" t="str">
        <f t="shared" si="220"/>
        <v/>
      </c>
      <c r="DI494" s="43" t="str">
        <f t="shared" si="221"/>
        <v/>
      </c>
      <c r="DK494" s="46" t="str">
        <f t="shared" si="222"/>
        <v/>
      </c>
      <c r="DQ494" s="42" t="str">
        <f>IF(AH494="","",IFERROR(ROUND(100*('Weighting Options'!$D$7*IF(ISNUMBER(CA494),CA494/3,0)+'Weighting Options'!$D$8*MIN(N(BL494),3)/3+'Weighting Options'!$D$9*IF(AP494="Community/Plenary-endorsed",1,IF(AP494="FGD-validated only",0.75,IF(AP494="Sub-community-specific",0.5,IF(AP494="Provisional/emerging",0.25,0))))+'Weighting Options'!$D$10*IF(ISNUMBER(K494),K494/3,0)+'Weighting Options'!$D$11*IF(CC494="",0.5,IF(CC494="OK",1,0.25))+'Weighting Options'!$D$12*IF(DK494="",0.5,IF(DK494="Agrees",1,IF(DK494="Opposite",0,0.5)))+'Weighting Options'!$D$13*MIN(N(BG494),3)/3+'Weighting Options'!$D$14*IF(AE494=1,1,0))/SUM('Weighting Options'!$D$7:$D$14),0),""))</f>
        <v/>
      </c>
      <c r="DR494" s="44" t="str">
        <f>IF(AH494="","",IFERROR(INDEX('Weighting Options'!$D$20:$D$27,VALUE(LEFT(TRIM(BU494),1))),1))</f>
        <v/>
      </c>
      <c r="DS494" s="44" t="str">
        <f t="shared" si="223"/>
        <v/>
      </c>
      <c r="DT494" s="42" t="str">
        <f>IF(AH494="","",IF(COUNTIFS($AH$12:AH494,AH494,$AI$12:AI494,AI494,$AM$12:AM494,AM494)=1,1,0))</f>
        <v/>
      </c>
    </row>
    <row r="495" spans="16:124" ht="12.75" customHeight="1" x14ac:dyDescent="0.35">
      <c r="P495" s="41"/>
      <c r="Q495" s="41"/>
      <c r="R495" s="41"/>
      <c r="S495" s="41"/>
      <c r="AH495" s="40"/>
      <c r="AP495" s="40"/>
      <c r="AS495" s="41"/>
      <c r="AT495" s="41"/>
      <c r="AW495" t="str">
        <f t="shared" si="196"/>
        <v/>
      </c>
      <c r="AX495" t="str">
        <f t="shared" si="197"/>
        <v/>
      </c>
      <c r="AY495" t="str">
        <f t="shared" si="198"/>
        <v/>
      </c>
      <c r="AZ495" s="40"/>
      <c r="BL495" s="47" t="str">
        <f t="shared" si="199"/>
        <v/>
      </c>
      <c r="BM495" s="47" t="str">
        <f t="shared" si="200"/>
        <v/>
      </c>
      <c r="BN495" s="47" t="str">
        <f t="shared" si="201"/>
        <v/>
      </c>
      <c r="BO495" s="47" t="str">
        <f t="shared" si="202"/>
        <v/>
      </c>
      <c r="BP495" s="47" t="str">
        <f t="shared" si="203"/>
        <v/>
      </c>
      <c r="BQ495" s="48" t="str">
        <f t="shared" si="204"/>
        <v/>
      </c>
      <c r="BR495" s="48" t="str">
        <f t="shared" si="205"/>
        <v/>
      </c>
      <c r="BS495" s="48" t="str">
        <f t="shared" si="206"/>
        <v/>
      </c>
      <c r="BT495" s="47" t="str">
        <f t="shared" si="207"/>
        <v/>
      </c>
      <c r="CA495" s="47" t="str">
        <f t="shared" si="208"/>
        <v/>
      </c>
      <c r="CB495" s="47" t="str">
        <f t="shared" si="209"/>
        <v/>
      </c>
      <c r="CC495" s="47" t="str">
        <f t="shared" si="210"/>
        <v/>
      </c>
      <c r="CD495" s="47" t="str">
        <f t="shared" si="211"/>
        <v/>
      </c>
      <c r="CE495" s="47" t="str">
        <f>IF(AH495="","",IF(OR(AI495&lt;&gt;'Seasonal Tercile Tally'!$B$3,AM495&lt;&gt;'Seasonal Tercile Tally'!$B$4),"Other site/ season",IF(DT495=0,"Excluded: duplicate (later row)",IF(N495&lt;&gt;1,"Excluded: not sighted",IF(AC495&lt;&gt;1,"Excluded: not confirmed",IF(AD495&lt;&gt;1,"Excluded: not approved",IF(AP495="Contested","Excluded: contested",IF(OR(U495="",U495=0),"Excluded: no tercile",IF(CB495="","Counted (simple tally only — no weight)","Counted")))))))))</f>
        <v/>
      </c>
      <c r="CF495" s="49" t="str">
        <f>IF(AH495="","",IFERROR(INDEX('Prior Multipliers'!$C$6:$C$70,MATCH(LEFT(AH495,10),'Prior Multipliers'!$A$6:$A$70,0)),IFERROR(INDEX('Prior Multipliers'!$C$6:$C$70,MATCH(LEFT(AH495,6),'Prior Multipliers'!$A$6:$A$70,0)),IFERROR(INDEX('Prior Multipliers'!$C$6:$C$70,MATCH(LEFT(AH495,2),'Prior Multipliers'!$A$6:$A$70,0)),1))))</f>
        <v/>
      </c>
      <c r="CG495" s="49" t="str">
        <f>IF(CB495="","",IF(AND('Seasonal Tercile Tally'!$B$5=1,BT495="Rating-based"),CB495*CF495,CB495))</f>
        <v/>
      </c>
      <c r="CH495" s="47">
        <f t="shared" si="212"/>
        <v>0</v>
      </c>
      <c r="CI495" s="45"/>
      <c r="CJ495" s="42" t="str">
        <f t="shared" si="213"/>
        <v/>
      </c>
      <c r="CM495" s="42" t="str">
        <f t="shared" si="214"/>
        <v/>
      </c>
      <c r="CP495" s="46" t="str">
        <f t="shared" si="215"/>
        <v/>
      </c>
      <c r="CS495" s="46" t="str">
        <f t="shared" si="216"/>
        <v/>
      </c>
      <c r="CT495" s="42" t="str">
        <f t="shared" si="217"/>
        <v/>
      </c>
      <c r="CU495" s="42" t="str">
        <f t="shared" si="218"/>
        <v/>
      </c>
      <c r="CV495" s="42" t="str">
        <f t="shared" si="219"/>
        <v/>
      </c>
      <c r="DB495" s="45"/>
      <c r="DH495" s="42" t="str">
        <f t="shared" si="220"/>
        <v/>
      </c>
      <c r="DI495" s="43" t="str">
        <f t="shared" si="221"/>
        <v/>
      </c>
      <c r="DK495" s="46" t="str">
        <f t="shared" si="222"/>
        <v/>
      </c>
      <c r="DQ495" s="42" t="str">
        <f>IF(AH495="","",IFERROR(ROUND(100*('Weighting Options'!$D$7*IF(ISNUMBER(CA495),CA495/3,0)+'Weighting Options'!$D$8*MIN(N(BL495),3)/3+'Weighting Options'!$D$9*IF(AP495="Community/Plenary-endorsed",1,IF(AP495="FGD-validated only",0.75,IF(AP495="Sub-community-specific",0.5,IF(AP495="Provisional/emerging",0.25,0))))+'Weighting Options'!$D$10*IF(ISNUMBER(K495),K495/3,0)+'Weighting Options'!$D$11*IF(CC495="",0.5,IF(CC495="OK",1,0.25))+'Weighting Options'!$D$12*IF(DK495="",0.5,IF(DK495="Agrees",1,IF(DK495="Opposite",0,0.5)))+'Weighting Options'!$D$13*MIN(N(BG495),3)/3+'Weighting Options'!$D$14*IF(AE495=1,1,0))/SUM('Weighting Options'!$D$7:$D$14),0),""))</f>
        <v/>
      </c>
      <c r="DR495" s="44" t="str">
        <f>IF(AH495="","",IFERROR(INDEX('Weighting Options'!$D$20:$D$27,VALUE(LEFT(TRIM(BU495),1))),1))</f>
        <v/>
      </c>
      <c r="DS495" s="44" t="str">
        <f t="shared" si="223"/>
        <v/>
      </c>
      <c r="DT495" s="42" t="str">
        <f>IF(AH495="","",IF(COUNTIFS($AH$12:AH495,AH495,$AI$12:AI495,AI495,$AM$12:AM495,AM495)=1,1,0))</f>
        <v/>
      </c>
    </row>
    <row r="496" spans="16:124" ht="12.75" customHeight="1" x14ac:dyDescent="0.35">
      <c r="P496" s="41"/>
      <c r="Q496" s="41"/>
      <c r="R496" s="41"/>
      <c r="S496" s="41"/>
      <c r="AH496" s="40"/>
      <c r="AP496" s="40"/>
      <c r="AS496" s="41"/>
      <c r="AT496" s="41"/>
      <c r="AW496" t="str">
        <f t="shared" si="196"/>
        <v/>
      </c>
      <c r="AX496" t="str">
        <f t="shared" si="197"/>
        <v/>
      </c>
      <c r="AY496" t="str">
        <f t="shared" si="198"/>
        <v/>
      </c>
      <c r="AZ496" s="40"/>
      <c r="BL496" s="47" t="str">
        <f t="shared" si="199"/>
        <v/>
      </c>
      <c r="BM496" s="47" t="str">
        <f t="shared" si="200"/>
        <v/>
      </c>
      <c r="BN496" s="47" t="str">
        <f t="shared" si="201"/>
        <v/>
      </c>
      <c r="BO496" s="47" t="str">
        <f t="shared" si="202"/>
        <v/>
      </c>
      <c r="BP496" s="47" t="str">
        <f t="shared" si="203"/>
        <v/>
      </c>
      <c r="BQ496" s="48" t="str">
        <f t="shared" si="204"/>
        <v/>
      </c>
      <c r="BR496" s="48" t="str">
        <f t="shared" si="205"/>
        <v/>
      </c>
      <c r="BS496" s="48" t="str">
        <f t="shared" si="206"/>
        <v/>
      </c>
      <c r="BT496" s="47" t="str">
        <f t="shared" si="207"/>
        <v/>
      </c>
      <c r="CA496" s="47" t="str">
        <f t="shared" si="208"/>
        <v/>
      </c>
      <c r="CB496" s="47" t="str">
        <f t="shared" si="209"/>
        <v/>
      </c>
      <c r="CC496" s="47" t="str">
        <f t="shared" si="210"/>
        <v/>
      </c>
      <c r="CD496" s="47" t="str">
        <f t="shared" si="211"/>
        <v/>
      </c>
      <c r="CE496" s="47" t="str">
        <f>IF(AH496="","",IF(OR(AI496&lt;&gt;'Seasonal Tercile Tally'!$B$3,AM496&lt;&gt;'Seasonal Tercile Tally'!$B$4),"Other site/ season",IF(DT496=0,"Excluded: duplicate (later row)",IF(N496&lt;&gt;1,"Excluded: not sighted",IF(AC496&lt;&gt;1,"Excluded: not confirmed",IF(AD496&lt;&gt;1,"Excluded: not approved",IF(AP496="Contested","Excluded: contested",IF(OR(U496="",U496=0),"Excluded: no tercile",IF(CB496="","Counted (simple tally only — no weight)","Counted")))))))))</f>
        <v/>
      </c>
      <c r="CF496" s="49" t="str">
        <f>IF(AH496="","",IFERROR(INDEX('Prior Multipliers'!$C$6:$C$70,MATCH(LEFT(AH496,10),'Prior Multipliers'!$A$6:$A$70,0)),IFERROR(INDEX('Prior Multipliers'!$C$6:$C$70,MATCH(LEFT(AH496,6),'Prior Multipliers'!$A$6:$A$70,0)),IFERROR(INDEX('Prior Multipliers'!$C$6:$C$70,MATCH(LEFT(AH496,2),'Prior Multipliers'!$A$6:$A$70,0)),1))))</f>
        <v/>
      </c>
      <c r="CG496" s="49" t="str">
        <f>IF(CB496="","",IF(AND('Seasonal Tercile Tally'!$B$5=1,BT496="Rating-based"),CB496*CF496,CB496))</f>
        <v/>
      </c>
      <c r="CH496" s="47">
        <f t="shared" si="212"/>
        <v>0</v>
      </c>
      <c r="CI496" s="45"/>
      <c r="CJ496" s="42" t="str">
        <f t="shared" si="213"/>
        <v/>
      </c>
      <c r="CM496" s="42" t="str">
        <f t="shared" si="214"/>
        <v/>
      </c>
      <c r="CP496" s="46" t="str">
        <f t="shared" si="215"/>
        <v/>
      </c>
      <c r="CS496" s="46" t="str">
        <f t="shared" si="216"/>
        <v/>
      </c>
      <c r="CT496" s="42" t="str">
        <f t="shared" si="217"/>
        <v/>
      </c>
      <c r="CU496" s="42" t="str">
        <f t="shared" si="218"/>
        <v/>
      </c>
      <c r="CV496" s="42" t="str">
        <f t="shared" si="219"/>
        <v/>
      </c>
      <c r="DB496" s="45"/>
      <c r="DH496" s="42" t="str">
        <f t="shared" si="220"/>
        <v/>
      </c>
      <c r="DI496" s="43" t="str">
        <f t="shared" si="221"/>
        <v/>
      </c>
      <c r="DK496" s="46" t="str">
        <f t="shared" si="222"/>
        <v/>
      </c>
      <c r="DQ496" s="42" t="str">
        <f>IF(AH496="","",IFERROR(ROUND(100*('Weighting Options'!$D$7*IF(ISNUMBER(CA496),CA496/3,0)+'Weighting Options'!$D$8*MIN(N(BL496),3)/3+'Weighting Options'!$D$9*IF(AP496="Community/Plenary-endorsed",1,IF(AP496="FGD-validated only",0.75,IF(AP496="Sub-community-specific",0.5,IF(AP496="Provisional/emerging",0.25,0))))+'Weighting Options'!$D$10*IF(ISNUMBER(K496),K496/3,0)+'Weighting Options'!$D$11*IF(CC496="",0.5,IF(CC496="OK",1,0.25))+'Weighting Options'!$D$12*IF(DK496="",0.5,IF(DK496="Agrees",1,IF(DK496="Opposite",0,0.5)))+'Weighting Options'!$D$13*MIN(N(BG496),3)/3+'Weighting Options'!$D$14*IF(AE496=1,1,0))/SUM('Weighting Options'!$D$7:$D$14),0),""))</f>
        <v/>
      </c>
      <c r="DR496" s="44" t="str">
        <f>IF(AH496="","",IFERROR(INDEX('Weighting Options'!$D$20:$D$27,VALUE(LEFT(TRIM(BU496),1))),1))</f>
        <v/>
      </c>
      <c r="DS496" s="44" t="str">
        <f t="shared" si="223"/>
        <v/>
      </c>
      <c r="DT496" s="42" t="str">
        <f>IF(AH496="","",IF(COUNTIFS($AH$12:AH496,AH496,$AI$12:AI496,AI496,$AM$12:AM496,AM496)=1,1,0))</f>
        <v/>
      </c>
    </row>
    <row r="497" spans="16:124" ht="12.75" customHeight="1" x14ac:dyDescent="0.35">
      <c r="P497" s="41"/>
      <c r="Q497" s="41"/>
      <c r="R497" s="41"/>
      <c r="S497" s="41"/>
      <c r="AH497" s="40"/>
      <c r="AP497" s="40"/>
      <c r="AS497" s="41"/>
      <c r="AT497" s="41"/>
      <c r="AW497" t="str">
        <f t="shared" si="196"/>
        <v/>
      </c>
      <c r="AX497" t="str">
        <f t="shared" si="197"/>
        <v/>
      </c>
      <c r="AY497" t="str">
        <f t="shared" si="198"/>
        <v/>
      </c>
      <c r="AZ497" s="40"/>
      <c r="BL497" s="47" t="str">
        <f t="shared" si="199"/>
        <v/>
      </c>
      <c r="BM497" s="47" t="str">
        <f t="shared" si="200"/>
        <v/>
      </c>
      <c r="BN497" s="47" t="str">
        <f t="shared" si="201"/>
        <v/>
      </c>
      <c r="BO497" s="47" t="str">
        <f t="shared" si="202"/>
        <v/>
      </c>
      <c r="BP497" s="47" t="str">
        <f t="shared" si="203"/>
        <v/>
      </c>
      <c r="BQ497" s="48" t="str">
        <f t="shared" si="204"/>
        <v/>
      </c>
      <c r="BR497" s="48" t="str">
        <f t="shared" si="205"/>
        <v/>
      </c>
      <c r="BS497" s="48" t="str">
        <f t="shared" si="206"/>
        <v/>
      </c>
      <c r="BT497" s="47" t="str">
        <f t="shared" si="207"/>
        <v/>
      </c>
      <c r="CA497" s="47" t="str">
        <f t="shared" si="208"/>
        <v/>
      </c>
      <c r="CB497" s="47" t="str">
        <f t="shared" si="209"/>
        <v/>
      </c>
      <c r="CC497" s="47" t="str">
        <f t="shared" si="210"/>
        <v/>
      </c>
      <c r="CD497" s="47" t="str">
        <f t="shared" si="211"/>
        <v/>
      </c>
      <c r="CE497" s="47" t="str">
        <f>IF(AH497="","",IF(OR(AI497&lt;&gt;'Seasonal Tercile Tally'!$B$3,AM497&lt;&gt;'Seasonal Tercile Tally'!$B$4),"Other site/ season",IF(DT497=0,"Excluded: duplicate (later row)",IF(N497&lt;&gt;1,"Excluded: not sighted",IF(AC497&lt;&gt;1,"Excluded: not confirmed",IF(AD497&lt;&gt;1,"Excluded: not approved",IF(AP497="Contested","Excluded: contested",IF(OR(U497="",U497=0),"Excluded: no tercile",IF(CB497="","Counted (simple tally only — no weight)","Counted")))))))))</f>
        <v/>
      </c>
      <c r="CF497" s="49" t="str">
        <f>IF(AH497="","",IFERROR(INDEX('Prior Multipliers'!$C$6:$C$70,MATCH(LEFT(AH497,10),'Prior Multipliers'!$A$6:$A$70,0)),IFERROR(INDEX('Prior Multipliers'!$C$6:$C$70,MATCH(LEFT(AH497,6),'Prior Multipliers'!$A$6:$A$70,0)),IFERROR(INDEX('Prior Multipliers'!$C$6:$C$70,MATCH(LEFT(AH497,2),'Prior Multipliers'!$A$6:$A$70,0)),1))))</f>
        <v/>
      </c>
      <c r="CG497" s="49" t="str">
        <f>IF(CB497="","",IF(AND('Seasonal Tercile Tally'!$B$5=1,BT497="Rating-based"),CB497*CF497,CB497))</f>
        <v/>
      </c>
      <c r="CH497" s="47">
        <f t="shared" si="212"/>
        <v>0</v>
      </c>
      <c r="CI497" s="45"/>
      <c r="CJ497" s="42" t="str">
        <f t="shared" si="213"/>
        <v/>
      </c>
      <c r="CM497" s="42" t="str">
        <f t="shared" si="214"/>
        <v/>
      </c>
      <c r="CP497" s="46" t="str">
        <f t="shared" si="215"/>
        <v/>
      </c>
      <c r="CS497" s="46" t="str">
        <f t="shared" si="216"/>
        <v/>
      </c>
      <c r="CT497" s="42" t="str">
        <f t="shared" si="217"/>
        <v/>
      </c>
      <c r="CU497" s="42" t="str">
        <f t="shared" si="218"/>
        <v/>
      </c>
      <c r="CV497" s="42" t="str">
        <f t="shared" si="219"/>
        <v/>
      </c>
      <c r="DB497" s="45"/>
      <c r="DH497" s="42" t="str">
        <f t="shared" si="220"/>
        <v/>
      </c>
      <c r="DI497" s="43" t="str">
        <f t="shared" si="221"/>
        <v/>
      </c>
      <c r="DK497" s="46" t="str">
        <f t="shared" si="222"/>
        <v/>
      </c>
      <c r="DQ497" s="42" t="str">
        <f>IF(AH497="","",IFERROR(ROUND(100*('Weighting Options'!$D$7*IF(ISNUMBER(CA497),CA497/3,0)+'Weighting Options'!$D$8*MIN(N(BL497),3)/3+'Weighting Options'!$D$9*IF(AP497="Community/Plenary-endorsed",1,IF(AP497="FGD-validated only",0.75,IF(AP497="Sub-community-specific",0.5,IF(AP497="Provisional/emerging",0.25,0))))+'Weighting Options'!$D$10*IF(ISNUMBER(K497),K497/3,0)+'Weighting Options'!$D$11*IF(CC497="",0.5,IF(CC497="OK",1,0.25))+'Weighting Options'!$D$12*IF(DK497="",0.5,IF(DK497="Agrees",1,IF(DK497="Opposite",0,0.5)))+'Weighting Options'!$D$13*MIN(N(BG497),3)/3+'Weighting Options'!$D$14*IF(AE497=1,1,0))/SUM('Weighting Options'!$D$7:$D$14),0),""))</f>
        <v/>
      </c>
      <c r="DR497" s="44" t="str">
        <f>IF(AH497="","",IFERROR(INDEX('Weighting Options'!$D$20:$D$27,VALUE(LEFT(TRIM(BU497),1))),1))</f>
        <v/>
      </c>
      <c r="DS497" s="44" t="str">
        <f t="shared" si="223"/>
        <v/>
      </c>
      <c r="DT497" s="42" t="str">
        <f>IF(AH497="","",IF(COUNTIFS($AH$12:AH497,AH497,$AI$12:AI497,AI497,$AM$12:AM497,AM497)=1,1,0))</f>
        <v/>
      </c>
    </row>
    <row r="498" spans="16:124" ht="12.75" customHeight="1" x14ac:dyDescent="0.35">
      <c r="P498" s="41"/>
      <c r="Q498" s="41"/>
      <c r="R498" s="41"/>
      <c r="S498" s="41"/>
      <c r="AH498" s="40"/>
      <c r="AP498" s="40"/>
      <c r="AS498" s="41"/>
      <c r="AT498" s="41"/>
      <c r="AW498" t="str">
        <f t="shared" si="196"/>
        <v/>
      </c>
      <c r="AX498" t="str">
        <f t="shared" si="197"/>
        <v/>
      </c>
      <c r="AY498" t="str">
        <f t="shared" si="198"/>
        <v/>
      </c>
      <c r="AZ498" s="40"/>
      <c r="BL498" s="47" t="str">
        <f t="shared" si="199"/>
        <v/>
      </c>
      <c r="BM498" s="47" t="str">
        <f t="shared" si="200"/>
        <v/>
      </c>
      <c r="BN498" s="47" t="str">
        <f t="shared" si="201"/>
        <v/>
      </c>
      <c r="BO498" s="47" t="str">
        <f t="shared" si="202"/>
        <v/>
      </c>
      <c r="BP498" s="47" t="str">
        <f t="shared" si="203"/>
        <v/>
      </c>
      <c r="BQ498" s="48" t="str">
        <f t="shared" si="204"/>
        <v/>
      </c>
      <c r="BR498" s="48" t="str">
        <f t="shared" si="205"/>
        <v/>
      </c>
      <c r="BS498" s="48" t="str">
        <f t="shared" si="206"/>
        <v/>
      </c>
      <c r="BT498" s="47" t="str">
        <f t="shared" si="207"/>
        <v/>
      </c>
      <c r="CA498" s="47" t="str">
        <f t="shared" si="208"/>
        <v/>
      </c>
      <c r="CB498" s="47" t="str">
        <f t="shared" si="209"/>
        <v/>
      </c>
      <c r="CC498" s="47" t="str">
        <f t="shared" si="210"/>
        <v/>
      </c>
      <c r="CD498" s="47" t="str">
        <f t="shared" si="211"/>
        <v/>
      </c>
      <c r="CE498" s="47" t="str">
        <f>IF(AH498="","",IF(OR(AI498&lt;&gt;'Seasonal Tercile Tally'!$B$3,AM498&lt;&gt;'Seasonal Tercile Tally'!$B$4),"Other site/ season",IF(DT498=0,"Excluded: duplicate (later row)",IF(N498&lt;&gt;1,"Excluded: not sighted",IF(AC498&lt;&gt;1,"Excluded: not confirmed",IF(AD498&lt;&gt;1,"Excluded: not approved",IF(AP498="Contested","Excluded: contested",IF(OR(U498="",U498=0),"Excluded: no tercile",IF(CB498="","Counted (simple tally only — no weight)","Counted")))))))))</f>
        <v/>
      </c>
      <c r="CF498" s="49" t="str">
        <f>IF(AH498="","",IFERROR(INDEX('Prior Multipliers'!$C$6:$C$70,MATCH(LEFT(AH498,10),'Prior Multipliers'!$A$6:$A$70,0)),IFERROR(INDEX('Prior Multipliers'!$C$6:$C$70,MATCH(LEFT(AH498,6),'Prior Multipliers'!$A$6:$A$70,0)),IFERROR(INDEX('Prior Multipliers'!$C$6:$C$70,MATCH(LEFT(AH498,2),'Prior Multipliers'!$A$6:$A$70,0)),1))))</f>
        <v/>
      </c>
      <c r="CG498" s="49" t="str">
        <f>IF(CB498="","",IF(AND('Seasonal Tercile Tally'!$B$5=1,BT498="Rating-based"),CB498*CF498,CB498))</f>
        <v/>
      </c>
      <c r="CH498" s="47">
        <f t="shared" si="212"/>
        <v>0</v>
      </c>
      <c r="CI498" s="45"/>
      <c r="CJ498" s="42" t="str">
        <f t="shared" si="213"/>
        <v/>
      </c>
      <c r="CM498" s="42" t="str">
        <f t="shared" si="214"/>
        <v/>
      </c>
      <c r="CP498" s="46" t="str">
        <f t="shared" si="215"/>
        <v/>
      </c>
      <c r="CS498" s="46" t="str">
        <f t="shared" si="216"/>
        <v/>
      </c>
      <c r="CT498" s="42" t="str">
        <f t="shared" si="217"/>
        <v/>
      </c>
      <c r="CU498" s="42" t="str">
        <f t="shared" si="218"/>
        <v/>
      </c>
      <c r="CV498" s="42" t="str">
        <f t="shared" si="219"/>
        <v/>
      </c>
      <c r="DB498" s="45"/>
      <c r="DH498" s="42" t="str">
        <f t="shared" si="220"/>
        <v/>
      </c>
      <c r="DI498" s="43" t="str">
        <f t="shared" si="221"/>
        <v/>
      </c>
      <c r="DK498" s="46" t="str">
        <f t="shared" si="222"/>
        <v/>
      </c>
      <c r="DQ498" s="42" t="str">
        <f>IF(AH498="","",IFERROR(ROUND(100*('Weighting Options'!$D$7*IF(ISNUMBER(CA498),CA498/3,0)+'Weighting Options'!$D$8*MIN(N(BL498),3)/3+'Weighting Options'!$D$9*IF(AP498="Community/Plenary-endorsed",1,IF(AP498="FGD-validated only",0.75,IF(AP498="Sub-community-specific",0.5,IF(AP498="Provisional/emerging",0.25,0))))+'Weighting Options'!$D$10*IF(ISNUMBER(K498),K498/3,0)+'Weighting Options'!$D$11*IF(CC498="",0.5,IF(CC498="OK",1,0.25))+'Weighting Options'!$D$12*IF(DK498="",0.5,IF(DK498="Agrees",1,IF(DK498="Opposite",0,0.5)))+'Weighting Options'!$D$13*MIN(N(BG498),3)/3+'Weighting Options'!$D$14*IF(AE498=1,1,0))/SUM('Weighting Options'!$D$7:$D$14),0),""))</f>
        <v/>
      </c>
      <c r="DR498" s="44" t="str">
        <f>IF(AH498="","",IFERROR(INDEX('Weighting Options'!$D$20:$D$27,VALUE(LEFT(TRIM(BU498),1))),1))</f>
        <v/>
      </c>
      <c r="DS498" s="44" t="str">
        <f t="shared" si="223"/>
        <v/>
      </c>
      <c r="DT498" s="42" t="str">
        <f>IF(AH498="","",IF(COUNTIFS($AH$12:AH498,AH498,$AI$12:AI498,AI498,$AM$12:AM498,AM498)=1,1,0))</f>
        <v/>
      </c>
    </row>
    <row r="499" spans="16:124" ht="12.75" customHeight="1" x14ac:dyDescent="0.35">
      <c r="P499" s="41"/>
      <c r="Q499" s="41"/>
      <c r="R499" s="41"/>
      <c r="S499" s="41"/>
      <c r="AH499" s="40"/>
      <c r="AP499" s="40"/>
      <c r="AS499" s="41"/>
      <c r="AT499" s="41"/>
      <c r="AW499" t="str">
        <f t="shared" si="196"/>
        <v/>
      </c>
      <c r="AX499" t="str">
        <f t="shared" si="197"/>
        <v/>
      </c>
      <c r="AY499" t="str">
        <f t="shared" si="198"/>
        <v/>
      </c>
      <c r="AZ499" s="40"/>
      <c r="BL499" s="47" t="str">
        <f t="shared" si="199"/>
        <v/>
      </c>
      <c r="BM499" s="47" t="str">
        <f t="shared" si="200"/>
        <v/>
      </c>
      <c r="BN499" s="47" t="str">
        <f t="shared" si="201"/>
        <v/>
      </c>
      <c r="BO499" s="47" t="str">
        <f t="shared" si="202"/>
        <v/>
      </c>
      <c r="BP499" s="47" t="str">
        <f t="shared" si="203"/>
        <v/>
      </c>
      <c r="BQ499" s="48" t="str">
        <f t="shared" si="204"/>
        <v/>
      </c>
      <c r="BR499" s="48" t="str">
        <f t="shared" si="205"/>
        <v/>
      </c>
      <c r="BS499" s="48" t="str">
        <f t="shared" si="206"/>
        <v/>
      </c>
      <c r="BT499" s="47" t="str">
        <f t="shared" si="207"/>
        <v/>
      </c>
      <c r="CA499" s="47" t="str">
        <f t="shared" si="208"/>
        <v/>
      </c>
      <c r="CB499" s="47" t="str">
        <f t="shared" si="209"/>
        <v/>
      </c>
      <c r="CC499" s="47" t="str">
        <f t="shared" si="210"/>
        <v/>
      </c>
      <c r="CD499" s="47" t="str">
        <f t="shared" si="211"/>
        <v/>
      </c>
      <c r="CE499" s="47" t="str">
        <f>IF(AH499="","",IF(OR(AI499&lt;&gt;'Seasonal Tercile Tally'!$B$3,AM499&lt;&gt;'Seasonal Tercile Tally'!$B$4),"Other site/ season",IF(DT499=0,"Excluded: duplicate (later row)",IF(N499&lt;&gt;1,"Excluded: not sighted",IF(AC499&lt;&gt;1,"Excluded: not confirmed",IF(AD499&lt;&gt;1,"Excluded: not approved",IF(AP499="Contested","Excluded: contested",IF(OR(U499="",U499=0),"Excluded: no tercile",IF(CB499="","Counted (simple tally only — no weight)","Counted")))))))))</f>
        <v/>
      </c>
      <c r="CF499" s="49" t="str">
        <f>IF(AH499="","",IFERROR(INDEX('Prior Multipliers'!$C$6:$C$70,MATCH(LEFT(AH499,10),'Prior Multipliers'!$A$6:$A$70,0)),IFERROR(INDEX('Prior Multipliers'!$C$6:$C$70,MATCH(LEFT(AH499,6),'Prior Multipliers'!$A$6:$A$70,0)),IFERROR(INDEX('Prior Multipliers'!$C$6:$C$70,MATCH(LEFT(AH499,2),'Prior Multipliers'!$A$6:$A$70,0)),1))))</f>
        <v/>
      </c>
      <c r="CG499" s="49" t="str">
        <f>IF(CB499="","",IF(AND('Seasonal Tercile Tally'!$B$5=1,BT499="Rating-based"),CB499*CF499,CB499))</f>
        <v/>
      </c>
      <c r="CH499" s="47">
        <f t="shared" si="212"/>
        <v>0</v>
      </c>
      <c r="CI499" s="45"/>
      <c r="CJ499" s="42" t="str">
        <f t="shared" si="213"/>
        <v/>
      </c>
      <c r="CM499" s="42" t="str">
        <f t="shared" si="214"/>
        <v/>
      </c>
      <c r="CP499" s="46" t="str">
        <f t="shared" si="215"/>
        <v/>
      </c>
      <c r="CS499" s="46" t="str">
        <f t="shared" si="216"/>
        <v/>
      </c>
      <c r="CT499" s="42" t="str">
        <f t="shared" si="217"/>
        <v/>
      </c>
      <c r="CU499" s="42" t="str">
        <f t="shared" si="218"/>
        <v/>
      </c>
      <c r="CV499" s="42" t="str">
        <f t="shared" si="219"/>
        <v/>
      </c>
      <c r="DB499" s="45"/>
      <c r="DH499" s="42" t="str">
        <f t="shared" si="220"/>
        <v/>
      </c>
      <c r="DI499" s="43" t="str">
        <f t="shared" si="221"/>
        <v/>
      </c>
      <c r="DK499" s="46" t="str">
        <f t="shared" si="222"/>
        <v/>
      </c>
      <c r="DQ499" s="42" t="str">
        <f>IF(AH499="","",IFERROR(ROUND(100*('Weighting Options'!$D$7*IF(ISNUMBER(CA499),CA499/3,0)+'Weighting Options'!$D$8*MIN(N(BL499),3)/3+'Weighting Options'!$D$9*IF(AP499="Community/Plenary-endorsed",1,IF(AP499="FGD-validated only",0.75,IF(AP499="Sub-community-specific",0.5,IF(AP499="Provisional/emerging",0.25,0))))+'Weighting Options'!$D$10*IF(ISNUMBER(K499),K499/3,0)+'Weighting Options'!$D$11*IF(CC499="",0.5,IF(CC499="OK",1,0.25))+'Weighting Options'!$D$12*IF(DK499="",0.5,IF(DK499="Agrees",1,IF(DK499="Opposite",0,0.5)))+'Weighting Options'!$D$13*MIN(N(BG499),3)/3+'Weighting Options'!$D$14*IF(AE499=1,1,0))/SUM('Weighting Options'!$D$7:$D$14),0),""))</f>
        <v/>
      </c>
      <c r="DR499" s="44" t="str">
        <f>IF(AH499="","",IFERROR(INDEX('Weighting Options'!$D$20:$D$27,VALUE(LEFT(TRIM(BU499),1))),1))</f>
        <v/>
      </c>
      <c r="DS499" s="44" t="str">
        <f t="shared" si="223"/>
        <v/>
      </c>
      <c r="DT499" s="42" t="str">
        <f>IF(AH499="","",IF(COUNTIFS($AH$12:AH499,AH499,$AI$12:AI499,AI499,$AM$12:AM499,AM499)=1,1,0))</f>
        <v/>
      </c>
    </row>
    <row r="500" spans="16:124" ht="12.75" customHeight="1" x14ac:dyDescent="0.35">
      <c r="P500" s="41"/>
      <c r="Q500" s="41"/>
      <c r="R500" s="41"/>
      <c r="S500" s="41"/>
      <c r="AH500" s="40"/>
      <c r="AP500" s="40"/>
      <c r="AS500" s="41"/>
      <c r="AT500" s="41"/>
      <c r="AW500" t="str">
        <f t="shared" si="196"/>
        <v/>
      </c>
      <c r="AX500" t="str">
        <f t="shared" si="197"/>
        <v/>
      </c>
      <c r="AY500" t="str">
        <f t="shared" si="198"/>
        <v/>
      </c>
      <c r="AZ500" s="40"/>
      <c r="BL500" s="47" t="str">
        <f t="shared" si="199"/>
        <v/>
      </c>
      <c r="BM500" s="47" t="str">
        <f t="shared" si="200"/>
        <v/>
      </c>
      <c r="BN500" s="47" t="str">
        <f t="shared" si="201"/>
        <v/>
      </c>
      <c r="BO500" s="47" t="str">
        <f t="shared" si="202"/>
        <v/>
      </c>
      <c r="BP500" s="47" t="str">
        <f t="shared" si="203"/>
        <v/>
      </c>
      <c r="BQ500" s="48" t="str">
        <f t="shared" si="204"/>
        <v/>
      </c>
      <c r="BR500" s="48" t="str">
        <f t="shared" si="205"/>
        <v/>
      </c>
      <c r="BS500" s="48" t="str">
        <f t="shared" si="206"/>
        <v/>
      </c>
      <c r="BT500" s="47" t="str">
        <f t="shared" si="207"/>
        <v/>
      </c>
      <c r="CA500" s="47" t="str">
        <f t="shared" si="208"/>
        <v/>
      </c>
      <c r="CB500" s="47" t="str">
        <f t="shared" si="209"/>
        <v/>
      </c>
      <c r="CC500" s="47" t="str">
        <f t="shared" si="210"/>
        <v/>
      </c>
      <c r="CD500" s="47" t="str">
        <f t="shared" si="211"/>
        <v/>
      </c>
      <c r="CE500" s="47" t="str">
        <f>IF(AH500="","",IF(OR(AI500&lt;&gt;'Seasonal Tercile Tally'!$B$3,AM500&lt;&gt;'Seasonal Tercile Tally'!$B$4),"Other site/ season",IF(DT500=0,"Excluded: duplicate (later row)",IF(N500&lt;&gt;1,"Excluded: not sighted",IF(AC500&lt;&gt;1,"Excluded: not confirmed",IF(AD500&lt;&gt;1,"Excluded: not approved",IF(AP500="Contested","Excluded: contested",IF(OR(U500="",U500=0),"Excluded: no tercile",IF(CB500="","Counted (simple tally only — no weight)","Counted")))))))))</f>
        <v/>
      </c>
      <c r="CF500" s="49" t="str">
        <f>IF(AH500="","",IFERROR(INDEX('Prior Multipliers'!$C$6:$C$70,MATCH(LEFT(AH500,10),'Prior Multipliers'!$A$6:$A$70,0)),IFERROR(INDEX('Prior Multipliers'!$C$6:$C$70,MATCH(LEFT(AH500,6),'Prior Multipliers'!$A$6:$A$70,0)),IFERROR(INDEX('Prior Multipliers'!$C$6:$C$70,MATCH(LEFT(AH500,2),'Prior Multipliers'!$A$6:$A$70,0)),1))))</f>
        <v/>
      </c>
      <c r="CG500" s="49" t="str">
        <f>IF(CB500="","",IF(AND('Seasonal Tercile Tally'!$B$5=1,BT500="Rating-based"),CB500*CF500,CB500))</f>
        <v/>
      </c>
      <c r="CH500" s="47">
        <f t="shared" si="212"/>
        <v>0</v>
      </c>
      <c r="CI500" s="45"/>
      <c r="CJ500" s="42" t="str">
        <f t="shared" si="213"/>
        <v/>
      </c>
      <c r="CM500" s="42" t="str">
        <f t="shared" si="214"/>
        <v/>
      </c>
      <c r="CP500" s="46" t="str">
        <f t="shared" si="215"/>
        <v/>
      </c>
      <c r="CS500" s="46" t="str">
        <f t="shared" si="216"/>
        <v/>
      </c>
      <c r="CT500" s="42" t="str">
        <f t="shared" si="217"/>
        <v/>
      </c>
      <c r="CU500" s="42" t="str">
        <f t="shared" si="218"/>
        <v/>
      </c>
      <c r="CV500" s="42" t="str">
        <f t="shared" si="219"/>
        <v/>
      </c>
      <c r="DB500" s="45"/>
      <c r="DH500" s="42" t="str">
        <f t="shared" si="220"/>
        <v/>
      </c>
      <c r="DI500" s="43" t="str">
        <f t="shared" si="221"/>
        <v/>
      </c>
      <c r="DK500" s="46" t="str">
        <f t="shared" si="222"/>
        <v/>
      </c>
      <c r="DQ500" s="42" t="str">
        <f>IF(AH500="","",IFERROR(ROUND(100*('Weighting Options'!$D$7*IF(ISNUMBER(CA500),CA500/3,0)+'Weighting Options'!$D$8*MIN(N(BL500),3)/3+'Weighting Options'!$D$9*IF(AP500="Community/Plenary-endorsed",1,IF(AP500="FGD-validated only",0.75,IF(AP500="Sub-community-specific",0.5,IF(AP500="Provisional/emerging",0.25,0))))+'Weighting Options'!$D$10*IF(ISNUMBER(K500),K500/3,0)+'Weighting Options'!$D$11*IF(CC500="",0.5,IF(CC500="OK",1,0.25))+'Weighting Options'!$D$12*IF(DK500="",0.5,IF(DK500="Agrees",1,IF(DK500="Opposite",0,0.5)))+'Weighting Options'!$D$13*MIN(N(BG500),3)/3+'Weighting Options'!$D$14*IF(AE500=1,1,0))/SUM('Weighting Options'!$D$7:$D$14),0),""))</f>
        <v/>
      </c>
      <c r="DR500" s="44" t="str">
        <f>IF(AH500="","",IFERROR(INDEX('Weighting Options'!$D$20:$D$27,VALUE(LEFT(TRIM(BU500),1))),1))</f>
        <v/>
      </c>
      <c r="DS500" s="44" t="str">
        <f t="shared" si="223"/>
        <v/>
      </c>
      <c r="DT500" s="42" t="str">
        <f>IF(AH500="","",IF(COUNTIFS($AH$12:AH500,AH500,$AI$12:AI500,AI500,$AM$12:AM500,AM500)=1,1,0))</f>
        <v/>
      </c>
    </row>
  </sheetData>
  <mergeCells count="35">
    <mergeCell ref="CU3:CZ3"/>
    <mergeCell ref="DA3:DI3"/>
    <mergeCell ref="DJ3:DP3"/>
    <mergeCell ref="DQ3:DT3"/>
    <mergeCell ref="BU3:BZ3"/>
    <mergeCell ref="CA3:CC3"/>
    <mergeCell ref="CD3:CH3"/>
    <mergeCell ref="CI3:CP3"/>
    <mergeCell ref="CQ3:CT3"/>
    <mergeCell ref="AS3:BA3"/>
    <mergeCell ref="BB3:BE3"/>
    <mergeCell ref="BF3:BF4"/>
    <mergeCell ref="BG3:BK3"/>
    <mergeCell ref="BL3:BT3"/>
    <mergeCell ref="P3:X3"/>
    <mergeCell ref="Y3:Y4"/>
    <mergeCell ref="AB3:AF3"/>
    <mergeCell ref="AH3:AO3"/>
    <mergeCell ref="AP3:AR3"/>
    <mergeCell ref="A1:DT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s>
  <conditionalFormatting sqref="L12:L500">
    <cfRule type="cellIs" dxfId="50" priority="2" operator="equal">
      <formula>3</formula>
    </cfRule>
    <cfRule type="cellIs" dxfId="49" priority="3" operator="equal">
      <formula>2</formula>
    </cfRule>
    <cfRule type="cellIs" dxfId="48" priority="4" operator="equal">
      <formula>1</formula>
    </cfRule>
    <cfRule type="cellIs" dxfId="47" priority="5" operator="equal">
      <formula>0</formula>
    </cfRule>
  </conditionalFormatting>
  <conditionalFormatting sqref="M12:M500">
    <cfRule type="cellIs" dxfId="46" priority="6" operator="equal">
      <formula>3</formula>
    </cfRule>
    <cfRule type="cellIs" dxfId="45" priority="7" operator="equal">
      <formula>2</formula>
    </cfRule>
    <cfRule type="cellIs" dxfId="44" priority="8" operator="equal">
      <formula>1</formula>
    </cfRule>
    <cfRule type="cellIs" dxfId="43" priority="9" operator="equal">
      <formula>0</formula>
    </cfRule>
  </conditionalFormatting>
  <conditionalFormatting sqref="V12:V500">
    <cfRule type="cellIs" dxfId="42" priority="10" operator="equal">
      <formula>3</formula>
    </cfRule>
    <cfRule type="cellIs" dxfId="41" priority="11" operator="equal">
      <formula>2</formula>
    </cfRule>
    <cfRule type="cellIs" dxfId="40" priority="12" operator="equal">
      <formula>1</formula>
    </cfRule>
    <cfRule type="cellIs" dxfId="39" priority="13" operator="equal">
      <formula>0</formula>
    </cfRule>
  </conditionalFormatting>
  <conditionalFormatting sqref="CA12:CA500">
    <cfRule type="cellIs" dxfId="38" priority="14" operator="equal">
      <formula>3</formula>
    </cfRule>
    <cfRule type="cellIs" dxfId="37" priority="15" operator="equal">
      <formula>2</formula>
    </cfRule>
    <cfRule type="cellIs" dxfId="36" priority="16" operator="equal">
      <formula>1</formula>
    </cfRule>
    <cfRule type="cellIs" dxfId="35" priority="17" operator="equal">
      <formula>0</formula>
    </cfRule>
  </conditionalFormatting>
  <conditionalFormatting sqref="T12:T500">
    <cfRule type="cellIs" dxfId="34" priority="18" operator="equal">
      <formula>3</formula>
    </cfRule>
    <cfRule type="cellIs" dxfId="33" priority="19" operator="equal">
      <formula>2</formula>
    </cfRule>
    <cfRule type="cellIs" dxfId="32" priority="20" operator="equal">
      <formula>1</formula>
    </cfRule>
    <cfRule type="cellIs" dxfId="31" priority="21" operator="equal">
      <formula>0</formula>
    </cfRule>
  </conditionalFormatting>
  <conditionalFormatting sqref="AU12:AU500">
    <cfRule type="cellIs" dxfId="30" priority="22" operator="equal">
      <formula>3</formula>
    </cfRule>
    <cfRule type="cellIs" dxfId="29" priority="23" operator="equal">
      <formula>2</formula>
    </cfRule>
    <cfRule type="cellIs" dxfId="28" priority="24" operator="equal">
      <formula>1</formula>
    </cfRule>
    <cfRule type="cellIs" dxfId="27" priority="25" operator="equal">
      <formula>0</formula>
    </cfRule>
  </conditionalFormatting>
  <conditionalFormatting sqref="CQ12:CQ500">
    <cfRule type="cellIs" dxfId="26" priority="26" operator="equal">
      <formula>3</formula>
    </cfRule>
    <cfRule type="cellIs" dxfId="25" priority="27" operator="equal">
      <formula>2</formula>
    </cfRule>
    <cfRule type="cellIs" dxfId="24" priority="28" operator="equal">
      <formula>1</formula>
    </cfRule>
    <cfRule type="cellIs" dxfId="23" priority="29" operator="equal">
      <formula>0</formula>
    </cfRule>
  </conditionalFormatting>
  <conditionalFormatting sqref="CS12:CS500">
    <cfRule type="cellIs" dxfId="22" priority="30" operator="equal">
      <formula>3</formula>
    </cfRule>
    <cfRule type="cellIs" dxfId="21" priority="31" operator="equal">
      <formula>2</formula>
    </cfRule>
    <cfRule type="cellIs" dxfId="20" priority="32" operator="equal">
      <formula>1</formula>
    </cfRule>
    <cfRule type="cellIs" dxfId="19" priority="33" operator="equal">
      <formula>0</formula>
    </cfRule>
  </conditionalFormatting>
  <conditionalFormatting sqref="CZ12:CZ500">
    <cfRule type="cellIs" dxfId="18" priority="34" operator="equal">
      <formula>3</formula>
    </cfRule>
    <cfRule type="cellIs" dxfId="17" priority="35" operator="equal">
      <formula>2</formula>
    </cfRule>
    <cfRule type="cellIs" dxfId="16" priority="36" operator="equal">
      <formula>1</formula>
    </cfRule>
    <cfRule type="cellIs" dxfId="15" priority="37" operator="equal">
      <formula>0</formula>
    </cfRule>
  </conditionalFormatting>
  <conditionalFormatting sqref="CP12:CP500">
    <cfRule type="expression" dxfId="14" priority="38">
      <formula>LEFT(CP12,6)="STRONG"</formula>
    </cfRule>
    <cfRule type="expression" dxfId="13" priority="39">
      <formula>LEFT(CP12,5)="Watch"</formula>
    </cfRule>
  </conditionalFormatting>
  <conditionalFormatting sqref="DK12:DK500">
    <cfRule type="expression" dxfId="12" priority="40">
      <formula>DK12="Opposite"</formula>
    </cfRule>
    <cfRule type="expression" dxfId="11" priority="41">
      <formula>DK12="Agrees"</formula>
    </cfRule>
  </conditionalFormatting>
  <conditionalFormatting sqref="DQ12:DQ500">
    <cfRule type="expression" dxfId="10" priority="42">
      <formula>AND(ISNUMBER(DQ12),DQ12&gt;=70)</formula>
    </cfRule>
    <cfRule type="expression" dxfId="9" priority="43">
      <formula>AND(ISNUMBER(DQ12),DQ12&gt;=50,DQ12&lt;70)</formula>
    </cfRule>
    <cfRule type="expression" dxfId="8" priority="44">
      <formula>AND(ISNUMBER(DQ12),DQ12&lt;50)</formula>
    </cfRule>
  </conditionalFormatting>
  <conditionalFormatting sqref="J12:J500">
    <cfRule type="cellIs" dxfId="7" priority="45" operator="equal">
      <formula>3</formula>
    </cfRule>
    <cfRule type="cellIs" dxfId="6" priority="46" operator="equal">
      <formula>2</formula>
    </cfRule>
    <cfRule type="cellIs" dxfId="5" priority="47" operator="equal">
      <formula>1</formula>
    </cfRule>
    <cfRule type="cellIs" dxfId="4" priority="48" operator="equal">
      <formula>0</formula>
    </cfRule>
  </conditionalFormatting>
  <conditionalFormatting sqref="K12:K500">
    <cfRule type="cellIs" dxfId="3" priority="49" operator="equal">
      <formula>3</formula>
    </cfRule>
    <cfRule type="cellIs" dxfId="2" priority="50" operator="equal">
      <formula>2</formula>
    </cfRule>
    <cfRule type="cellIs" dxfId="1" priority="51" operator="equal">
      <formula>1</formula>
    </cfRule>
    <cfRule type="cellIs" dxfId="0" priority="52" operator="equal">
      <formula>0</formula>
    </cfRule>
  </conditionalFormatting>
  <dataValidations count="28">
    <dataValidation type="list" allowBlank="1" showInputMessage="1" showErrorMessage="1" errorTitle="TILKIT" error="Please choose a value from the list." promptTitle="TILKIT" prompt="1 = Yes (sighted), 0 = No" sqref="N12:N500" xr:uid="{00000000-0002-0000-0200-000000000000}">
      <formula1>"1,0"</formula1>
      <formula2>0</formula2>
    </dataValidation>
    <dataValidation type="list" allowBlank="1" showInputMessage="1" showErrorMessage="1" errorTitle="TILKIT" error="Please choose a value from the list." promptTitle="TILKIT" prompt="1 = Yes, 0 = No — names go elsewhere" sqref="AC12:AE500" xr:uid="{00000000-0002-0000-0200-000001000000}">
      <formula1>"1,0"</formula1>
      <formula2>0</formula2>
    </dataValidation>
    <dataValidation type="list" allowBlank="1" showInputMessage="1" showErrorMessage="1" errorTitle="TILKIT" error="Please choose a value from the list." promptTitle="TILKIT" prompt="1 = Yes (flag for technical review), 0 = No" sqref="BB12:BB500" xr:uid="{00000000-0002-0000-0200-000002000000}">
      <formula1>"1,0"</formula1>
      <formula2>0</formula2>
    </dataValidation>
    <dataValidation type="list" allowBlank="1" showInputMessage="1" showErrorMessage="1" errorTitle="TILKIT" error="Please choose a value from the list." promptTitle="TILKIT" prompt="1 = Yes, 0 = No, 2 = Not recorded/ prefer not to say" sqref="BK12:BK500" xr:uid="{00000000-0002-0000-0200-000003000000}">
      <formula1>"1,0,2"</formula1>
      <formula2>0</formula2>
    </dataValidation>
    <dataValidation type="list" allowBlank="1" showInputMessage="1" showErrorMessage="1" errorTitle="TILKIT" error="Please choose a value from the list." promptTitle="TILKIT" prompt="3 above, 2 normal, 1 below, 0 no prediction yet" sqref="U12:U500" xr:uid="{00000000-0002-0000-0200-000004000000}">
      <formula1>"3,2,1,0"</formula1>
      <formula2>0</formula2>
    </dataValidation>
    <dataValidation type="list" allowBlank="1" showInputMessage="1" showErrorMessage="1" errorTitle="TILKIT" error="Please choose a value from the list." promptTitle="TILKIT" prompt="3 High (green), 2 Medium (amber), 1 Low (red), 0 Not sure" sqref="L12:M500" xr:uid="{00000000-0002-0000-0200-000005000000}">
      <formula1>"3,2,1,0"</formula1>
      <formula2>0</formula2>
    </dataValidation>
    <dataValidation type="list" allowBlank="1" showInputMessage="1" showErrorMessage="1" errorTitle="TILKIT" error="Please choose a value from the list." promptTitle="TILKIT" prompt="3 High (green), 2 Medium (amber), 1 Low (red), 0 Not sure (treated as 1)" sqref="V12:V500" xr:uid="{00000000-0002-0000-0200-000006000000}">
      <formula1>"3,2,1,0"</formula1>
      <formula2>0</formula2>
    </dataValidation>
    <dataValidation type="list" allowBlank="1" showErrorMessage="1" errorTitle="TILKIT" error="Please choose a value from the list." sqref="AV12:AV500" xr:uid="{00000000-0002-0000-0200-000007000000}">
      <formula1>"3,2,1"</formula1>
      <formula2>0</formula2>
    </dataValidation>
    <dataValidation type="list" allowBlank="1" showInputMessage="1" showErrorMessage="1" errorTitle="TILKIT" error="Please choose a value from the list." promptTitle="TILKIT" prompt="3 Good (evenly spread), 2 Fair, 1 Poor (erratic), 0 Not sure" sqref="T12:T500" xr:uid="{00000000-0002-0000-0200-000008000000}">
      <formula1>"3,2,1,0"</formula1>
      <formula2>0</formula2>
    </dataValidation>
    <dataValidation type="list" allowBlank="1" showInputMessage="1" showErrorMessage="1" errorTitle="TILKIT" error="Please choose a value from the list." promptTitle="TILKIT" prompt="3 Good, 2 Fair, 1 Poor" sqref="AU12:AU500" xr:uid="{00000000-0002-0000-0200-000009000000}">
      <formula1>"3,2,1"</formula1>
      <formula2>0</formula2>
    </dataValidation>
    <dataValidation type="date" allowBlank="1" showInputMessage="1" showErrorMessage="1" errorTitle="TILKIT" error="Enter a date as dd/mm/yyyy (e.g. 20/10/2026)." promptTitle="TILKIT" prompt="Date as dd/mm/yyyy" sqref="P12:S500 AS12:AT500" xr:uid="{00000000-0002-0000-0200-00000A000000}">
      <formula1>DATE(2020,1,1)</formula1>
      <formula2>DATE(2035,12,31)</formula2>
    </dataValidation>
    <dataValidation type="list" allowBlank="1" showErrorMessage="1" errorTitle="TILKIT" error="Please choose a value from the list." sqref="AZ12:AZ500" xr:uid="{00000000-0002-0000-0200-00000B000000}">
      <formula1>"Hit,Miss,False Start"</formula1>
      <formula2>0</formula2>
    </dataValidation>
    <dataValidation type="list" allowBlank="1" showErrorMessage="1" errorTitle="TILKIT" error="Please choose a value from the list." sqref="AP12:AP500" xr:uid="{00000000-0002-0000-0200-00000C000000}">
      <formula1>"FGD-validated only,Community/Plenary-endorsed,Sub-community-specific,Contested,Provisional/emerging"</formula1>
      <formula2>0</formula2>
    </dataValidation>
    <dataValidation type="list" allowBlank="1" showInputMessage="1" showErrorMessage="1" errorTitle="TILKIT" error="Please choose a value from the list." promptTitle="TILKIT" prompt="2 = historical (Ancient/ Indigenous); 1 = new (Emerging)" sqref="J12:J500" xr:uid="{00000000-0002-0000-0200-00000D000000}">
      <formula1>"3,2,1,0"</formula1>
      <formula2>0</formula2>
    </dataValidation>
    <dataValidation type="list" allowBlank="1" showErrorMessage="1" sqref="K12:K500 CZ12:CZ500 CQ12:CQ500" xr:uid="{00000000-0002-0000-0200-00000F000000}">
      <formula1>"3,2,1,0"</formula1>
      <formula2>0</formula2>
    </dataValidation>
    <dataValidation type="list" allowBlank="1" showErrorMessage="1" sqref="BH12:BH500" xr:uid="{00000000-0002-0000-0200-000010000000}">
      <formula1>"1,2,3,4"</formula1>
      <formula2>0</formula2>
    </dataValidation>
    <dataValidation type="list" allowBlank="1" showErrorMessage="1" sqref="BI12:BI500" xr:uid="{00000000-0002-0000-0200-000011000000}">
      <formula1>"1,2,3,4,5"</formula1>
      <formula2>0</formula2>
    </dataValidation>
    <dataValidation type="list" allowBlank="1" showErrorMessage="1" sqref="BJ12:BJ500" xr:uid="{00000000-0002-0000-0200-000012000000}">
      <formula1>"1,2,3,4,5,6,7"</formula1>
      <formula2>0</formula2>
    </dataValidation>
    <dataValidation type="whole" operator="greaterThanOrEqual" allowBlank="1" showErrorMessage="1" sqref="BG12:BG500" xr:uid="{00000000-0002-0000-0200-000013000000}">
      <formula1>0</formula1>
      <formula2>0</formula2>
    </dataValidation>
    <dataValidation type="list" allowBlank="1" showErrorMessage="1" sqref="CL12:CL500" xr:uid="{00000000-0002-0000-0200-000014000000}">
      <formula1>"1,2,3,4,5,6,7,8,9,10,11,12"</formula1>
      <formula2>0</formula2>
    </dataValidation>
    <dataValidation type="list" allowBlank="1" showErrorMessage="1" sqref="CN12:CN500" xr:uid="{00000000-0002-0000-0200-000015000000}">
      <formula1>"No change,Appears earlier,Appears later,Less often/ fewer,More often/ more,Disappeared/ rarely seen,Meaning changed,Not sure"</formula1>
      <formula2>0</formula2>
    </dataValidation>
    <dataValidation type="list" allowBlank="1" showErrorMessage="1" sqref="CO12:CO500" xr:uid="{00000000-0002-0000-0200-000016000000}">
      <formula1>"Climate change/ variability,Land-use/ habitat loss,Water development,Pollution/ chemicals,Hunting/ harvesting,Mixed/ several,Unknown"</formula1>
      <formula2>0</formula2>
    </dataValidation>
    <dataValidation type="decimal" allowBlank="1" showErrorMessage="1" sqref="CR12:CR500 DF12:DG500" xr:uid="{00000000-0002-0000-0200-000018000000}">
      <formula1>0</formula1>
      <formula2>100</formula2>
    </dataValidation>
    <dataValidation type="list" allowBlank="1" showErrorMessage="1" sqref="CX12:CX500" xr:uid="{00000000-0002-0000-0200-000019000000}">
      <formula1>"Anticipatory (before hazard),At onset,Response (during),Recovery (after)"</formula1>
      <formula2>0</formula2>
    </dataValidation>
    <dataValidation type="list" allowBlank="1" showErrorMessage="1" sqref="CY12:CY500 DO12:DO500 DM12:DM500 DA12:DA500" xr:uid="{00000000-0002-0000-0200-00001A000000}">
      <formula1>"1,0"</formula1>
      <formula2>0</formula2>
    </dataValidation>
    <dataValidation type="list" allowBlank="1" showErrorMessage="1" sqref="DJ12:DJ500" xr:uid="{00000000-0002-0000-0200-00001F000000}">
      <formula1>"3,2,1"</formula1>
      <formula2>0</formula2>
    </dataValidation>
    <dataValidation type="list" allowBlank="1" showErrorMessage="1" sqref="DL12:DL500" xr:uid="{00000000-0002-0000-0200-000020000000}">
      <formula1>"Normal,Pre-Alert,Alert,Alarm,Emergency,Recovery"</formula1>
      <formula2>0</formula2>
    </dataValidation>
    <dataValidation type="date" operator="greaterThan" allowBlank="1" showErrorMessage="1" sqref="CI12:CI500 DB12:DB500" xr:uid="{00000000-0002-0000-0200-000021000000}">
      <formula1>DATE(2020,1,1)</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custom" errorStyle="warning" allowBlank="1" showInputMessage="1" showErrorMessage="1" promptTitle="TILKIT" prompt="Full Code Prefix from the Indicator Code Legend + &quot;-&quot; + 3-digit number, e.g. 01-ANI-FRO-001. No season or site in the ID." xr:uid="{00000000-0002-0000-0200-00000E000000}">
          <x14:formula1>
            <xm:f>OR(AH12="",AND(LEN(AH12)&gt;=10,COUNTIF('Indicator Code Legend'!$G$6:$G$200,LEFT(AH12,LEN(AH12)-4))&gt;0))</xm:f>
          </x14:formula1>
          <x14:formula2>
            <xm:f>0</xm:f>
          </x14:formula2>
          <xm:sqref>AH12:AH500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9"/>
  <sheetViews>
    <sheetView topLeftCell="A25" zoomScaleNormal="100" workbookViewId="0">
      <selection activeCell="E19" sqref="E19"/>
    </sheetView>
  </sheetViews>
  <sheetFormatPr defaultColWidth="8.6328125" defaultRowHeight="15.5" x14ac:dyDescent="0.35"/>
  <cols>
    <col min="1" max="1" width="52" style="51" customWidth="1"/>
    <col min="2" max="2" width="18" style="51" customWidth="1"/>
    <col min="3" max="3" width="14" style="51" customWidth="1"/>
    <col min="4" max="4" width="16" style="51" customWidth="1"/>
    <col min="5" max="5" width="22.453125" style="51" customWidth="1"/>
    <col min="6" max="6" width="10" style="51" customWidth="1"/>
    <col min="7" max="16384" width="8.6328125" style="51"/>
  </cols>
  <sheetData>
    <row r="1" spans="1:6" ht="30" customHeight="1" x14ac:dyDescent="0.35">
      <c r="A1" s="112" t="s">
        <v>679</v>
      </c>
      <c r="B1" s="112"/>
      <c r="C1" s="112"/>
      <c r="D1" s="112"/>
      <c r="E1" s="112"/>
      <c r="F1" s="112"/>
    </row>
    <row r="3" spans="1:6" ht="29.25" customHeight="1" x14ac:dyDescent="0.35">
      <c r="A3" s="52" t="s">
        <v>680</v>
      </c>
      <c r="B3" s="53" t="s">
        <v>568</v>
      </c>
      <c r="C3" s="54" t="s">
        <v>681</v>
      </c>
    </row>
    <row r="4" spans="1:6" ht="28.5" customHeight="1" x14ac:dyDescent="0.35">
      <c r="A4" s="51" t="s">
        <v>682</v>
      </c>
      <c r="B4" s="53" t="s">
        <v>601</v>
      </c>
      <c r="C4" s="54" t="s">
        <v>683</v>
      </c>
    </row>
    <row r="5" spans="1:6" ht="24" customHeight="1" x14ac:dyDescent="0.35">
      <c r="A5" s="51" t="s">
        <v>684</v>
      </c>
      <c r="B5" s="55">
        <v>0</v>
      </c>
      <c r="C5" s="54" t="s">
        <v>685</v>
      </c>
    </row>
    <row r="6" spans="1:6" ht="69.75" customHeight="1" x14ac:dyDescent="0.35">
      <c r="A6" s="56"/>
    </row>
    <row r="7" spans="1:6" ht="45" customHeight="1" x14ac:dyDescent="0.35">
      <c r="A7" s="113" t="s">
        <v>686</v>
      </c>
      <c r="B7" s="113"/>
      <c r="C7" s="113"/>
      <c r="D7" s="113"/>
      <c r="E7" s="113"/>
      <c r="F7" s="113"/>
    </row>
    <row r="8" spans="1:6" ht="39.75" customHeight="1" x14ac:dyDescent="0.35">
      <c r="A8" s="113"/>
      <c r="B8" s="113"/>
      <c r="C8" s="113"/>
      <c r="D8" s="113"/>
      <c r="E8" s="113"/>
      <c r="F8" s="113"/>
    </row>
    <row r="10" spans="1:6" ht="24" customHeight="1" x14ac:dyDescent="0.35">
      <c r="A10" s="57" t="s">
        <v>687</v>
      </c>
      <c r="B10" s="57" t="s">
        <v>688</v>
      </c>
      <c r="C10" s="57" t="s">
        <v>689</v>
      </c>
      <c r="D10" s="57" t="s">
        <v>690</v>
      </c>
      <c r="E10" s="57" t="s">
        <v>691</v>
      </c>
    </row>
    <row r="11" spans="1:6" ht="42" customHeight="1" x14ac:dyDescent="0.35">
      <c r="A11" s="58" t="s">
        <v>692</v>
      </c>
      <c r="B11" s="59">
        <f>COUNTIFS('Sheet 1 - Indicator Log'!$CE$12:$CE$500,"Counted*",'Sheet 1 - Indicator Log'!$U$12:$U$500,3)</f>
        <v>4</v>
      </c>
      <c r="C11" s="60">
        <f>IFERROR(B11/SUM($B$11:$B$13),"")</f>
        <v>0.5</v>
      </c>
      <c r="D11" s="61">
        <f>SUMIFS('Sheet 1 - Indicator Log'!$CG$12:$CG$500,'Sheet 1 - Indicator Log'!$CE$12:$CE$500,"Counted*",'Sheet 1 - Indicator Log'!$U$12:$U$500,3)</f>
        <v>18</v>
      </c>
      <c r="E11" s="60">
        <f>IFERROR(D11/SUM($D$11:$D$13),"")</f>
        <v>0.58064516129032262</v>
      </c>
    </row>
    <row r="12" spans="1:6" ht="30" customHeight="1" x14ac:dyDescent="0.35">
      <c r="A12" s="58" t="s">
        <v>693</v>
      </c>
      <c r="B12" s="59">
        <f>COUNTIFS('Sheet 1 - Indicator Log'!$CE$12:$CE$500,"Counted*",'Sheet 1 - Indicator Log'!$U$12:$U$500,2)</f>
        <v>2</v>
      </c>
      <c r="C12" s="60">
        <f>IFERROR(B12/SUM($B$11:$B$13),"")</f>
        <v>0.25</v>
      </c>
      <c r="D12" s="61">
        <f>SUMIFS('Sheet 1 - Indicator Log'!$CG$12:$CG$500,'Sheet 1 - Indicator Log'!$CE$12:$CE$500,"Counted*",'Sheet 1 - Indicator Log'!$U$12:$U$500,2)</f>
        <v>4</v>
      </c>
      <c r="E12" s="60">
        <f>IFERROR(D12/SUM($D$11:$D$13),"")</f>
        <v>0.12903225806451613</v>
      </c>
    </row>
    <row r="13" spans="1:6" x14ac:dyDescent="0.35">
      <c r="A13" s="58" t="s">
        <v>694</v>
      </c>
      <c r="B13" s="59">
        <f>COUNTIFS('Sheet 1 - Indicator Log'!$CE$12:$CE$500,"Counted*",'Sheet 1 - Indicator Log'!$U$12:$U$500,1)</f>
        <v>2</v>
      </c>
      <c r="C13" s="60">
        <f>IFERROR(B13/SUM($B$11:$B$13),"")</f>
        <v>0.25</v>
      </c>
      <c r="D13" s="61">
        <f>SUMIFS('Sheet 1 - Indicator Log'!$CG$12:$CG$500,'Sheet 1 - Indicator Log'!$CE$12:$CE$500,"Counted*",'Sheet 1 - Indicator Log'!$U$12:$U$500,1)</f>
        <v>9</v>
      </c>
      <c r="E13" s="60">
        <f>IFERROR(D13/SUM($D$11:$D$13),"")</f>
        <v>0.29032258064516131</v>
      </c>
    </row>
    <row r="14" spans="1:6" ht="34.5" customHeight="1" x14ac:dyDescent="0.35">
      <c r="A14" s="62" t="s">
        <v>695</v>
      </c>
      <c r="B14" s="63">
        <f>SUM(B11:B13)</f>
        <v>8</v>
      </c>
      <c r="C14" s="64">
        <f>IFERROR(SUM(C11:C13),"")</f>
        <v>1</v>
      </c>
      <c r="D14" s="65">
        <f>SUM(D11:D13)</f>
        <v>31</v>
      </c>
      <c r="E14" s="64">
        <f>IFERROR(SUM(E11:E13),"")</f>
        <v>1</v>
      </c>
    </row>
    <row r="16" spans="1:6" ht="15" customHeight="1" x14ac:dyDescent="0.35">
      <c r="A16" s="66" t="s">
        <v>696</v>
      </c>
      <c r="B16" s="51" t="str">
        <f>IF(B14=0,"",IF(COUNTIF(B11:B13,MAX(B11:B13))&gt;1,"Tie — discuss in plenary",INDEX($A$11:$A$13,MATCH(MAX(B11:B13),B11:B13,0))))</f>
        <v>Above normal (Average)</v>
      </c>
      <c r="C16" s="54" t="s">
        <v>697</v>
      </c>
    </row>
    <row r="17" spans="1:6" ht="15" customHeight="1" x14ac:dyDescent="0.35">
      <c r="A17" s="67" t="s">
        <v>698</v>
      </c>
      <c r="B17" s="51" t="str">
        <f>IF(D14=0,"",IF(COUNTIF(D11:D13,MAX(D11:D13))&gt;1,"Tie — discuss in plenary",INDEX($A$11:$A$13,MATCH(MAX(D11:D13),D11:D13,0))))</f>
        <v>Above normal (Average)</v>
      </c>
    </row>
    <row r="18" spans="1:6" ht="23.25" customHeight="1" x14ac:dyDescent="0.35">
      <c r="A18" s="67" t="s">
        <v>699</v>
      </c>
      <c r="B18" s="51" t="str">
        <f>IF(OR(B16="",B17=""),"",IF(B16=B17,"Yes","No — discuss before integration"))</f>
        <v>Yes</v>
      </c>
    </row>
    <row r="20" spans="1:6" x14ac:dyDescent="0.35">
      <c r="A20" s="67" t="s">
        <v>700</v>
      </c>
    </row>
    <row r="21" spans="1:6" x14ac:dyDescent="0.35">
      <c r="A21" s="51" t="s">
        <v>701</v>
      </c>
      <c r="B21" s="51">
        <f>COUNTIFS('Sheet 1 - Indicator Log'!$AI$12:$AI$500,$B$3,'Sheet 1 - Indicator Log'!$AM$12:$AM$500,$B$4,'Sheet 1 - Indicator Log'!$AH$12:$AH$500,"&lt;&gt;")</f>
        <v>11</v>
      </c>
    </row>
    <row r="22" spans="1:6" x14ac:dyDescent="0.35">
      <c r="A22" s="51" t="s">
        <v>702</v>
      </c>
      <c r="B22" s="51">
        <f>COUNTIF('Sheet 1 - Indicator Log'!$CE$12:$CE$500,"Counted")+COUNTIF('Sheet 1 - Indicator Log'!$CE$12:$CE$500,"Counted (simple*")</f>
        <v>8</v>
      </c>
    </row>
    <row r="23" spans="1:6" x14ac:dyDescent="0.35">
      <c r="A23" s="51" t="s">
        <v>703</v>
      </c>
      <c r="B23" s="51">
        <f>COUNTIF('Sheet 1 - Indicator Log'!$CE$12:$CE$500,"Counted (simple*")</f>
        <v>1</v>
      </c>
    </row>
    <row r="24" spans="1:6" x14ac:dyDescent="0.35">
      <c r="A24" s="51" t="s">
        <v>704</v>
      </c>
      <c r="B24" s="51">
        <f>COUNTIF('Sheet 1 - Indicator Log'!$CE$12:$CE$500,"Excluded: not sighted")</f>
        <v>1</v>
      </c>
    </row>
    <row r="25" spans="1:6" x14ac:dyDescent="0.35">
      <c r="A25" s="51" t="s">
        <v>705</v>
      </c>
      <c r="B25" s="51">
        <f>COUNTIF('Sheet 1 - Indicator Log'!$CE$12:$CE$500,"Excluded: not confirmed")</f>
        <v>0</v>
      </c>
    </row>
    <row r="26" spans="1:6" x14ac:dyDescent="0.35">
      <c r="A26" s="51" t="s">
        <v>706</v>
      </c>
      <c r="B26" s="51">
        <f>COUNTIF('Sheet 1 - Indicator Log'!$CE$12:$CE$500,"Excluded: not approved")</f>
        <v>0</v>
      </c>
    </row>
    <row r="27" spans="1:6" x14ac:dyDescent="0.35">
      <c r="A27" s="51" t="s">
        <v>707</v>
      </c>
      <c r="B27" s="51">
        <f>COUNTIF('Sheet 1 - Indicator Log'!$CE$12:$CE$500,"Excluded: contested")</f>
        <v>1</v>
      </c>
    </row>
    <row r="28" spans="1:6" x14ac:dyDescent="0.35">
      <c r="A28" s="51" t="s">
        <v>708</v>
      </c>
      <c r="B28" s="51">
        <f>COUNTIF('Sheet 1 - Indicator Log'!$CE$12:$CE$500,"Excluded: no tercile")</f>
        <v>0</v>
      </c>
    </row>
    <row r="29" spans="1:6" x14ac:dyDescent="0.35">
      <c r="A29" s="51" t="s">
        <v>709</v>
      </c>
      <c r="B29" s="51">
        <f>COUNTIF('Sheet 1 - Indicator Log'!$CE$12:$CE$500,"Excluded: duplicate*")</f>
        <v>1</v>
      </c>
    </row>
    <row r="30" spans="1:6" x14ac:dyDescent="0.35">
      <c r="A30" s="51" t="s">
        <v>710</v>
      </c>
      <c r="B30" s="51">
        <f>COUNTIFS('Sheet 1 - Indicator Log'!$CE$12:$CE$500,"Counted*",'Sheet 1 - Indicator Log'!$V$12:$V$500,"")+COUNTIFS('Sheet 1 - Indicator Log'!$CE$12:$CE$500,"Counted*",'Sheet 1 - Indicator Log'!$V$12:$V$500,0)</f>
        <v>0</v>
      </c>
    </row>
    <row r="31" spans="1:6" x14ac:dyDescent="0.35">
      <c r="A31" s="51" t="s">
        <v>711</v>
      </c>
      <c r="B31" s="68" t="str">
        <f>IF(B22=B14,"OK","MISMATCH — check the log")</f>
        <v>OK</v>
      </c>
    </row>
    <row r="32" spans="1:6" ht="14.25" customHeight="1" x14ac:dyDescent="0.35">
      <c r="A32" s="113" t="s">
        <v>712</v>
      </c>
      <c r="B32" s="113"/>
      <c r="C32" s="113"/>
      <c r="D32" s="113"/>
      <c r="E32" s="113"/>
      <c r="F32" s="113"/>
    </row>
    <row r="33" spans="1:6" x14ac:dyDescent="0.35">
      <c r="A33" s="113"/>
      <c r="B33" s="113"/>
      <c r="C33" s="113"/>
      <c r="D33" s="113"/>
      <c r="E33" s="113"/>
      <c r="F33" s="113"/>
    </row>
    <row r="34" spans="1:6" x14ac:dyDescent="0.35">
      <c r="A34" s="113"/>
      <c r="B34" s="113"/>
      <c r="C34" s="113"/>
      <c r="D34" s="113"/>
      <c r="E34" s="113"/>
      <c r="F34" s="113"/>
    </row>
    <row r="35" spans="1:6" x14ac:dyDescent="0.35">
      <c r="A35" s="113"/>
      <c r="B35" s="113"/>
      <c r="C35" s="113"/>
      <c r="D35" s="113"/>
      <c r="E35" s="113"/>
      <c r="F35" s="113"/>
    </row>
    <row r="37" spans="1:6" x14ac:dyDescent="0.35">
      <c r="A37" s="67" t="s">
        <v>713</v>
      </c>
    </row>
    <row r="38" spans="1:6" ht="30.75" customHeight="1" x14ac:dyDescent="0.35">
      <c r="A38" s="69" t="s">
        <v>714</v>
      </c>
      <c r="B38" s="69" t="s">
        <v>715</v>
      </c>
      <c r="C38" s="69" t="s">
        <v>716</v>
      </c>
      <c r="D38" s="69" t="s">
        <v>717</v>
      </c>
      <c r="E38" s="69" t="s">
        <v>718</v>
      </c>
      <c r="F38" s="69" t="s">
        <v>719</v>
      </c>
    </row>
    <row r="39" spans="1:6" x14ac:dyDescent="0.35">
      <c r="A39" s="51" t="s">
        <v>720</v>
      </c>
      <c r="B39" s="70">
        <f>IFERROR(ROUND(AVERAGEIFS('Sheet 1 - Indicator Log'!$P$12:$P$500,'Sheet 1 - Indicator Log'!$CE$12:$CE$500,"Counted*",'Sheet 1 - Indicator Log'!$P$12:$P$500,"&gt;0"),0),"")</f>
        <v>46319</v>
      </c>
      <c r="C39" s="70">
        <f>IFERROR(ROUND(SUMPRODUCT((LEFT('Sheet 1 - Indicator Log'!$CE$12:$CE$500,7)="Counted")*('Sheet 1 - Indicator Log'!$P$12:$P$500&gt;0)*'Sheet 1 - Indicator Log'!$P$12:$P$500*'Sheet 1 - Indicator Log'!$CH$12:$CH$500)/SUMPRODUCT((LEFT('Sheet 1 - Indicator Log'!$CE$12:$CE$500,7)="Counted")*('Sheet 1 - Indicator Log'!$P$12:$P$500&gt;0)*'Sheet 1 - Indicator Log'!$CH$12:$CH$500),0),"")</f>
        <v>46318</v>
      </c>
      <c r="D39" s="70">
        <f>IF(COUNTIFS('Sheet 1 - Indicator Log'!$CE$12:$CE$500,"Counted*",'Sheet 1 - Indicator Log'!$P$12:$P$500,"&gt;0")=0,"",_xlfn.MINIFS('Sheet 1 - Indicator Log'!$P$12:$P$500,'Sheet 1 - Indicator Log'!$CE$12:$CE$500,"Counted*",'Sheet 1 - Indicator Log'!$P$12:$P$500,"&gt;0"))</f>
        <v>46310</v>
      </c>
      <c r="E39" s="70">
        <f>IF(COUNTIFS('Sheet 1 - Indicator Log'!$CE$12:$CE$500,"Counted*",'Sheet 1 - Indicator Log'!$P$12:$P$500,"&gt;0")=0,"",_xlfn.MAXIFS('Sheet 1 - Indicator Log'!$P$12:$P$500,'Sheet 1 - Indicator Log'!$CE$12:$CE$500,"Counted*",'Sheet 1 - Indicator Log'!$P$12:$P$500,"&gt;0"))</f>
        <v>46331</v>
      </c>
      <c r="F39" s="51">
        <f>COUNTIFS('Sheet 1 - Indicator Log'!$CE$12:$CE$500,"Counted*",'Sheet 1 - Indicator Log'!$P$12:$P$500,"&gt;0")</f>
        <v>8</v>
      </c>
    </row>
    <row r="40" spans="1:6" x14ac:dyDescent="0.35">
      <c r="A40" s="51" t="s">
        <v>721</v>
      </c>
      <c r="B40" s="70">
        <f>IFERROR(ROUND(AVERAGEIFS('Sheet 1 - Indicator Log'!$Q$12:$Q$500,'Sheet 1 - Indicator Log'!$CE$12:$CE$500,"Counted*",'Sheet 1 - Indicator Log'!$Q$12:$Q$500,"&gt;0"),0),"")</f>
        <v>46332</v>
      </c>
      <c r="C40" s="70">
        <f>IFERROR(ROUND(SUMPRODUCT((LEFT('Sheet 1 - Indicator Log'!$CE$12:$CE$500,7)="Counted")*('Sheet 1 - Indicator Log'!$Q$12:$Q$500&gt;0)*'Sheet 1 - Indicator Log'!$Q$12:$Q$500*'Sheet 1 - Indicator Log'!$CH$12:$CH$500)/SUMPRODUCT((LEFT('Sheet 1 - Indicator Log'!$CE$12:$CE$500,7)="Counted")*('Sheet 1 - Indicator Log'!$Q$12:$Q$500&gt;0)*'Sheet 1 - Indicator Log'!$CH$12:$CH$500),0),"")</f>
        <v>46332</v>
      </c>
      <c r="D40" s="70">
        <f>IF(COUNTIFS('Sheet 1 - Indicator Log'!$CE$12:$CE$500,"Counted*",'Sheet 1 - Indicator Log'!$Q$12:$Q$500,"&gt;0")=0,"",_xlfn.MINIFS('Sheet 1 - Indicator Log'!$Q$12:$Q$500,'Sheet 1 - Indicator Log'!$CE$12:$CE$500,"Counted*",'Sheet 1 - Indicator Log'!$Q$12:$Q$500,"&gt;0"))</f>
        <v>46317</v>
      </c>
      <c r="E40" s="70">
        <f>IF(COUNTIFS('Sheet 1 - Indicator Log'!$CE$12:$CE$500,"Counted*",'Sheet 1 - Indicator Log'!$Q$12:$Q$500,"&gt;0")=0,"",_xlfn.MAXIFS('Sheet 1 - Indicator Log'!$Q$12:$Q$500,'Sheet 1 - Indicator Log'!$CE$12:$CE$500,"Counted*",'Sheet 1 - Indicator Log'!$Q$12:$Q$500,"&gt;0"))</f>
        <v>46346</v>
      </c>
      <c r="F40" s="51">
        <f>COUNTIFS('Sheet 1 - Indicator Log'!$CE$12:$CE$500,"Counted*",'Sheet 1 - Indicator Log'!$Q$12:$Q$500,"&gt;0")</f>
        <v>6</v>
      </c>
    </row>
    <row r="41" spans="1:6" x14ac:dyDescent="0.35">
      <c r="A41" s="51" t="s">
        <v>722</v>
      </c>
      <c r="B41" s="70">
        <f>IFERROR(ROUND(AVERAGEIFS('Sheet 1 - Indicator Log'!$R$12:$R$500,'Sheet 1 - Indicator Log'!$CE$12:$CE$500,"Counted*",'Sheet 1 - Indicator Log'!$R$12:$R$500,"&gt;0"),0),"")</f>
        <v>46392</v>
      </c>
      <c r="C41" s="70">
        <f>IFERROR(ROUND(SUMPRODUCT((LEFT('Sheet 1 - Indicator Log'!$CE$12:$CE$500,7)="Counted")*('Sheet 1 - Indicator Log'!$R$12:$R$500&gt;0)*'Sheet 1 - Indicator Log'!$R$12:$R$500*'Sheet 1 - Indicator Log'!$CH$12:$CH$500)/SUMPRODUCT((LEFT('Sheet 1 - Indicator Log'!$CE$12:$CE$500,7)="Counted")*('Sheet 1 - Indicator Log'!$R$12:$R$500&gt;0)*'Sheet 1 - Indicator Log'!$CH$12:$CH$500),0),"")</f>
        <v>46392</v>
      </c>
      <c r="D41" s="70">
        <f>IF(COUNTIFS('Sheet 1 - Indicator Log'!$CE$12:$CE$500,"Counted*",'Sheet 1 - Indicator Log'!$R$12:$R$500,"&gt;0")=0,"",_xlfn.MINIFS('Sheet 1 - Indicator Log'!$R$12:$R$500,'Sheet 1 - Indicator Log'!$CE$12:$CE$500,"Counted*",'Sheet 1 - Indicator Log'!$R$12:$R$500,"&gt;0"))</f>
        <v>46392</v>
      </c>
      <c r="E41" s="70">
        <f>IF(COUNTIFS('Sheet 1 - Indicator Log'!$CE$12:$CE$500,"Counted*",'Sheet 1 - Indicator Log'!$R$12:$R$500,"&gt;0")=0,"",_xlfn.MAXIFS('Sheet 1 - Indicator Log'!$R$12:$R$500,'Sheet 1 - Indicator Log'!$CE$12:$CE$500,"Counted*",'Sheet 1 - Indicator Log'!$R$12:$R$500,"&gt;0"))</f>
        <v>46392</v>
      </c>
      <c r="F41" s="51">
        <f>COUNTIFS('Sheet 1 - Indicator Log'!$CE$12:$CE$500,"Counted*",'Sheet 1 - Indicator Log'!$R$12:$R$500,"&gt;0")</f>
        <v>1</v>
      </c>
    </row>
    <row r="42" spans="1:6" x14ac:dyDescent="0.35">
      <c r="A42" s="51" t="s">
        <v>723</v>
      </c>
      <c r="B42" s="70">
        <f>IFERROR(ROUND(AVERAGEIFS('Sheet 1 - Indicator Log'!$S$12:$S$500,'Sheet 1 - Indicator Log'!$CE$12:$CE$500,"Counted*",'Sheet 1 - Indicator Log'!$S$12:$S$500,"&gt;0"),0),"")</f>
        <v>46407</v>
      </c>
      <c r="C42" s="70">
        <f>IFERROR(ROUND(SUMPRODUCT((LEFT('Sheet 1 - Indicator Log'!$CE$12:$CE$500,7)="Counted")*('Sheet 1 - Indicator Log'!$S$12:$S$500&gt;0)*'Sheet 1 - Indicator Log'!$S$12:$S$500*'Sheet 1 - Indicator Log'!$CH$12:$CH$500)/SUMPRODUCT((LEFT('Sheet 1 - Indicator Log'!$CE$12:$CE$500,7)="Counted")*('Sheet 1 - Indicator Log'!$S$12:$S$500&gt;0)*'Sheet 1 - Indicator Log'!$CH$12:$CH$500),0),"")</f>
        <v>46407</v>
      </c>
      <c r="D42" s="70">
        <f>IF(COUNTIFS('Sheet 1 - Indicator Log'!$CE$12:$CE$500,"Counted*",'Sheet 1 - Indicator Log'!$S$12:$S$500,"&gt;0")=0,"",_xlfn.MINIFS('Sheet 1 - Indicator Log'!$S$12:$S$500,'Sheet 1 - Indicator Log'!$CE$12:$CE$500,"Counted*",'Sheet 1 - Indicator Log'!$S$12:$S$500,"&gt;0"))</f>
        <v>46407</v>
      </c>
      <c r="E42" s="70">
        <f>IF(COUNTIFS('Sheet 1 - Indicator Log'!$CE$12:$CE$500,"Counted*",'Sheet 1 - Indicator Log'!$S$12:$S$500,"&gt;0")=0,"",_xlfn.MAXIFS('Sheet 1 - Indicator Log'!$S$12:$S$500,'Sheet 1 - Indicator Log'!$CE$12:$CE$500,"Counted*",'Sheet 1 - Indicator Log'!$S$12:$S$500,"&gt;0"))</f>
        <v>46407</v>
      </c>
      <c r="F42" s="51">
        <f>COUNTIFS('Sheet 1 - Indicator Log'!$CE$12:$CE$500,"Counted*",'Sheet 1 - Indicator Log'!$S$12:$S$500,"&gt;0")</f>
        <v>1</v>
      </c>
    </row>
    <row r="43" spans="1:6" x14ac:dyDescent="0.35">
      <c r="A43" s="67" t="s">
        <v>724</v>
      </c>
      <c r="B43" s="51" t="str">
        <f>IF(OR(C39="",C40=""),"",TEXT(C39,"dd mmm")&amp;" – "&amp;TEXT(C40,"dd mmm yyyy"))</f>
        <v>23 Oct – 06 Nov 2026</v>
      </c>
    </row>
    <row r="44" spans="1:6" x14ac:dyDescent="0.35">
      <c r="A44" s="67" t="s">
        <v>725</v>
      </c>
      <c r="B44" s="51" t="str">
        <f>IF(OR(C41="",C42=""),"",TEXT(C41,"dd mmm")&amp;" – "&amp;TEXT(C42,"dd mmm yyyy"))</f>
        <v>05 Jan – 20 Jan 2027</v>
      </c>
    </row>
    <row r="46" spans="1:6" x14ac:dyDescent="0.35">
      <c r="A46" s="71" t="s">
        <v>726</v>
      </c>
      <c r="B46" s="71" t="s">
        <v>688</v>
      </c>
      <c r="C46" s="71" t="s">
        <v>689</v>
      </c>
      <c r="D46" s="71" t="s">
        <v>690</v>
      </c>
      <c r="E46" s="71" t="s">
        <v>691</v>
      </c>
    </row>
    <row r="47" spans="1:6" x14ac:dyDescent="0.35">
      <c r="A47" s="51" t="s">
        <v>727</v>
      </c>
      <c r="B47" s="51">
        <f>COUNTIFS('Sheet 1 - Indicator Log'!$CE$12:$CE$500,"Counted*",'Sheet 1 - Indicator Log'!$T$12:$T$500,3)</f>
        <v>2</v>
      </c>
      <c r="C47" s="72">
        <f>IFERROR(B47/SUM($B$47:$B$49),"")</f>
        <v>0.33333333333333331</v>
      </c>
      <c r="D47" s="73">
        <f>SUMIFS('Sheet 1 - Indicator Log'!$CG$12:$CG$500,'Sheet 1 - Indicator Log'!$CE$12:$CE$500,"Counted*",'Sheet 1 - Indicator Log'!$T$12:$T$500,3)</f>
        <v>15</v>
      </c>
      <c r="E47" s="72">
        <f>IFERROR(D47/SUM($D$47:$D$49),"")</f>
        <v>0.5</v>
      </c>
    </row>
    <row r="48" spans="1:6" x14ac:dyDescent="0.35">
      <c r="A48" s="51" t="s">
        <v>728</v>
      </c>
      <c r="B48" s="51">
        <f>COUNTIFS('Sheet 1 - Indicator Log'!$CE$12:$CE$500,"Counted*",'Sheet 1 - Indicator Log'!$T$12:$T$500,2)</f>
        <v>2</v>
      </c>
      <c r="C48" s="72">
        <f>IFERROR(B48/SUM($B$47:$B$49),"")</f>
        <v>0.33333333333333331</v>
      </c>
      <c r="D48" s="73">
        <f>SUMIFS('Sheet 1 - Indicator Log'!$CG$12:$CG$500,'Sheet 1 - Indicator Log'!$CE$12:$CE$500,"Counted*",'Sheet 1 - Indicator Log'!$T$12:$T$500,2)</f>
        <v>6</v>
      </c>
      <c r="E48" s="72">
        <f>IFERROR(D48/SUM($D$47:$D$49),"")</f>
        <v>0.2</v>
      </c>
    </row>
    <row r="49" spans="1:6" x14ac:dyDescent="0.35">
      <c r="A49" s="51" t="s">
        <v>729</v>
      </c>
      <c r="B49" s="51">
        <f>COUNTIFS('Sheet 1 - Indicator Log'!$CE$12:$CE$500,"Counted*",'Sheet 1 - Indicator Log'!$T$12:$T$500,1)</f>
        <v>2</v>
      </c>
      <c r="C49" s="72">
        <f>IFERROR(B49/SUM($B$47:$B$49),"")</f>
        <v>0.33333333333333331</v>
      </c>
      <c r="D49" s="73">
        <f>SUMIFS('Sheet 1 - Indicator Log'!$CG$12:$CG$500,'Sheet 1 - Indicator Log'!$CE$12:$CE$500,"Counted*",'Sheet 1 - Indicator Log'!$T$12:$T$500,1)</f>
        <v>9</v>
      </c>
      <c r="E49" s="72">
        <f>IFERROR(D49/SUM($D$47:$D$49),"")</f>
        <v>0.3</v>
      </c>
    </row>
    <row r="50" spans="1:6" x14ac:dyDescent="0.35">
      <c r="A50" s="67" t="s">
        <v>730</v>
      </c>
      <c r="B50" s="51" t="str">
        <f>IF(SUM(D47:D49)=0,"",IF(COUNTIF(D47:D49,MAX(D47:D49))&gt;1,"Tie — discuss",INDEX($A$47:$A$49,MATCH(MAX(D47:D49),D47:D49,0))))</f>
        <v>Good — evenly spread (3)</v>
      </c>
    </row>
    <row r="52" spans="1:6" ht="14.25" customHeight="1" x14ac:dyDescent="0.35">
      <c r="A52" s="114" t="s">
        <v>731</v>
      </c>
      <c r="B52" s="114"/>
      <c r="C52" s="114"/>
      <c r="D52" s="114"/>
      <c r="E52" s="114"/>
      <c r="F52" s="114"/>
    </row>
    <row r="53" spans="1:6" x14ac:dyDescent="0.35">
      <c r="A53" s="114"/>
      <c r="B53" s="114"/>
      <c r="C53" s="114"/>
      <c r="D53" s="114"/>
      <c r="E53" s="114"/>
      <c r="F53" s="114"/>
    </row>
    <row r="54" spans="1:6" x14ac:dyDescent="0.35">
      <c r="A54" s="114"/>
      <c r="B54" s="114"/>
      <c r="C54" s="114"/>
      <c r="D54" s="114"/>
      <c r="E54" s="114"/>
      <c r="F54" s="114"/>
    </row>
    <row r="56" spans="1:6" x14ac:dyDescent="0.35">
      <c r="A56" s="74" t="s">
        <v>732</v>
      </c>
    </row>
    <row r="58" spans="1:6" ht="26" x14ac:dyDescent="0.35">
      <c r="A58" s="25" t="s">
        <v>687</v>
      </c>
      <c r="B58" s="25" t="s">
        <v>733</v>
      </c>
      <c r="C58" s="25" t="s">
        <v>734</v>
      </c>
    </row>
    <row r="59" spans="1:6" x14ac:dyDescent="0.35">
      <c r="A59" s="21" t="s">
        <v>692</v>
      </c>
      <c r="B59" s="75">
        <f>SUMIFS('Sheet 1 - Indicator Log'!$DS$12:$DS$500,'Sheet 1 - Indicator Log'!$CE$12:$CE$500,"Counted*",'Sheet 1 - Indicator Log'!$U$12:$U$500,3)</f>
        <v>27</v>
      </c>
      <c r="C59" s="76">
        <f>IFERROR(B59/SUM($B$59:$B$61),"")</f>
        <v>0.6067415730337079</v>
      </c>
    </row>
    <row r="60" spans="1:6" x14ac:dyDescent="0.35">
      <c r="A60" s="21" t="s">
        <v>693</v>
      </c>
      <c r="B60" s="75">
        <f>SUMIFS('Sheet 1 - Indicator Log'!$DS$12:$DS$500,'Sheet 1 - Indicator Log'!$CE$12:$CE$500,"Counted*",'Sheet 1 - Indicator Log'!$U$12:$U$500,2)</f>
        <v>4</v>
      </c>
      <c r="C60" s="76">
        <f>IFERROR(B60/SUM($B$59:$B$61),"")</f>
        <v>8.98876404494382E-2</v>
      </c>
    </row>
    <row r="61" spans="1:6" x14ac:dyDescent="0.35">
      <c r="A61" s="21" t="s">
        <v>694</v>
      </c>
      <c r="B61" s="75">
        <f>SUMIFS('Sheet 1 - Indicator Log'!$DS$12:$DS$500,'Sheet 1 - Indicator Log'!$CE$12:$CE$500,"Counted*",'Sheet 1 - Indicator Log'!$U$12:$U$500,1)</f>
        <v>13.5</v>
      </c>
      <c r="C61" s="76">
        <f>IFERROR(B61/SUM($B$59:$B$61),"")</f>
        <v>0.30337078651685395</v>
      </c>
    </row>
    <row r="62" spans="1:6" ht="26" x14ac:dyDescent="0.35">
      <c r="A62" s="20" t="s">
        <v>735</v>
      </c>
      <c r="B62" s="21" t="str">
        <f>IF(SUM(B59:B61)=0,"",IF(COUNTIF(B59:B61,MAX(B59:B61))&gt;1,"Tie — discuss",INDEX($A$59:$A$61,MATCH(MAX(B59:B61),B59:B61,0))))</f>
        <v>Above normal (Average)</v>
      </c>
    </row>
    <row r="64" spans="1:6" x14ac:dyDescent="0.35">
      <c r="A64" s="20" t="s">
        <v>736</v>
      </c>
      <c r="B64" s="21">
        <f>IFERROR(ROUND(AVERAGEIFS('Sheet 1 - Indicator Log'!$DQ$12:$DQ$500,'Sheet 1 - Indicator Log'!$CE$12:$CE$500,"Counted*"),0),"")</f>
        <v>64</v>
      </c>
    </row>
    <row r="65" spans="1:5" x14ac:dyDescent="0.35">
      <c r="A65" s="21" t="s">
        <v>737</v>
      </c>
      <c r="B65" s="21" t="str">
        <f>IF(B64="","",IF(B64&gt;=70,"High",IF(B64&gt;=50,"Medium","Low")))</f>
        <v>Medium</v>
      </c>
    </row>
    <row r="67" spans="1:5" x14ac:dyDescent="0.35">
      <c r="A67" s="25" t="s">
        <v>738</v>
      </c>
      <c r="B67" s="25" t="s">
        <v>688</v>
      </c>
      <c r="C67" s="25" t="s">
        <v>689</v>
      </c>
      <c r="D67" s="25" t="s">
        <v>690</v>
      </c>
      <c r="E67" s="25" t="s">
        <v>691</v>
      </c>
    </row>
    <row r="68" spans="1:5" x14ac:dyDescent="0.35">
      <c r="A68" s="21" t="s">
        <v>739</v>
      </c>
      <c r="B68" s="21">
        <f>COUNTIFS('Sheet 1 - Indicator Log'!$CE$12:$CE$500,"Counted*",'Sheet 1 - Indicator Log'!$CQ$12:$CQ$500,3)</f>
        <v>2</v>
      </c>
      <c r="C68" s="76">
        <f>IFERROR(B68/SUM($B$68:$B$70),"")</f>
        <v>0.2857142857142857</v>
      </c>
      <c r="D68" s="75">
        <f>SUMIFS('Sheet 1 - Indicator Log'!$CG$12:$CG$500,'Sheet 1 - Indicator Log'!$CE$12:$CE$500,"Counted*",'Sheet 1 - Indicator Log'!$CQ$12:$CQ$500,3)</f>
        <v>15</v>
      </c>
      <c r="E68" s="76">
        <f>IFERROR(D68/SUM($D$68:$D$70),"")</f>
        <v>0.5</v>
      </c>
    </row>
    <row r="69" spans="1:5" x14ac:dyDescent="0.35">
      <c r="A69" s="21" t="s">
        <v>740</v>
      </c>
      <c r="B69" s="21">
        <f>COUNTIFS('Sheet 1 - Indicator Log'!$CE$12:$CE$500,"Counted*",'Sheet 1 - Indicator Log'!$CQ$12:$CQ$500,2)</f>
        <v>3</v>
      </c>
      <c r="C69" s="76">
        <f>IFERROR(B69/SUM($B$68:$B$70),"")</f>
        <v>0.42857142857142855</v>
      </c>
      <c r="D69" s="75">
        <f>SUMIFS('Sheet 1 - Indicator Log'!$CG$12:$CG$500,'Sheet 1 - Indicator Log'!$CE$12:$CE$500,"Counted*",'Sheet 1 - Indicator Log'!$CQ$12:$CQ$500,2)</f>
        <v>6</v>
      </c>
      <c r="E69" s="76">
        <f>IFERROR(D69/SUM($D$68:$D$70),"")</f>
        <v>0.2</v>
      </c>
    </row>
    <row r="70" spans="1:5" x14ac:dyDescent="0.35">
      <c r="A70" s="21" t="s">
        <v>741</v>
      </c>
      <c r="B70" s="21">
        <f>COUNTIFS('Sheet 1 - Indicator Log'!$CE$12:$CE$500,"Counted*",'Sheet 1 - Indicator Log'!$CQ$12:$CQ$500,1)</f>
        <v>2</v>
      </c>
      <c r="C70" s="76">
        <f>IFERROR(B70/SUM($B$68:$B$70),"")</f>
        <v>0.2857142857142857</v>
      </c>
      <c r="D70" s="75">
        <f>SUMIFS('Sheet 1 - Indicator Log'!$CG$12:$CG$500,'Sheet 1 - Indicator Log'!$CE$12:$CE$500,"Counted*",'Sheet 1 - Indicator Log'!$CQ$12:$CQ$500,1)</f>
        <v>9</v>
      </c>
      <c r="E70" s="76">
        <f>IFERROR(D70/SUM($D$68:$D$70),"")</f>
        <v>0.3</v>
      </c>
    </row>
    <row r="71" spans="1:5" ht="26" x14ac:dyDescent="0.35">
      <c r="A71" s="20" t="s">
        <v>742</v>
      </c>
      <c r="B71" s="21">
        <f>IF(SUM(D68:D70)=0,"",ROUND(100*(D68+0.5*D69)/SUM(D68:D70),0))</f>
        <v>60</v>
      </c>
    </row>
    <row r="72" spans="1:5" ht="52" x14ac:dyDescent="0.35">
      <c r="A72" s="21" t="s">
        <v>743</v>
      </c>
      <c r="B72" s="21" t="str">
        <f>IF(B71="","",IF(B71&gt;=67,"Good — normal or above-normal greenness expected (compare VCI3M ≥35)",IF(B71&gt;=34,"Fair — moderate vegetation deficit possible (VCI3M 20–34)","Poor — severe deficit risk (VCI3M &lt;20)")))</f>
        <v>Fair — moderate vegetation deficit possible (VCI3M 20–34)</v>
      </c>
    </row>
    <row r="73" spans="1:5" ht="26" x14ac:dyDescent="0.35">
      <c r="A73" s="21" t="s">
        <v>744</v>
      </c>
      <c r="B73" s="77">
        <v>41</v>
      </c>
    </row>
    <row r="74" spans="1:5" x14ac:dyDescent="0.35">
      <c r="A74" s="21" t="s">
        <v>745</v>
      </c>
      <c r="B74" s="21" t="str">
        <f>IF(B73="","",IF(B73&gt;=50,"Above-normal greenness",IF(B73&gt;=35,"Normal",IF(B73&gt;=20,"Moderate deficit",IF(B73&gt;=10,"Severe deficit","Extreme deficit")))))</f>
        <v>Normal</v>
      </c>
    </row>
    <row r="76" spans="1:5" ht="26" x14ac:dyDescent="0.35">
      <c r="A76" s="20" t="s">
        <v>746</v>
      </c>
      <c r="B76" s="77">
        <v>3</v>
      </c>
    </row>
    <row r="77" spans="1:5" ht="26" x14ac:dyDescent="0.35">
      <c r="A77" s="21" t="s">
        <v>747</v>
      </c>
      <c r="B77" s="21" t="str">
        <f>B17</f>
        <v>Above normal (Average)</v>
      </c>
    </row>
    <row r="78" spans="1:5" ht="26" x14ac:dyDescent="0.35">
      <c r="A78" s="21" t="s">
        <v>748</v>
      </c>
      <c r="B78" s="21" t="str">
        <f>IF(OR(B76="",B77=""),"",IF(ISNA(MATCH(B77,$A$11:$A$13,0)),"Tie/ no data — discuss",IF(4-MATCH(B77,$A$11:$A$13,0)=B76,"Agree — issue one joint message",IF(ABS(4-MATCH(B77,$A$11:$A$13,0)-B76)=1,"Differ by one class — explain both views in the advisory","Opposite — take to the integration session and run the residual-risk check"))))</f>
        <v>Agree — issue one joint message</v>
      </c>
    </row>
    <row r="79" spans="1:5" ht="26" x14ac:dyDescent="0.35">
      <c r="A79" s="21" t="s">
        <v>749</v>
      </c>
      <c r="B79" s="21">
        <f>COUNTIFS('Sheet 1 - Indicator Log'!$CE$12:$CE$500,"Counted*",'Sheet 1 - Indicator Log'!$DK$12:$DK$500,"Agrees")</f>
        <v>4</v>
      </c>
      <c r="C79" s="21">
        <f>COUNTIFS('Sheet 1 - Indicator Log'!$CE$12:$CE$500,"Counted*",'Sheet 1 - Indicator Log'!$DK$12:$DK$500,"Differs by one class")</f>
        <v>2</v>
      </c>
      <c r="D79" s="21">
        <f>COUNTIFS('Sheet 1 - Indicator Log'!$CE$12:$CE$500,"Counted*",'Sheet 1 - Indicator Log'!$DK$12:$DK$500,"Opposite")</f>
        <v>2</v>
      </c>
    </row>
    <row r="81" spans="1:2" ht="26" x14ac:dyDescent="0.35">
      <c r="A81" s="20" t="s">
        <v>750</v>
      </c>
    </row>
    <row r="82" spans="1:2" x14ac:dyDescent="0.35">
      <c r="A82" s="21" t="s">
        <v>751</v>
      </c>
      <c r="B82" s="78">
        <v>0.5</v>
      </c>
    </row>
    <row r="83" spans="1:2" x14ac:dyDescent="0.35">
      <c r="A83" s="21" t="s">
        <v>752</v>
      </c>
      <c r="B83" s="77">
        <v>50</v>
      </c>
    </row>
    <row r="84" spans="1:2" x14ac:dyDescent="0.35">
      <c r="A84" s="20" t="s">
        <v>753</v>
      </c>
      <c r="B84" s="21" t="str">
        <f>IF(D14=0,"",IF(AND(E13&gt;=B82,N(B64)&gt;=B83),"ACTIVATE — drought/ dry-spell early actions",IF(E13&gt;=B82-0.15,"READINESS — prepare drought actions","No drought trigger")))</f>
        <v>No drought trigger</v>
      </c>
    </row>
    <row r="85" spans="1:2" ht="39" x14ac:dyDescent="0.35">
      <c r="A85" s="20" t="s">
        <v>754</v>
      </c>
      <c r="B85" s="21" t="str">
        <f>IF(D14=0,"",IF(AND(E11&gt;=B82,N(B64)&gt;=B83),"ACTIVATE — flood/ excess-rain early actions",IF(E11&gt;=B82-0.15,"READINESS — prepare flood actions","No flood trigger")))</f>
        <v>ACTIVATE — flood/ excess-rain early actions</v>
      </c>
    </row>
    <row r="86" spans="1:2" ht="39" x14ac:dyDescent="0.35">
      <c r="A86" s="21" t="s">
        <v>755</v>
      </c>
      <c r="B86" s="21" t="str">
        <f>IF(OR(B76="",B84=""),"",IF(AND(B76=1,LEFT(B84,8)="ACTIVATE"),"Yes — drought trigger backed by KMD/ KMSA",IF(AND(B76=3,LEFT(B85,8)="ACTIVATE"),"Yes — flood trigger backed by KMD/ KMSA","Not jointly backed — confirm at integration session")))</f>
        <v>Yes — flood trigger backed by KMD/ KMSA</v>
      </c>
    </row>
    <row r="87" spans="1:2" x14ac:dyDescent="0.35">
      <c r="A87" s="21" t="s">
        <v>756</v>
      </c>
      <c r="B87" s="21" t="str">
        <f>IF(B71="","",IF(B71&lt;=33,"ACTIVATE — pasture/ fodder and water early actions","No vegetation trigger"))</f>
        <v>No vegetation trigger</v>
      </c>
    </row>
    <row r="89" spans="1:2" x14ac:dyDescent="0.35">
      <c r="A89" s="20" t="s">
        <v>757</v>
      </c>
    </row>
    <row r="90" spans="1:2" x14ac:dyDescent="0.35">
      <c r="A90" s="21" t="s">
        <v>758</v>
      </c>
      <c r="B90" s="21">
        <f>COUNTIFS('Sheet 1 - Indicator Log'!$AI$12:$AI$500,$B$3,'Sheet 1 - Indicator Log'!$AM$12:$AM$500,$B$4,'Sheet 1 - Indicator Log'!$DA$12:$DA$500,1)</f>
        <v>3</v>
      </c>
    </row>
    <row r="91" spans="1:2" x14ac:dyDescent="0.35">
      <c r="A91" s="21" t="s">
        <v>759</v>
      </c>
      <c r="B91" s="79">
        <f>SUMIFS('Sheet 1 - Indicator Log'!$DD$12:$DD$500,'Sheet 1 - Indicator Log'!$AI$12:$AI$500,$B$3,'Sheet 1 - Indicator Log'!$AM$12:$AM$500,$B$4,'Sheet 1 - Indicator Log'!$DA$12:$DA$500,1)</f>
        <v>2350</v>
      </c>
    </row>
    <row r="92" spans="1:2" x14ac:dyDescent="0.35">
      <c r="A92" s="21" t="s">
        <v>760</v>
      </c>
      <c r="B92" s="79">
        <f>SUMIFS('Sheet 1 - Indicator Log'!$DE$12:$DE$500,'Sheet 1 - Indicator Log'!$AI$12:$AI$500,$B$3,'Sheet 1 - Indicator Log'!$AM$12:$AM$500,$B$4,'Sheet 1 - Indicator Log'!$DA$12:$DA$500,1)</f>
        <v>1070</v>
      </c>
    </row>
    <row r="93" spans="1:2" x14ac:dyDescent="0.35">
      <c r="A93" s="21" t="s">
        <v>761</v>
      </c>
      <c r="B93" s="76">
        <f>IFERROR(B92/B91,"")</f>
        <v>0.4553191489361702</v>
      </c>
    </row>
    <row r="94" spans="1:2" x14ac:dyDescent="0.35">
      <c r="A94" s="21" t="s">
        <v>762</v>
      </c>
      <c r="B94" s="76">
        <f>IFERROR(AVERAGEIFS('Sheet 1 - Indicator Log'!$DF$12:$DF$500,'Sheet 1 - Indicator Log'!$AI$12:$AI$500,$B$3,'Sheet 1 - Indicator Log'!$AM$12:$AM$500,$B$4,'Sheet 1 - Indicator Log'!$DA$12:$DA$500,1)/100,"")</f>
        <v>0.81666666666666676</v>
      </c>
    </row>
    <row r="95" spans="1:2" x14ac:dyDescent="0.35">
      <c r="A95" s="21" t="s">
        <v>763</v>
      </c>
      <c r="B95" s="76">
        <f>IFERROR(AVERAGEIFS('Sheet 1 - Indicator Log'!$DG$12:$DG$500,'Sheet 1 - Indicator Log'!$AI$12:$AI$500,$B$3,'Sheet 1 - Indicator Log'!$AM$12:$AM$500,$B$4,'Sheet 1 - Indicator Log'!$DA$12:$DA$500,1)/100,"")</f>
        <v>0.55000000000000004</v>
      </c>
    </row>
    <row r="96" spans="1:2" x14ac:dyDescent="0.35">
      <c r="A96" s="21" t="s">
        <v>764</v>
      </c>
      <c r="B96" s="80">
        <f>IFERROR(ROUND(AVERAGEIFS('Sheet 1 - Indicator Log'!$DH$12:$DH$500,'Sheet 1 - Indicator Log'!$AI$12:$AI$500,$B$3,'Sheet 1 - Indicator Log'!$AM$12:$AM$500,$B$4,'Sheet 1 - Indicator Log'!$DA$12:$DA$500,1),0),"")</f>
        <v>11</v>
      </c>
    </row>
    <row r="97" spans="1:6" x14ac:dyDescent="0.35">
      <c r="A97" s="21" t="s">
        <v>765</v>
      </c>
      <c r="B97" s="21">
        <f>COUNTIFS('Sheet 1 - Indicator Log'!$AI$12:$AI$500,$B$3,'Sheet 1 - Indicator Log'!$AM$12:$AM$500,$B$4,'Sheet 1 - Indicator Log'!$DA$12:$DA$500,1,'Sheet 1 - Indicator Log'!$DH$12:$DH$500,"&lt;0")</f>
        <v>0</v>
      </c>
    </row>
    <row r="99" spans="1:6" x14ac:dyDescent="0.35">
      <c r="A99" s="20" t="s">
        <v>766</v>
      </c>
    </row>
    <row r="100" spans="1:6" ht="26" x14ac:dyDescent="0.35">
      <c r="A100" s="21" t="s">
        <v>767</v>
      </c>
      <c r="B100" s="21">
        <f>COUNTIFS('Sheet 1 - Indicator Log'!$AI$12:$AI$500,$B$3,'Sheet 1 - Indicator Log'!$AM$12:$AM$500,$B$4,'Sheet 1 - Indicator Log'!$DM$12:$DM$500,1)</f>
        <v>1</v>
      </c>
    </row>
    <row r="101" spans="1:6" x14ac:dyDescent="0.35">
      <c r="A101" s="21" t="s">
        <v>768</v>
      </c>
      <c r="B101" s="21">
        <f>COUNTIFS('Sheet 1 - Indicator Log'!$AI$12:$AI$500,$B$3,'Sheet 1 - Indicator Log'!$AM$12:$AM$500,$B$4,'Sheet 1 - Indicator Log'!$DM$12:$DM$500,1,'Sheet 1 - Indicator Log'!$DO$12:$DO$500,1)</f>
        <v>1</v>
      </c>
    </row>
    <row r="102" spans="1:6" ht="26" x14ac:dyDescent="0.35">
      <c r="A102" s="21" t="s">
        <v>769</v>
      </c>
      <c r="B102" s="21">
        <f>B100-B101</f>
        <v>0</v>
      </c>
    </row>
    <row r="103" spans="1:6" x14ac:dyDescent="0.35">
      <c r="A103" s="21" t="s">
        <v>770</v>
      </c>
      <c r="B103" s="21">
        <f>COUNTIFS('Sheet 1 - Indicator Log'!$AI$12:$AI$500,$B$3,'Sheet 1 - Indicator Log'!$AM$12:$AM$500,$B$4,'Sheet 1 - Indicator Log'!$CP$12:$CP$500,"STRONG*")</f>
        <v>3</v>
      </c>
    </row>
    <row r="104" spans="1:6" x14ac:dyDescent="0.35">
      <c r="A104" s="21" t="s">
        <v>771</v>
      </c>
      <c r="B104" s="21">
        <f>COUNTIFS('Sheet 1 - Indicator Log'!$AI$12:$AI$500,$B$3,'Sheet 1 - Indicator Log'!$AM$12:$AM$500,$B$4,'Sheet 1 - Indicator Log'!$CP$12:$CP$500,"Watch*")</f>
        <v>3</v>
      </c>
    </row>
    <row r="106" spans="1:6" ht="15" customHeight="1" x14ac:dyDescent="0.35">
      <c r="A106" s="115" t="s">
        <v>772</v>
      </c>
      <c r="B106" s="115"/>
      <c r="C106" s="115"/>
      <c r="D106" s="115"/>
      <c r="E106" s="115"/>
      <c r="F106" s="115"/>
    </row>
    <row r="107" spans="1:6" x14ac:dyDescent="0.35">
      <c r="A107" s="115"/>
      <c r="B107" s="115"/>
      <c r="C107" s="115"/>
      <c r="D107" s="115"/>
      <c r="E107" s="115"/>
      <c r="F107" s="115"/>
    </row>
    <row r="108" spans="1:6" x14ac:dyDescent="0.35">
      <c r="A108" s="115"/>
      <c r="B108" s="115"/>
      <c r="C108" s="115"/>
      <c r="D108" s="115"/>
      <c r="E108" s="115"/>
      <c r="F108" s="115"/>
    </row>
    <row r="109" spans="1:6" x14ac:dyDescent="0.35">
      <c r="A109" s="115"/>
      <c r="B109" s="115"/>
      <c r="C109" s="115"/>
      <c r="D109" s="115"/>
      <c r="E109" s="115"/>
      <c r="F109" s="115"/>
    </row>
  </sheetData>
  <mergeCells count="5">
    <mergeCell ref="A1:F1"/>
    <mergeCell ref="A7:F8"/>
    <mergeCell ref="A32:F35"/>
    <mergeCell ref="A52:F54"/>
    <mergeCell ref="A106:F109"/>
  </mergeCells>
  <dataValidations count="1">
    <dataValidation type="list" sqref="B5" xr:uid="{00000000-0002-0000-0300-000000000000}">
      <formula1>"1,0"</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7"/>
  <sheetViews>
    <sheetView zoomScaleNormal="100" workbookViewId="0"/>
  </sheetViews>
  <sheetFormatPr defaultColWidth="8.6328125" defaultRowHeight="14.5" x14ac:dyDescent="0.35"/>
  <cols>
    <col min="1" max="1" width="12" customWidth="1"/>
    <col min="2" max="2" width="34" customWidth="1"/>
    <col min="3" max="15" width="8" customWidth="1"/>
  </cols>
  <sheetData>
    <row r="1" spans="1:15" ht="18.5" x14ac:dyDescent="0.35">
      <c r="A1" s="81" t="s">
        <v>773</v>
      </c>
    </row>
    <row r="2" spans="1:15" ht="45" customHeight="1" x14ac:dyDescent="0.35">
      <c r="A2" s="115" t="s">
        <v>774</v>
      </c>
      <c r="B2" s="115"/>
      <c r="C2" s="115"/>
      <c r="D2" s="115"/>
      <c r="E2" s="115"/>
      <c r="F2" s="115"/>
      <c r="G2" s="115"/>
      <c r="H2" s="115"/>
      <c r="I2" s="115"/>
      <c r="J2" s="115"/>
      <c r="K2" s="115"/>
      <c r="L2" s="115"/>
      <c r="M2" s="115"/>
      <c r="N2" s="115"/>
      <c r="O2" s="115"/>
    </row>
    <row r="4" spans="1:15" x14ac:dyDescent="0.35">
      <c r="A4" s="20" t="s">
        <v>775</v>
      </c>
      <c r="B4" s="77" t="str">
        <f>'Seasonal Tercile Tally'!B3</f>
        <v>Mutirithia (DEMO)</v>
      </c>
      <c r="C4" s="82" t="s">
        <v>776</v>
      </c>
    </row>
    <row r="6" spans="1:15" x14ac:dyDescent="0.35">
      <c r="A6" s="83" t="s">
        <v>777</v>
      </c>
    </row>
    <row r="7" spans="1:15" x14ac:dyDescent="0.35">
      <c r="A7" s="25" t="s">
        <v>778</v>
      </c>
      <c r="B7" s="25" t="s">
        <v>779</v>
      </c>
      <c r="C7" s="25" t="s">
        <v>780</v>
      </c>
      <c r="D7" s="25" t="s">
        <v>781</v>
      </c>
      <c r="E7" s="25" t="s">
        <v>782</v>
      </c>
      <c r="F7" s="25" t="s">
        <v>783</v>
      </c>
      <c r="G7" s="25" t="s">
        <v>784</v>
      </c>
      <c r="H7" s="25" t="s">
        <v>785</v>
      </c>
      <c r="I7" s="25" t="s">
        <v>786</v>
      </c>
      <c r="J7" s="25" t="s">
        <v>787</v>
      </c>
      <c r="K7" s="25" t="s">
        <v>788</v>
      </c>
      <c r="L7" s="25" t="s">
        <v>789</v>
      </c>
      <c r="M7" s="25" t="s">
        <v>790</v>
      </c>
      <c r="N7" s="25" t="s">
        <v>791</v>
      </c>
      <c r="O7" s="25" t="s">
        <v>695</v>
      </c>
    </row>
    <row r="8" spans="1:15" x14ac:dyDescent="0.35">
      <c r="B8" s="84" t="s">
        <v>792</v>
      </c>
      <c r="C8" s="85">
        <v>1</v>
      </c>
      <c r="D8" s="85">
        <v>2</v>
      </c>
      <c r="E8" s="85">
        <v>3</v>
      </c>
      <c r="F8" s="85">
        <v>4</v>
      </c>
      <c r="G8" s="85">
        <v>5</v>
      </c>
      <c r="H8" s="85">
        <v>6</v>
      </c>
      <c r="I8" s="85">
        <v>7</v>
      </c>
      <c r="J8" s="85">
        <v>8</v>
      </c>
      <c r="K8" s="85">
        <v>9</v>
      </c>
      <c r="L8" s="85">
        <v>10</v>
      </c>
      <c r="M8" s="85">
        <v>11</v>
      </c>
      <c r="N8" s="85">
        <v>12</v>
      </c>
    </row>
    <row r="9" spans="1:15" x14ac:dyDescent="0.35">
      <c r="A9" s="21" t="s">
        <v>793</v>
      </c>
      <c r="B9" s="21" t="s">
        <v>794</v>
      </c>
      <c r="C9" s="86">
        <f>SUMPRODUCT(('Sheet 1 - Indicator Log'!$AI$12:$AI$500=$B$4)*(LEFT('Sheet 1 - Indicator Log'!$AH$12:$AH$500,6)=$A9)*('Sheet 1 - Indicator Log'!$CL$12:$CL$500=C$8))</f>
        <v>0</v>
      </c>
      <c r="D9" s="86">
        <f>SUMPRODUCT(('Sheet 1 - Indicator Log'!$AI$12:$AI$500=$B$4)*(LEFT('Sheet 1 - Indicator Log'!$AH$12:$AH$500,6)=$A9)*('Sheet 1 - Indicator Log'!$CL$12:$CL$500=D$8))</f>
        <v>0</v>
      </c>
      <c r="E9" s="86">
        <f>SUMPRODUCT(('Sheet 1 - Indicator Log'!$AI$12:$AI$500=$B$4)*(LEFT('Sheet 1 - Indicator Log'!$AH$12:$AH$500,6)=$A9)*('Sheet 1 - Indicator Log'!$CL$12:$CL$500=E$8))</f>
        <v>0</v>
      </c>
      <c r="F9" s="86">
        <f>SUMPRODUCT(('Sheet 1 - Indicator Log'!$AI$12:$AI$500=$B$4)*(LEFT('Sheet 1 - Indicator Log'!$AH$12:$AH$500,6)=$A9)*('Sheet 1 - Indicator Log'!$CL$12:$CL$500=F$8))</f>
        <v>0</v>
      </c>
      <c r="G9" s="86">
        <f>SUMPRODUCT(('Sheet 1 - Indicator Log'!$AI$12:$AI$500=$B$4)*(LEFT('Sheet 1 - Indicator Log'!$AH$12:$AH$500,6)=$A9)*('Sheet 1 - Indicator Log'!$CL$12:$CL$500=G$8))</f>
        <v>0</v>
      </c>
      <c r="H9" s="86">
        <f>SUMPRODUCT(('Sheet 1 - Indicator Log'!$AI$12:$AI$500=$B$4)*(LEFT('Sheet 1 - Indicator Log'!$AH$12:$AH$500,6)=$A9)*('Sheet 1 - Indicator Log'!$CL$12:$CL$500=H$8))</f>
        <v>0</v>
      </c>
      <c r="I9" s="86">
        <f>SUMPRODUCT(('Sheet 1 - Indicator Log'!$AI$12:$AI$500=$B$4)*(LEFT('Sheet 1 - Indicator Log'!$AH$12:$AH$500,6)=$A9)*('Sheet 1 - Indicator Log'!$CL$12:$CL$500=I$8))</f>
        <v>0</v>
      </c>
      <c r="J9" s="86">
        <f>SUMPRODUCT(('Sheet 1 - Indicator Log'!$AI$12:$AI$500=$B$4)*(LEFT('Sheet 1 - Indicator Log'!$AH$12:$AH$500,6)=$A9)*('Sheet 1 - Indicator Log'!$CL$12:$CL$500=J$8))</f>
        <v>0</v>
      </c>
      <c r="K9" s="86">
        <f>SUMPRODUCT(('Sheet 1 - Indicator Log'!$AI$12:$AI$500=$B$4)*(LEFT('Sheet 1 - Indicator Log'!$AH$12:$AH$500,6)=$A9)*('Sheet 1 - Indicator Log'!$CL$12:$CL$500=K$8))</f>
        <v>0</v>
      </c>
      <c r="L9" s="86">
        <f>SUMPRODUCT(('Sheet 1 - Indicator Log'!$AI$12:$AI$500=$B$4)*(LEFT('Sheet 1 - Indicator Log'!$AH$12:$AH$500,6)=$A9)*('Sheet 1 - Indicator Log'!$CL$12:$CL$500=L$8))</f>
        <v>1</v>
      </c>
      <c r="M9" s="86">
        <f>SUMPRODUCT(('Sheet 1 - Indicator Log'!$AI$12:$AI$500=$B$4)*(LEFT('Sheet 1 - Indicator Log'!$AH$12:$AH$500,6)=$A9)*('Sheet 1 - Indicator Log'!$CL$12:$CL$500=M$8))</f>
        <v>1</v>
      </c>
      <c r="N9" s="86">
        <f>SUMPRODUCT(('Sheet 1 - Indicator Log'!$AI$12:$AI$500=$B$4)*(LEFT('Sheet 1 - Indicator Log'!$AH$12:$AH$500,6)=$A9)*('Sheet 1 - Indicator Log'!$CL$12:$CL$500=N$8))</f>
        <v>0</v>
      </c>
      <c r="O9" s="87">
        <f t="shared" ref="O9:O15" si="0">SUM(C9:N9)</f>
        <v>2</v>
      </c>
    </row>
    <row r="10" spans="1:15" x14ac:dyDescent="0.35">
      <c r="A10" s="21" t="s">
        <v>795</v>
      </c>
      <c r="B10" s="21" t="s">
        <v>796</v>
      </c>
      <c r="C10" s="86">
        <f>SUMPRODUCT(('Sheet 1 - Indicator Log'!$AI$12:$AI$500=$B$4)*(LEFT('Sheet 1 - Indicator Log'!$AH$12:$AH$500,6)=$A10)*('Sheet 1 - Indicator Log'!$CL$12:$CL$500=C$8))</f>
        <v>0</v>
      </c>
      <c r="D10" s="86">
        <f>SUMPRODUCT(('Sheet 1 - Indicator Log'!$AI$12:$AI$500=$B$4)*(LEFT('Sheet 1 - Indicator Log'!$AH$12:$AH$500,6)=$A10)*('Sheet 1 - Indicator Log'!$CL$12:$CL$500=D$8))</f>
        <v>0</v>
      </c>
      <c r="E10" s="86">
        <f>SUMPRODUCT(('Sheet 1 - Indicator Log'!$AI$12:$AI$500=$B$4)*(LEFT('Sheet 1 - Indicator Log'!$AH$12:$AH$500,6)=$A10)*('Sheet 1 - Indicator Log'!$CL$12:$CL$500=E$8))</f>
        <v>0</v>
      </c>
      <c r="F10" s="86">
        <f>SUMPRODUCT(('Sheet 1 - Indicator Log'!$AI$12:$AI$500=$B$4)*(LEFT('Sheet 1 - Indicator Log'!$AH$12:$AH$500,6)=$A10)*('Sheet 1 - Indicator Log'!$CL$12:$CL$500=F$8))</f>
        <v>0</v>
      </c>
      <c r="G10" s="86">
        <f>SUMPRODUCT(('Sheet 1 - Indicator Log'!$AI$12:$AI$500=$B$4)*(LEFT('Sheet 1 - Indicator Log'!$AH$12:$AH$500,6)=$A10)*('Sheet 1 - Indicator Log'!$CL$12:$CL$500=G$8))</f>
        <v>0</v>
      </c>
      <c r="H10" s="86">
        <f>SUMPRODUCT(('Sheet 1 - Indicator Log'!$AI$12:$AI$500=$B$4)*(LEFT('Sheet 1 - Indicator Log'!$AH$12:$AH$500,6)=$A10)*('Sheet 1 - Indicator Log'!$CL$12:$CL$500=H$8))</f>
        <v>0</v>
      </c>
      <c r="I10" s="86">
        <f>SUMPRODUCT(('Sheet 1 - Indicator Log'!$AI$12:$AI$500=$B$4)*(LEFT('Sheet 1 - Indicator Log'!$AH$12:$AH$500,6)=$A10)*('Sheet 1 - Indicator Log'!$CL$12:$CL$500=I$8))</f>
        <v>0</v>
      </c>
      <c r="J10" s="86">
        <f>SUMPRODUCT(('Sheet 1 - Indicator Log'!$AI$12:$AI$500=$B$4)*(LEFT('Sheet 1 - Indicator Log'!$AH$12:$AH$500,6)=$A10)*('Sheet 1 - Indicator Log'!$CL$12:$CL$500=J$8))</f>
        <v>0</v>
      </c>
      <c r="K10" s="86">
        <f>SUMPRODUCT(('Sheet 1 - Indicator Log'!$AI$12:$AI$500=$B$4)*(LEFT('Sheet 1 - Indicator Log'!$AH$12:$AH$500,6)=$A10)*('Sheet 1 - Indicator Log'!$CL$12:$CL$500=K$8))</f>
        <v>0</v>
      </c>
      <c r="L10" s="86">
        <f>SUMPRODUCT(('Sheet 1 - Indicator Log'!$AI$12:$AI$500=$B$4)*(LEFT('Sheet 1 - Indicator Log'!$AH$12:$AH$500,6)=$A10)*('Sheet 1 - Indicator Log'!$CL$12:$CL$500=L$8))</f>
        <v>2</v>
      </c>
      <c r="M10" s="86">
        <f>SUMPRODUCT(('Sheet 1 - Indicator Log'!$AI$12:$AI$500=$B$4)*(LEFT('Sheet 1 - Indicator Log'!$AH$12:$AH$500,6)=$A10)*('Sheet 1 - Indicator Log'!$CL$12:$CL$500=M$8))</f>
        <v>0</v>
      </c>
      <c r="N10" s="86">
        <f>SUMPRODUCT(('Sheet 1 - Indicator Log'!$AI$12:$AI$500=$B$4)*(LEFT('Sheet 1 - Indicator Log'!$AH$12:$AH$500,6)=$A10)*('Sheet 1 - Indicator Log'!$CL$12:$CL$500=N$8))</f>
        <v>0</v>
      </c>
      <c r="O10" s="87">
        <f t="shared" si="0"/>
        <v>2</v>
      </c>
    </row>
    <row r="11" spans="1:15" x14ac:dyDescent="0.35">
      <c r="A11" s="21" t="s">
        <v>797</v>
      </c>
      <c r="B11" s="21" t="s">
        <v>798</v>
      </c>
      <c r="C11" s="86">
        <f>SUMPRODUCT(('Sheet 1 - Indicator Log'!$AI$12:$AI$500=$B$4)*(LEFT('Sheet 1 - Indicator Log'!$AH$12:$AH$500,6)=$A11)*('Sheet 1 - Indicator Log'!$CL$12:$CL$500=C$8))</f>
        <v>0</v>
      </c>
      <c r="D11" s="86">
        <f>SUMPRODUCT(('Sheet 1 - Indicator Log'!$AI$12:$AI$500=$B$4)*(LEFT('Sheet 1 - Indicator Log'!$AH$12:$AH$500,6)=$A11)*('Sheet 1 - Indicator Log'!$CL$12:$CL$500=D$8))</f>
        <v>0</v>
      </c>
      <c r="E11" s="86">
        <f>SUMPRODUCT(('Sheet 1 - Indicator Log'!$AI$12:$AI$500=$B$4)*(LEFT('Sheet 1 - Indicator Log'!$AH$12:$AH$500,6)=$A11)*('Sheet 1 - Indicator Log'!$CL$12:$CL$500=E$8))</f>
        <v>0</v>
      </c>
      <c r="F11" s="86">
        <f>SUMPRODUCT(('Sheet 1 - Indicator Log'!$AI$12:$AI$500=$B$4)*(LEFT('Sheet 1 - Indicator Log'!$AH$12:$AH$500,6)=$A11)*('Sheet 1 - Indicator Log'!$CL$12:$CL$500=F$8))</f>
        <v>0</v>
      </c>
      <c r="G11" s="86">
        <f>SUMPRODUCT(('Sheet 1 - Indicator Log'!$AI$12:$AI$500=$B$4)*(LEFT('Sheet 1 - Indicator Log'!$AH$12:$AH$500,6)=$A11)*('Sheet 1 - Indicator Log'!$CL$12:$CL$500=G$8))</f>
        <v>0</v>
      </c>
      <c r="H11" s="86">
        <f>SUMPRODUCT(('Sheet 1 - Indicator Log'!$AI$12:$AI$500=$B$4)*(LEFT('Sheet 1 - Indicator Log'!$AH$12:$AH$500,6)=$A11)*('Sheet 1 - Indicator Log'!$CL$12:$CL$500=H$8))</f>
        <v>0</v>
      </c>
      <c r="I11" s="86">
        <f>SUMPRODUCT(('Sheet 1 - Indicator Log'!$AI$12:$AI$500=$B$4)*(LEFT('Sheet 1 - Indicator Log'!$AH$12:$AH$500,6)=$A11)*('Sheet 1 - Indicator Log'!$CL$12:$CL$500=I$8))</f>
        <v>0</v>
      </c>
      <c r="J11" s="86">
        <f>SUMPRODUCT(('Sheet 1 - Indicator Log'!$AI$12:$AI$500=$B$4)*(LEFT('Sheet 1 - Indicator Log'!$AH$12:$AH$500,6)=$A11)*('Sheet 1 - Indicator Log'!$CL$12:$CL$500=J$8))</f>
        <v>0</v>
      </c>
      <c r="K11" s="86">
        <f>SUMPRODUCT(('Sheet 1 - Indicator Log'!$AI$12:$AI$500=$B$4)*(LEFT('Sheet 1 - Indicator Log'!$AH$12:$AH$500,6)=$A11)*('Sheet 1 - Indicator Log'!$CL$12:$CL$500=K$8))</f>
        <v>0</v>
      </c>
      <c r="L11" s="86">
        <f>SUMPRODUCT(('Sheet 1 - Indicator Log'!$AI$12:$AI$500=$B$4)*(LEFT('Sheet 1 - Indicator Log'!$AH$12:$AH$500,6)=$A11)*('Sheet 1 - Indicator Log'!$CL$12:$CL$500=L$8))</f>
        <v>1</v>
      </c>
      <c r="M11" s="86">
        <f>SUMPRODUCT(('Sheet 1 - Indicator Log'!$AI$12:$AI$500=$B$4)*(LEFT('Sheet 1 - Indicator Log'!$AH$12:$AH$500,6)=$A11)*('Sheet 1 - Indicator Log'!$CL$12:$CL$500=M$8))</f>
        <v>0</v>
      </c>
      <c r="N11" s="86">
        <f>SUMPRODUCT(('Sheet 1 - Indicator Log'!$AI$12:$AI$500=$B$4)*(LEFT('Sheet 1 - Indicator Log'!$AH$12:$AH$500,6)=$A11)*('Sheet 1 - Indicator Log'!$CL$12:$CL$500=N$8))</f>
        <v>0</v>
      </c>
      <c r="O11" s="87">
        <f t="shared" si="0"/>
        <v>1</v>
      </c>
    </row>
    <row r="12" spans="1:15" x14ac:dyDescent="0.35">
      <c r="A12" s="21" t="s">
        <v>799</v>
      </c>
      <c r="B12" s="21" t="s">
        <v>800</v>
      </c>
      <c r="C12" s="86">
        <f>SUMPRODUCT(('Sheet 1 - Indicator Log'!$AI$12:$AI$500=$B$4)*(LEFT('Sheet 1 - Indicator Log'!$AH$12:$AH$500,6)=$A12)*('Sheet 1 - Indicator Log'!$CL$12:$CL$500=C$8))</f>
        <v>0</v>
      </c>
      <c r="D12" s="86">
        <f>SUMPRODUCT(('Sheet 1 - Indicator Log'!$AI$12:$AI$500=$B$4)*(LEFT('Sheet 1 - Indicator Log'!$AH$12:$AH$500,6)=$A12)*('Sheet 1 - Indicator Log'!$CL$12:$CL$500=D$8))</f>
        <v>0</v>
      </c>
      <c r="E12" s="86">
        <f>SUMPRODUCT(('Sheet 1 - Indicator Log'!$AI$12:$AI$500=$B$4)*(LEFT('Sheet 1 - Indicator Log'!$AH$12:$AH$500,6)=$A12)*('Sheet 1 - Indicator Log'!$CL$12:$CL$500=E$8))</f>
        <v>0</v>
      </c>
      <c r="F12" s="86">
        <f>SUMPRODUCT(('Sheet 1 - Indicator Log'!$AI$12:$AI$500=$B$4)*(LEFT('Sheet 1 - Indicator Log'!$AH$12:$AH$500,6)=$A12)*('Sheet 1 - Indicator Log'!$CL$12:$CL$500=F$8))</f>
        <v>0</v>
      </c>
      <c r="G12" s="86">
        <f>SUMPRODUCT(('Sheet 1 - Indicator Log'!$AI$12:$AI$500=$B$4)*(LEFT('Sheet 1 - Indicator Log'!$AH$12:$AH$500,6)=$A12)*('Sheet 1 - Indicator Log'!$CL$12:$CL$500=G$8))</f>
        <v>0</v>
      </c>
      <c r="H12" s="86">
        <f>SUMPRODUCT(('Sheet 1 - Indicator Log'!$AI$12:$AI$500=$B$4)*(LEFT('Sheet 1 - Indicator Log'!$AH$12:$AH$500,6)=$A12)*('Sheet 1 - Indicator Log'!$CL$12:$CL$500=H$8))</f>
        <v>0</v>
      </c>
      <c r="I12" s="86">
        <f>SUMPRODUCT(('Sheet 1 - Indicator Log'!$AI$12:$AI$500=$B$4)*(LEFT('Sheet 1 - Indicator Log'!$AH$12:$AH$500,6)=$A12)*('Sheet 1 - Indicator Log'!$CL$12:$CL$500=I$8))</f>
        <v>0</v>
      </c>
      <c r="J12" s="86">
        <f>SUMPRODUCT(('Sheet 1 - Indicator Log'!$AI$12:$AI$500=$B$4)*(LEFT('Sheet 1 - Indicator Log'!$AH$12:$AH$500,6)=$A12)*('Sheet 1 - Indicator Log'!$CL$12:$CL$500=J$8))</f>
        <v>0</v>
      </c>
      <c r="K12" s="86">
        <f>SUMPRODUCT(('Sheet 1 - Indicator Log'!$AI$12:$AI$500=$B$4)*(LEFT('Sheet 1 - Indicator Log'!$AH$12:$AH$500,6)=$A12)*('Sheet 1 - Indicator Log'!$CL$12:$CL$500=K$8))</f>
        <v>1</v>
      </c>
      <c r="L12" s="86">
        <f>SUMPRODUCT(('Sheet 1 - Indicator Log'!$AI$12:$AI$500=$B$4)*(LEFT('Sheet 1 - Indicator Log'!$AH$12:$AH$500,6)=$A12)*('Sheet 1 - Indicator Log'!$CL$12:$CL$500=L$8))</f>
        <v>0</v>
      </c>
      <c r="M12" s="86">
        <f>SUMPRODUCT(('Sheet 1 - Indicator Log'!$AI$12:$AI$500=$B$4)*(LEFT('Sheet 1 - Indicator Log'!$AH$12:$AH$500,6)=$A12)*('Sheet 1 - Indicator Log'!$CL$12:$CL$500=M$8))</f>
        <v>0</v>
      </c>
      <c r="N12" s="86">
        <f>SUMPRODUCT(('Sheet 1 - Indicator Log'!$AI$12:$AI$500=$B$4)*(LEFT('Sheet 1 - Indicator Log'!$AH$12:$AH$500,6)=$A12)*('Sheet 1 - Indicator Log'!$CL$12:$CL$500=N$8))</f>
        <v>0</v>
      </c>
      <c r="O12" s="87">
        <f t="shared" si="0"/>
        <v>1</v>
      </c>
    </row>
    <row r="13" spans="1:15" x14ac:dyDescent="0.35">
      <c r="A13" s="21" t="s">
        <v>801</v>
      </c>
      <c r="B13" s="21" t="s">
        <v>802</v>
      </c>
      <c r="C13" s="86">
        <f>SUMPRODUCT(('Sheet 1 - Indicator Log'!$AI$12:$AI$500=$B$4)*(LEFT('Sheet 1 - Indicator Log'!$AH$12:$AH$500,6)=$A13)*('Sheet 1 - Indicator Log'!$CL$12:$CL$500=C$8))</f>
        <v>0</v>
      </c>
      <c r="D13" s="86">
        <f>SUMPRODUCT(('Sheet 1 - Indicator Log'!$AI$12:$AI$500=$B$4)*(LEFT('Sheet 1 - Indicator Log'!$AH$12:$AH$500,6)=$A13)*('Sheet 1 - Indicator Log'!$CL$12:$CL$500=D$8))</f>
        <v>0</v>
      </c>
      <c r="E13" s="86">
        <f>SUMPRODUCT(('Sheet 1 - Indicator Log'!$AI$12:$AI$500=$B$4)*(LEFT('Sheet 1 - Indicator Log'!$AH$12:$AH$500,6)=$A13)*('Sheet 1 - Indicator Log'!$CL$12:$CL$500=E$8))</f>
        <v>0</v>
      </c>
      <c r="F13" s="86">
        <f>SUMPRODUCT(('Sheet 1 - Indicator Log'!$AI$12:$AI$500=$B$4)*(LEFT('Sheet 1 - Indicator Log'!$AH$12:$AH$500,6)=$A13)*('Sheet 1 - Indicator Log'!$CL$12:$CL$500=F$8))</f>
        <v>0</v>
      </c>
      <c r="G13" s="86">
        <f>SUMPRODUCT(('Sheet 1 - Indicator Log'!$AI$12:$AI$500=$B$4)*(LEFT('Sheet 1 - Indicator Log'!$AH$12:$AH$500,6)=$A13)*('Sheet 1 - Indicator Log'!$CL$12:$CL$500=G$8))</f>
        <v>0</v>
      </c>
      <c r="H13" s="86">
        <f>SUMPRODUCT(('Sheet 1 - Indicator Log'!$AI$12:$AI$500=$B$4)*(LEFT('Sheet 1 - Indicator Log'!$AH$12:$AH$500,6)=$A13)*('Sheet 1 - Indicator Log'!$CL$12:$CL$500=H$8))</f>
        <v>0</v>
      </c>
      <c r="I13" s="86">
        <f>SUMPRODUCT(('Sheet 1 - Indicator Log'!$AI$12:$AI$500=$B$4)*(LEFT('Sheet 1 - Indicator Log'!$AH$12:$AH$500,6)=$A13)*('Sheet 1 - Indicator Log'!$CL$12:$CL$500=I$8))</f>
        <v>0</v>
      </c>
      <c r="J13" s="86">
        <f>SUMPRODUCT(('Sheet 1 - Indicator Log'!$AI$12:$AI$500=$B$4)*(LEFT('Sheet 1 - Indicator Log'!$AH$12:$AH$500,6)=$A13)*('Sheet 1 - Indicator Log'!$CL$12:$CL$500=J$8))</f>
        <v>2</v>
      </c>
      <c r="K13" s="86">
        <f>SUMPRODUCT(('Sheet 1 - Indicator Log'!$AI$12:$AI$500=$B$4)*(LEFT('Sheet 1 - Indicator Log'!$AH$12:$AH$500,6)=$A13)*('Sheet 1 - Indicator Log'!$CL$12:$CL$500=K$8))</f>
        <v>0</v>
      </c>
      <c r="L13" s="86">
        <f>SUMPRODUCT(('Sheet 1 - Indicator Log'!$AI$12:$AI$500=$B$4)*(LEFT('Sheet 1 - Indicator Log'!$AH$12:$AH$500,6)=$A13)*('Sheet 1 - Indicator Log'!$CL$12:$CL$500=L$8))</f>
        <v>0</v>
      </c>
      <c r="M13" s="86">
        <f>SUMPRODUCT(('Sheet 1 - Indicator Log'!$AI$12:$AI$500=$B$4)*(LEFT('Sheet 1 - Indicator Log'!$AH$12:$AH$500,6)=$A13)*('Sheet 1 - Indicator Log'!$CL$12:$CL$500=M$8))</f>
        <v>0</v>
      </c>
      <c r="N13" s="86">
        <f>SUMPRODUCT(('Sheet 1 - Indicator Log'!$AI$12:$AI$500=$B$4)*(LEFT('Sheet 1 - Indicator Log'!$AH$12:$AH$500,6)=$A13)*('Sheet 1 - Indicator Log'!$CL$12:$CL$500=N$8))</f>
        <v>0</v>
      </c>
      <c r="O13" s="87">
        <f t="shared" si="0"/>
        <v>2</v>
      </c>
    </row>
    <row r="14" spans="1:15" x14ac:dyDescent="0.35">
      <c r="A14" s="21" t="s">
        <v>803</v>
      </c>
      <c r="B14" s="21" t="s">
        <v>804</v>
      </c>
      <c r="C14" s="86">
        <f>SUMPRODUCT(('Sheet 1 - Indicator Log'!$AI$12:$AI$500=$B$4)*(LEFT('Sheet 1 - Indicator Log'!$AH$12:$AH$500,6)=$A14)*('Sheet 1 - Indicator Log'!$CL$12:$CL$500=C$8))</f>
        <v>0</v>
      </c>
      <c r="D14" s="86">
        <f>SUMPRODUCT(('Sheet 1 - Indicator Log'!$AI$12:$AI$500=$B$4)*(LEFT('Sheet 1 - Indicator Log'!$AH$12:$AH$500,6)=$A14)*('Sheet 1 - Indicator Log'!$CL$12:$CL$500=D$8))</f>
        <v>0</v>
      </c>
      <c r="E14" s="86">
        <f>SUMPRODUCT(('Sheet 1 - Indicator Log'!$AI$12:$AI$500=$B$4)*(LEFT('Sheet 1 - Indicator Log'!$AH$12:$AH$500,6)=$A14)*('Sheet 1 - Indicator Log'!$CL$12:$CL$500=E$8))</f>
        <v>0</v>
      </c>
      <c r="F14" s="86">
        <f>SUMPRODUCT(('Sheet 1 - Indicator Log'!$AI$12:$AI$500=$B$4)*(LEFT('Sheet 1 - Indicator Log'!$AH$12:$AH$500,6)=$A14)*('Sheet 1 - Indicator Log'!$CL$12:$CL$500=F$8))</f>
        <v>0</v>
      </c>
      <c r="G14" s="86">
        <f>SUMPRODUCT(('Sheet 1 - Indicator Log'!$AI$12:$AI$500=$B$4)*(LEFT('Sheet 1 - Indicator Log'!$AH$12:$AH$500,6)=$A14)*('Sheet 1 - Indicator Log'!$CL$12:$CL$500=G$8))</f>
        <v>0</v>
      </c>
      <c r="H14" s="86">
        <f>SUMPRODUCT(('Sheet 1 - Indicator Log'!$AI$12:$AI$500=$B$4)*(LEFT('Sheet 1 - Indicator Log'!$AH$12:$AH$500,6)=$A14)*('Sheet 1 - Indicator Log'!$CL$12:$CL$500=H$8))</f>
        <v>0</v>
      </c>
      <c r="I14" s="86">
        <f>SUMPRODUCT(('Sheet 1 - Indicator Log'!$AI$12:$AI$500=$B$4)*(LEFT('Sheet 1 - Indicator Log'!$AH$12:$AH$500,6)=$A14)*('Sheet 1 - Indicator Log'!$CL$12:$CL$500=I$8))</f>
        <v>0</v>
      </c>
      <c r="J14" s="86">
        <f>SUMPRODUCT(('Sheet 1 - Indicator Log'!$AI$12:$AI$500=$B$4)*(LEFT('Sheet 1 - Indicator Log'!$AH$12:$AH$500,6)=$A14)*('Sheet 1 - Indicator Log'!$CL$12:$CL$500=J$8))</f>
        <v>0</v>
      </c>
      <c r="K14" s="86">
        <f>SUMPRODUCT(('Sheet 1 - Indicator Log'!$AI$12:$AI$500=$B$4)*(LEFT('Sheet 1 - Indicator Log'!$AH$12:$AH$500,6)=$A14)*('Sheet 1 - Indicator Log'!$CL$12:$CL$500=K$8))</f>
        <v>0</v>
      </c>
      <c r="L14" s="86">
        <f>SUMPRODUCT(('Sheet 1 - Indicator Log'!$AI$12:$AI$500=$B$4)*(LEFT('Sheet 1 - Indicator Log'!$AH$12:$AH$500,6)=$A14)*('Sheet 1 - Indicator Log'!$CL$12:$CL$500=L$8))</f>
        <v>0</v>
      </c>
      <c r="M14" s="86">
        <f>SUMPRODUCT(('Sheet 1 - Indicator Log'!$AI$12:$AI$500=$B$4)*(LEFT('Sheet 1 - Indicator Log'!$AH$12:$AH$500,6)=$A14)*('Sheet 1 - Indicator Log'!$CL$12:$CL$500=M$8))</f>
        <v>0</v>
      </c>
      <c r="N14" s="86">
        <f>SUMPRODUCT(('Sheet 1 - Indicator Log'!$AI$12:$AI$500=$B$4)*(LEFT('Sheet 1 - Indicator Log'!$AH$12:$AH$500,6)=$A14)*('Sheet 1 - Indicator Log'!$CL$12:$CL$500=N$8))</f>
        <v>0</v>
      </c>
      <c r="O14" s="87">
        <f t="shared" si="0"/>
        <v>0</v>
      </c>
    </row>
    <row r="15" spans="1:15" x14ac:dyDescent="0.35">
      <c r="A15" s="21" t="s">
        <v>805</v>
      </c>
      <c r="B15" s="21" t="s">
        <v>806</v>
      </c>
      <c r="C15" s="86">
        <f>SUMPRODUCT(('Sheet 1 - Indicator Log'!$AI$12:$AI$500=$B$4)*(LEFT('Sheet 1 - Indicator Log'!$AH$12:$AH$500,6)=$A15)*('Sheet 1 - Indicator Log'!$CL$12:$CL$500=C$8))</f>
        <v>0</v>
      </c>
      <c r="D15" s="86">
        <f>SUMPRODUCT(('Sheet 1 - Indicator Log'!$AI$12:$AI$500=$B$4)*(LEFT('Sheet 1 - Indicator Log'!$AH$12:$AH$500,6)=$A15)*('Sheet 1 - Indicator Log'!$CL$12:$CL$500=D$8))</f>
        <v>0</v>
      </c>
      <c r="E15" s="86">
        <f>SUMPRODUCT(('Sheet 1 - Indicator Log'!$AI$12:$AI$500=$B$4)*(LEFT('Sheet 1 - Indicator Log'!$AH$12:$AH$500,6)=$A15)*('Sheet 1 - Indicator Log'!$CL$12:$CL$500=E$8))</f>
        <v>0</v>
      </c>
      <c r="F15" s="86">
        <f>SUMPRODUCT(('Sheet 1 - Indicator Log'!$AI$12:$AI$500=$B$4)*(LEFT('Sheet 1 - Indicator Log'!$AH$12:$AH$500,6)=$A15)*('Sheet 1 - Indicator Log'!$CL$12:$CL$500=F$8))</f>
        <v>0</v>
      </c>
      <c r="G15" s="86">
        <f>SUMPRODUCT(('Sheet 1 - Indicator Log'!$AI$12:$AI$500=$B$4)*(LEFT('Sheet 1 - Indicator Log'!$AH$12:$AH$500,6)=$A15)*('Sheet 1 - Indicator Log'!$CL$12:$CL$500=G$8))</f>
        <v>0</v>
      </c>
      <c r="H15" s="86">
        <f>SUMPRODUCT(('Sheet 1 - Indicator Log'!$AI$12:$AI$500=$B$4)*(LEFT('Sheet 1 - Indicator Log'!$AH$12:$AH$500,6)=$A15)*('Sheet 1 - Indicator Log'!$CL$12:$CL$500=H$8))</f>
        <v>0</v>
      </c>
      <c r="I15" s="86">
        <f>SUMPRODUCT(('Sheet 1 - Indicator Log'!$AI$12:$AI$500=$B$4)*(LEFT('Sheet 1 - Indicator Log'!$AH$12:$AH$500,6)=$A15)*('Sheet 1 - Indicator Log'!$CL$12:$CL$500=I$8))</f>
        <v>0</v>
      </c>
      <c r="J15" s="86">
        <f>SUMPRODUCT(('Sheet 1 - Indicator Log'!$AI$12:$AI$500=$B$4)*(LEFT('Sheet 1 - Indicator Log'!$AH$12:$AH$500,6)=$A15)*('Sheet 1 - Indicator Log'!$CL$12:$CL$500=J$8))</f>
        <v>0</v>
      </c>
      <c r="K15" s="86">
        <f>SUMPRODUCT(('Sheet 1 - Indicator Log'!$AI$12:$AI$500=$B$4)*(LEFT('Sheet 1 - Indicator Log'!$AH$12:$AH$500,6)=$A15)*('Sheet 1 - Indicator Log'!$CL$12:$CL$500=K$8))</f>
        <v>0</v>
      </c>
      <c r="L15" s="86">
        <f>SUMPRODUCT(('Sheet 1 - Indicator Log'!$AI$12:$AI$500=$B$4)*(LEFT('Sheet 1 - Indicator Log'!$AH$12:$AH$500,6)=$A15)*('Sheet 1 - Indicator Log'!$CL$12:$CL$500=L$8))</f>
        <v>1</v>
      </c>
      <c r="M15" s="86">
        <f>SUMPRODUCT(('Sheet 1 - Indicator Log'!$AI$12:$AI$500=$B$4)*(LEFT('Sheet 1 - Indicator Log'!$AH$12:$AH$500,6)=$A15)*('Sheet 1 - Indicator Log'!$CL$12:$CL$500=M$8))</f>
        <v>0</v>
      </c>
      <c r="N15" s="86">
        <f>SUMPRODUCT(('Sheet 1 - Indicator Log'!$AI$12:$AI$500=$B$4)*(LEFT('Sheet 1 - Indicator Log'!$AH$12:$AH$500,6)=$A15)*('Sheet 1 - Indicator Log'!$CL$12:$CL$500=N$8))</f>
        <v>0</v>
      </c>
      <c r="O15" s="87">
        <f t="shared" si="0"/>
        <v>1</v>
      </c>
    </row>
    <row r="16" spans="1:15" x14ac:dyDescent="0.35">
      <c r="B16" s="20" t="s">
        <v>807</v>
      </c>
      <c r="C16" s="87">
        <f t="shared" ref="C16:O16" si="1">SUM(C9:C15)</f>
        <v>0</v>
      </c>
      <c r="D16" s="87">
        <f t="shared" si="1"/>
        <v>0</v>
      </c>
      <c r="E16" s="87">
        <f t="shared" si="1"/>
        <v>0</v>
      </c>
      <c r="F16" s="87">
        <f t="shared" si="1"/>
        <v>0</v>
      </c>
      <c r="G16" s="87">
        <f t="shared" si="1"/>
        <v>0</v>
      </c>
      <c r="H16" s="87">
        <f t="shared" si="1"/>
        <v>0</v>
      </c>
      <c r="I16" s="87">
        <f t="shared" si="1"/>
        <v>0</v>
      </c>
      <c r="J16" s="87">
        <f t="shared" si="1"/>
        <v>2</v>
      </c>
      <c r="K16" s="87">
        <f t="shared" si="1"/>
        <v>1</v>
      </c>
      <c r="L16" s="87">
        <f t="shared" si="1"/>
        <v>5</v>
      </c>
      <c r="M16" s="87">
        <f t="shared" si="1"/>
        <v>1</v>
      </c>
      <c r="N16" s="87">
        <f t="shared" si="1"/>
        <v>0</v>
      </c>
      <c r="O16" s="87">
        <f t="shared" si="1"/>
        <v>9</v>
      </c>
    </row>
    <row r="18" spans="1:15" x14ac:dyDescent="0.35">
      <c r="A18" s="83" t="s">
        <v>808</v>
      </c>
    </row>
    <row r="19" spans="1:15" x14ac:dyDescent="0.35">
      <c r="A19" s="25" t="s">
        <v>778</v>
      </c>
      <c r="B19" s="25" t="s">
        <v>779</v>
      </c>
      <c r="C19" s="25" t="s">
        <v>780</v>
      </c>
      <c r="D19" s="25" t="s">
        <v>781</v>
      </c>
      <c r="E19" s="25" t="s">
        <v>782</v>
      </c>
      <c r="F19" s="25" t="s">
        <v>783</v>
      </c>
      <c r="G19" s="25" t="s">
        <v>784</v>
      </c>
      <c r="H19" s="25" t="s">
        <v>785</v>
      </c>
      <c r="I19" s="25" t="s">
        <v>786</v>
      </c>
      <c r="J19" s="25" t="s">
        <v>787</v>
      </c>
      <c r="K19" s="25" t="s">
        <v>788</v>
      </c>
      <c r="L19" s="25" t="s">
        <v>789</v>
      </c>
      <c r="M19" s="25" t="s">
        <v>790</v>
      </c>
      <c r="N19" s="25" t="s">
        <v>791</v>
      </c>
      <c r="O19" s="25" t="s">
        <v>695</v>
      </c>
    </row>
    <row r="20" spans="1:15" x14ac:dyDescent="0.35">
      <c r="B20" s="84" t="s">
        <v>792</v>
      </c>
      <c r="C20" s="85">
        <v>1</v>
      </c>
      <c r="D20" s="85">
        <v>2</v>
      </c>
      <c r="E20" s="85">
        <v>3</v>
      </c>
      <c r="F20" s="85">
        <v>4</v>
      </c>
      <c r="G20" s="85">
        <v>5</v>
      </c>
      <c r="H20" s="85">
        <v>6</v>
      </c>
      <c r="I20" s="85">
        <v>7</v>
      </c>
      <c r="J20" s="85">
        <v>8</v>
      </c>
      <c r="K20" s="85">
        <v>9</v>
      </c>
      <c r="L20" s="85">
        <v>10</v>
      </c>
      <c r="M20" s="85">
        <v>11</v>
      </c>
      <c r="N20" s="85">
        <v>12</v>
      </c>
    </row>
    <row r="21" spans="1:15" x14ac:dyDescent="0.35">
      <c r="A21" s="21" t="s">
        <v>793</v>
      </c>
      <c r="B21" s="21" t="s">
        <v>794</v>
      </c>
      <c r="C21" s="86">
        <f>SUMPRODUCT(('Sheet 1 - Indicator Log'!$AI$12:$AI$500=$B$4)*(LEFT('Sheet 1 - Indicator Log'!$AH$12:$AH$500,6)=$A21)*('Sheet 1 - Indicator Log'!$CJ$12:$CJ$500=C$20))</f>
        <v>0</v>
      </c>
      <c r="D21" s="86">
        <f>SUMPRODUCT(('Sheet 1 - Indicator Log'!$AI$12:$AI$500=$B$4)*(LEFT('Sheet 1 - Indicator Log'!$AH$12:$AH$500,6)=$A21)*('Sheet 1 - Indicator Log'!$CJ$12:$CJ$500=D$20))</f>
        <v>0</v>
      </c>
      <c r="E21" s="86">
        <f>SUMPRODUCT(('Sheet 1 - Indicator Log'!$AI$12:$AI$500=$B$4)*(LEFT('Sheet 1 - Indicator Log'!$AH$12:$AH$500,6)=$A21)*('Sheet 1 - Indicator Log'!$CJ$12:$CJ$500=E$20))</f>
        <v>0</v>
      </c>
      <c r="F21" s="86">
        <f>SUMPRODUCT(('Sheet 1 - Indicator Log'!$AI$12:$AI$500=$B$4)*(LEFT('Sheet 1 - Indicator Log'!$AH$12:$AH$500,6)=$A21)*('Sheet 1 - Indicator Log'!$CJ$12:$CJ$500=F$20))</f>
        <v>0</v>
      </c>
      <c r="G21" s="86">
        <f>SUMPRODUCT(('Sheet 1 - Indicator Log'!$AI$12:$AI$500=$B$4)*(LEFT('Sheet 1 - Indicator Log'!$AH$12:$AH$500,6)=$A21)*('Sheet 1 - Indicator Log'!$CJ$12:$CJ$500=G$20))</f>
        <v>0</v>
      </c>
      <c r="H21" s="86">
        <f>SUMPRODUCT(('Sheet 1 - Indicator Log'!$AI$12:$AI$500=$B$4)*(LEFT('Sheet 1 - Indicator Log'!$AH$12:$AH$500,6)=$A21)*('Sheet 1 - Indicator Log'!$CJ$12:$CJ$500=H$20))</f>
        <v>0</v>
      </c>
      <c r="I21" s="86">
        <f>SUMPRODUCT(('Sheet 1 - Indicator Log'!$AI$12:$AI$500=$B$4)*(LEFT('Sheet 1 - Indicator Log'!$AH$12:$AH$500,6)=$A21)*('Sheet 1 - Indicator Log'!$CJ$12:$CJ$500=I$20))</f>
        <v>0</v>
      </c>
      <c r="J21" s="86">
        <f>SUMPRODUCT(('Sheet 1 - Indicator Log'!$AI$12:$AI$500=$B$4)*(LEFT('Sheet 1 - Indicator Log'!$AH$12:$AH$500,6)=$A21)*('Sheet 1 - Indicator Log'!$CJ$12:$CJ$500=J$20))</f>
        <v>0</v>
      </c>
      <c r="K21" s="86">
        <f>SUMPRODUCT(('Sheet 1 - Indicator Log'!$AI$12:$AI$500=$B$4)*(LEFT('Sheet 1 - Indicator Log'!$AH$12:$AH$500,6)=$A21)*('Sheet 1 - Indicator Log'!$CJ$12:$CJ$500=K$20))</f>
        <v>1</v>
      </c>
      <c r="L21" s="86">
        <f>SUMPRODUCT(('Sheet 1 - Indicator Log'!$AI$12:$AI$500=$B$4)*(LEFT('Sheet 1 - Indicator Log'!$AH$12:$AH$500,6)=$A21)*('Sheet 1 - Indicator Log'!$CJ$12:$CJ$500=L$20))</f>
        <v>1</v>
      </c>
      <c r="M21" s="86">
        <f>SUMPRODUCT(('Sheet 1 - Indicator Log'!$AI$12:$AI$500=$B$4)*(LEFT('Sheet 1 - Indicator Log'!$AH$12:$AH$500,6)=$A21)*('Sheet 1 - Indicator Log'!$CJ$12:$CJ$500=M$20))</f>
        <v>0</v>
      </c>
      <c r="N21" s="86">
        <f>SUMPRODUCT(('Sheet 1 - Indicator Log'!$AI$12:$AI$500=$B$4)*(LEFT('Sheet 1 - Indicator Log'!$AH$12:$AH$500,6)=$A21)*('Sheet 1 - Indicator Log'!$CJ$12:$CJ$500=N$20))</f>
        <v>0</v>
      </c>
      <c r="O21" s="87">
        <f t="shared" ref="O21:O27" si="2">SUM(C21:N21)</f>
        <v>2</v>
      </c>
    </row>
    <row r="22" spans="1:15" x14ac:dyDescent="0.35">
      <c r="A22" s="21" t="s">
        <v>795</v>
      </c>
      <c r="B22" s="21" t="s">
        <v>796</v>
      </c>
      <c r="C22" s="86">
        <f>SUMPRODUCT(('Sheet 1 - Indicator Log'!$AI$12:$AI$500=$B$4)*(LEFT('Sheet 1 - Indicator Log'!$AH$12:$AH$500,6)=$A22)*('Sheet 1 - Indicator Log'!$CJ$12:$CJ$500=C$20))</f>
        <v>0</v>
      </c>
      <c r="D22" s="86">
        <f>SUMPRODUCT(('Sheet 1 - Indicator Log'!$AI$12:$AI$500=$B$4)*(LEFT('Sheet 1 - Indicator Log'!$AH$12:$AH$500,6)=$A22)*('Sheet 1 - Indicator Log'!$CJ$12:$CJ$500=D$20))</f>
        <v>0</v>
      </c>
      <c r="E22" s="86">
        <f>SUMPRODUCT(('Sheet 1 - Indicator Log'!$AI$12:$AI$500=$B$4)*(LEFT('Sheet 1 - Indicator Log'!$AH$12:$AH$500,6)=$A22)*('Sheet 1 - Indicator Log'!$CJ$12:$CJ$500=E$20))</f>
        <v>0</v>
      </c>
      <c r="F22" s="86">
        <f>SUMPRODUCT(('Sheet 1 - Indicator Log'!$AI$12:$AI$500=$B$4)*(LEFT('Sheet 1 - Indicator Log'!$AH$12:$AH$500,6)=$A22)*('Sheet 1 - Indicator Log'!$CJ$12:$CJ$500=F$20))</f>
        <v>0</v>
      </c>
      <c r="G22" s="86">
        <f>SUMPRODUCT(('Sheet 1 - Indicator Log'!$AI$12:$AI$500=$B$4)*(LEFT('Sheet 1 - Indicator Log'!$AH$12:$AH$500,6)=$A22)*('Sheet 1 - Indicator Log'!$CJ$12:$CJ$500=G$20))</f>
        <v>0</v>
      </c>
      <c r="H22" s="86">
        <f>SUMPRODUCT(('Sheet 1 - Indicator Log'!$AI$12:$AI$500=$B$4)*(LEFT('Sheet 1 - Indicator Log'!$AH$12:$AH$500,6)=$A22)*('Sheet 1 - Indicator Log'!$CJ$12:$CJ$500=H$20))</f>
        <v>0</v>
      </c>
      <c r="I22" s="86">
        <f>SUMPRODUCT(('Sheet 1 - Indicator Log'!$AI$12:$AI$500=$B$4)*(LEFT('Sheet 1 - Indicator Log'!$AH$12:$AH$500,6)=$A22)*('Sheet 1 - Indicator Log'!$CJ$12:$CJ$500=I$20))</f>
        <v>0</v>
      </c>
      <c r="J22" s="86">
        <f>SUMPRODUCT(('Sheet 1 - Indicator Log'!$AI$12:$AI$500=$B$4)*(LEFT('Sheet 1 - Indicator Log'!$AH$12:$AH$500,6)=$A22)*('Sheet 1 - Indicator Log'!$CJ$12:$CJ$500=J$20))</f>
        <v>0</v>
      </c>
      <c r="K22" s="86">
        <f>SUMPRODUCT(('Sheet 1 - Indicator Log'!$AI$12:$AI$500=$B$4)*(LEFT('Sheet 1 - Indicator Log'!$AH$12:$AH$500,6)=$A22)*('Sheet 1 - Indicator Log'!$CJ$12:$CJ$500=K$20))</f>
        <v>0</v>
      </c>
      <c r="L22" s="86">
        <f>SUMPRODUCT(('Sheet 1 - Indicator Log'!$AI$12:$AI$500=$B$4)*(LEFT('Sheet 1 - Indicator Log'!$AH$12:$AH$500,6)=$A22)*('Sheet 1 - Indicator Log'!$CJ$12:$CJ$500=L$20))</f>
        <v>2</v>
      </c>
      <c r="M22" s="86">
        <f>SUMPRODUCT(('Sheet 1 - Indicator Log'!$AI$12:$AI$500=$B$4)*(LEFT('Sheet 1 - Indicator Log'!$AH$12:$AH$500,6)=$A22)*('Sheet 1 - Indicator Log'!$CJ$12:$CJ$500=M$20))</f>
        <v>0</v>
      </c>
      <c r="N22" s="86">
        <f>SUMPRODUCT(('Sheet 1 - Indicator Log'!$AI$12:$AI$500=$B$4)*(LEFT('Sheet 1 - Indicator Log'!$AH$12:$AH$500,6)=$A22)*('Sheet 1 - Indicator Log'!$CJ$12:$CJ$500=N$20))</f>
        <v>0</v>
      </c>
      <c r="O22" s="87">
        <f t="shared" si="2"/>
        <v>2</v>
      </c>
    </row>
    <row r="23" spans="1:15" x14ac:dyDescent="0.35">
      <c r="A23" s="21" t="s">
        <v>797</v>
      </c>
      <c r="B23" s="21" t="s">
        <v>798</v>
      </c>
      <c r="C23" s="86">
        <f>SUMPRODUCT(('Sheet 1 - Indicator Log'!$AI$12:$AI$500=$B$4)*(LEFT('Sheet 1 - Indicator Log'!$AH$12:$AH$500,6)=$A23)*('Sheet 1 - Indicator Log'!$CJ$12:$CJ$500=C$20))</f>
        <v>0</v>
      </c>
      <c r="D23" s="86">
        <f>SUMPRODUCT(('Sheet 1 - Indicator Log'!$AI$12:$AI$500=$B$4)*(LEFT('Sheet 1 - Indicator Log'!$AH$12:$AH$500,6)=$A23)*('Sheet 1 - Indicator Log'!$CJ$12:$CJ$500=D$20))</f>
        <v>0</v>
      </c>
      <c r="E23" s="86">
        <f>SUMPRODUCT(('Sheet 1 - Indicator Log'!$AI$12:$AI$500=$B$4)*(LEFT('Sheet 1 - Indicator Log'!$AH$12:$AH$500,6)=$A23)*('Sheet 1 - Indicator Log'!$CJ$12:$CJ$500=E$20))</f>
        <v>0</v>
      </c>
      <c r="F23" s="86">
        <f>SUMPRODUCT(('Sheet 1 - Indicator Log'!$AI$12:$AI$500=$B$4)*(LEFT('Sheet 1 - Indicator Log'!$AH$12:$AH$500,6)=$A23)*('Sheet 1 - Indicator Log'!$CJ$12:$CJ$500=F$20))</f>
        <v>0</v>
      </c>
      <c r="G23" s="86">
        <f>SUMPRODUCT(('Sheet 1 - Indicator Log'!$AI$12:$AI$500=$B$4)*(LEFT('Sheet 1 - Indicator Log'!$AH$12:$AH$500,6)=$A23)*('Sheet 1 - Indicator Log'!$CJ$12:$CJ$500=G$20))</f>
        <v>0</v>
      </c>
      <c r="H23" s="86">
        <f>SUMPRODUCT(('Sheet 1 - Indicator Log'!$AI$12:$AI$500=$B$4)*(LEFT('Sheet 1 - Indicator Log'!$AH$12:$AH$500,6)=$A23)*('Sheet 1 - Indicator Log'!$CJ$12:$CJ$500=H$20))</f>
        <v>0</v>
      </c>
      <c r="I23" s="86">
        <f>SUMPRODUCT(('Sheet 1 - Indicator Log'!$AI$12:$AI$500=$B$4)*(LEFT('Sheet 1 - Indicator Log'!$AH$12:$AH$500,6)=$A23)*('Sheet 1 - Indicator Log'!$CJ$12:$CJ$500=I$20))</f>
        <v>0</v>
      </c>
      <c r="J23" s="86">
        <f>SUMPRODUCT(('Sheet 1 - Indicator Log'!$AI$12:$AI$500=$B$4)*(LEFT('Sheet 1 - Indicator Log'!$AH$12:$AH$500,6)=$A23)*('Sheet 1 - Indicator Log'!$CJ$12:$CJ$500=J$20))</f>
        <v>0</v>
      </c>
      <c r="K23" s="86">
        <f>SUMPRODUCT(('Sheet 1 - Indicator Log'!$AI$12:$AI$500=$B$4)*(LEFT('Sheet 1 - Indicator Log'!$AH$12:$AH$500,6)=$A23)*('Sheet 1 - Indicator Log'!$CJ$12:$CJ$500=K$20))</f>
        <v>0</v>
      </c>
      <c r="L23" s="86">
        <f>SUMPRODUCT(('Sheet 1 - Indicator Log'!$AI$12:$AI$500=$B$4)*(LEFT('Sheet 1 - Indicator Log'!$AH$12:$AH$500,6)=$A23)*('Sheet 1 - Indicator Log'!$CJ$12:$CJ$500=L$20))</f>
        <v>1</v>
      </c>
      <c r="M23" s="86">
        <f>SUMPRODUCT(('Sheet 1 - Indicator Log'!$AI$12:$AI$500=$B$4)*(LEFT('Sheet 1 - Indicator Log'!$AH$12:$AH$500,6)=$A23)*('Sheet 1 - Indicator Log'!$CJ$12:$CJ$500=M$20))</f>
        <v>0</v>
      </c>
      <c r="N23" s="86">
        <f>SUMPRODUCT(('Sheet 1 - Indicator Log'!$AI$12:$AI$500=$B$4)*(LEFT('Sheet 1 - Indicator Log'!$AH$12:$AH$500,6)=$A23)*('Sheet 1 - Indicator Log'!$CJ$12:$CJ$500=N$20))</f>
        <v>0</v>
      </c>
      <c r="O23" s="87">
        <f t="shared" si="2"/>
        <v>1</v>
      </c>
    </row>
    <row r="24" spans="1:15" x14ac:dyDescent="0.35">
      <c r="A24" s="21" t="s">
        <v>799</v>
      </c>
      <c r="B24" s="21" t="s">
        <v>800</v>
      </c>
      <c r="C24" s="86">
        <f>SUMPRODUCT(('Sheet 1 - Indicator Log'!$AI$12:$AI$500=$B$4)*(LEFT('Sheet 1 - Indicator Log'!$AH$12:$AH$500,6)=$A24)*('Sheet 1 - Indicator Log'!$CJ$12:$CJ$500=C$20))</f>
        <v>0</v>
      </c>
      <c r="D24" s="86">
        <f>SUMPRODUCT(('Sheet 1 - Indicator Log'!$AI$12:$AI$500=$B$4)*(LEFT('Sheet 1 - Indicator Log'!$AH$12:$AH$500,6)=$A24)*('Sheet 1 - Indicator Log'!$CJ$12:$CJ$500=D$20))</f>
        <v>0</v>
      </c>
      <c r="E24" s="86">
        <f>SUMPRODUCT(('Sheet 1 - Indicator Log'!$AI$12:$AI$500=$B$4)*(LEFT('Sheet 1 - Indicator Log'!$AH$12:$AH$500,6)=$A24)*('Sheet 1 - Indicator Log'!$CJ$12:$CJ$500=E$20))</f>
        <v>0</v>
      </c>
      <c r="F24" s="86">
        <f>SUMPRODUCT(('Sheet 1 - Indicator Log'!$AI$12:$AI$500=$B$4)*(LEFT('Sheet 1 - Indicator Log'!$AH$12:$AH$500,6)=$A24)*('Sheet 1 - Indicator Log'!$CJ$12:$CJ$500=F$20))</f>
        <v>0</v>
      </c>
      <c r="G24" s="86">
        <f>SUMPRODUCT(('Sheet 1 - Indicator Log'!$AI$12:$AI$500=$B$4)*(LEFT('Sheet 1 - Indicator Log'!$AH$12:$AH$500,6)=$A24)*('Sheet 1 - Indicator Log'!$CJ$12:$CJ$500=G$20))</f>
        <v>0</v>
      </c>
      <c r="H24" s="86">
        <f>SUMPRODUCT(('Sheet 1 - Indicator Log'!$AI$12:$AI$500=$B$4)*(LEFT('Sheet 1 - Indicator Log'!$AH$12:$AH$500,6)=$A24)*('Sheet 1 - Indicator Log'!$CJ$12:$CJ$500=H$20))</f>
        <v>0</v>
      </c>
      <c r="I24" s="86">
        <f>SUMPRODUCT(('Sheet 1 - Indicator Log'!$AI$12:$AI$500=$B$4)*(LEFT('Sheet 1 - Indicator Log'!$AH$12:$AH$500,6)=$A24)*('Sheet 1 - Indicator Log'!$CJ$12:$CJ$500=I$20))</f>
        <v>0</v>
      </c>
      <c r="J24" s="86">
        <f>SUMPRODUCT(('Sheet 1 - Indicator Log'!$AI$12:$AI$500=$B$4)*(LEFT('Sheet 1 - Indicator Log'!$AH$12:$AH$500,6)=$A24)*('Sheet 1 - Indicator Log'!$CJ$12:$CJ$500=J$20))</f>
        <v>0</v>
      </c>
      <c r="K24" s="86">
        <f>SUMPRODUCT(('Sheet 1 - Indicator Log'!$AI$12:$AI$500=$B$4)*(LEFT('Sheet 1 - Indicator Log'!$AH$12:$AH$500,6)=$A24)*('Sheet 1 - Indicator Log'!$CJ$12:$CJ$500=K$20))</f>
        <v>1</v>
      </c>
      <c r="L24" s="86">
        <f>SUMPRODUCT(('Sheet 1 - Indicator Log'!$AI$12:$AI$500=$B$4)*(LEFT('Sheet 1 - Indicator Log'!$AH$12:$AH$500,6)=$A24)*('Sheet 1 - Indicator Log'!$CJ$12:$CJ$500=L$20))</f>
        <v>0</v>
      </c>
      <c r="M24" s="86">
        <f>SUMPRODUCT(('Sheet 1 - Indicator Log'!$AI$12:$AI$500=$B$4)*(LEFT('Sheet 1 - Indicator Log'!$AH$12:$AH$500,6)=$A24)*('Sheet 1 - Indicator Log'!$CJ$12:$CJ$500=M$20))</f>
        <v>0</v>
      </c>
      <c r="N24" s="86">
        <f>SUMPRODUCT(('Sheet 1 - Indicator Log'!$AI$12:$AI$500=$B$4)*(LEFT('Sheet 1 - Indicator Log'!$AH$12:$AH$500,6)=$A24)*('Sheet 1 - Indicator Log'!$CJ$12:$CJ$500=N$20))</f>
        <v>0</v>
      </c>
      <c r="O24" s="87">
        <f t="shared" si="2"/>
        <v>1</v>
      </c>
    </row>
    <row r="25" spans="1:15" x14ac:dyDescent="0.35">
      <c r="A25" s="21" t="s">
        <v>801</v>
      </c>
      <c r="B25" s="21" t="s">
        <v>802</v>
      </c>
      <c r="C25" s="86">
        <f>SUMPRODUCT(('Sheet 1 - Indicator Log'!$AI$12:$AI$500=$B$4)*(LEFT('Sheet 1 - Indicator Log'!$AH$12:$AH$500,6)=$A25)*('Sheet 1 - Indicator Log'!$CJ$12:$CJ$500=C$20))</f>
        <v>0</v>
      </c>
      <c r="D25" s="86">
        <f>SUMPRODUCT(('Sheet 1 - Indicator Log'!$AI$12:$AI$500=$B$4)*(LEFT('Sheet 1 - Indicator Log'!$AH$12:$AH$500,6)=$A25)*('Sheet 1 - Indicator Log'!$CJ$12:$CJ$500=D$20))</f>
        <v>0</v>
      </c>
      <c r="E25" s="86">
        <f>SUMPRODUCT(('Sheet 1 - Indicator Log'!$AI$12:$AI$500=$B$4)*(LEFT('Sheet 1 - Indicator Log'!$AH$12:$AH$500,6)=$A25)*('Sheet 1 - Indicator Log'!$CJ$12:$CJ$500=E$20))</f>
        <v>0</v>
      </c>
      <c r="F25" s="86">
        <f>SUMPRODUCT(('Sheet 1 - Indicator Log'!$AI$12:$AI$500=$B$4)*(LEFT('Sheet 1 - Indicator Log'!$AH$12:$AH$500,6)=$A25)*('Sheet 1 - Indicator Log'!$CJ$12:$CJ$500=F$20))</f>
        <v>0</v>
      </c>
      <c r="G25" s="86">
        <f>SUMPRODUCT(('Sheet 1 - Indicator Log'!$AI$12:$AI$500=$B$4)*(LEFT('Sheet 1 - Indicator Log'!$AH$12:$AH$500,6)=$A25)*('Sheet 1 - Indicator Log'!$CJ$12:$CJ$500=G$20))</f>
        <v>0</v>
      </c>
      <c r="H25" s="86">
        <f>SUMPRODUCT(('Sheet 1 - Indicator Log'!$AI$12:$AI$500=$B$4)*(LEFT('Sheet 1 - Indicator Log'!$AH$12:$AH$500,6)=$A25)*('Sheet 1 - Indicator Log'!$CJ$12:$CJ$500=H$20))</f>
        <v>0</v>
      </c>
      <c r="I25" s="86">
        <f>SUMPRODUCT(('Sheet 1 - Indicator Log'!$AI$12:$AI$500=$B$4)*(LEFT('Sheet 1 - Indicator Log'!$AH$12:$AH$500,6)=$A25)*('Sheet 1 - Indicator Log'!$CJ$12:$CJ$500=I$20))</f>
        <v>1</v>
      </c>
      <c r="J25" s="86">
        <f>SUMPRODUCT(('Sheet 1 - Indicator Log'!$AI$12:$AI$500=$B$4)*(LEFT('Sheet 1 - Indicator Log'!$AH$12:$AH$500,6)=$A25)*('Sheet 1 - Indicator Log'!$CJ$12:$CJ$500=J$20))</f>
        <v>1</v>
      </c>
      <c r="K25" s="86">
        <f>SUMPRODUCT(('Sheet 1 - Indicator Log'!$AI$12:$AI$500=$B$4)*(LEFT('Sheet 1 - Indicator Log'!$AH$12:$AH$500,6)=$A25)*('Sheet 1 - Indicator Log'!$CJ$12:$CJ$500=K$20))</f>
        <v>0</v>
      </c>
      <c r="L25" s="86">
        <f>SUMPRODUCT(('Sheet 1 - Indicator Log'!$AI$12:$AI$500=$B$4)*(LEFT('Sheet 1 - Indicator Log'!$AH$12:$AH$500,6)=$A25)*('Sheet 1 - Indicator Log'!$CJ$12:$CJ$500=L$20))</f>
        <v>0</v>
      </c>
      <c r="M25" s="86">
        <f>SUMPRODUCT(('Sheet 1 - Indicator Log'!$AI$12:$AI$500=$B$4)*(LEFT('Sheet 1 - Indicator Log'!$AH$12:$AH$500,6)=$A25)*('Sheet 1 - Indicator Log'!$CJ$12:$CJ$500=M$20))</f>
        <v>0</v>
      </c>
      <c r="N25" s="86">
        <f>SUMPRODUCT(('Sheet 1 - Indicator Log'!$AI$12:$AI$500=$B$4)*(LEFT('Sheet 1 - Indicator Log'!$AH$12:$AH$500,6)=$A25)*('Sheet 1 - Indicator Log'!$CJ$12:$CJ$500=N$20))</f>
        <v>0</v>
      </c>
      <c r="O25" s="87">
        <f t="shared" si="2"/>
        <v>2</v>
      </c>
    </row>
    <row r="26" spans="1:15" x14ac:dyDescent="0.35">
      <c r="A26" s="21" t="s">
        <v>803</v>
      </c>
      <c r="B26" s="21" t="s">
        <v>804</v>
      </c>
      <c r="C26" s="86">
        <f>SUMPRODUCT(('Sheet 1 - Indicator Log'!$AI$12:$AI$500=$B$4)*(LEFT('Sheet 1 - Indicator Log'!$AH$12:$AH$500,6)=$A26)*('Sheet 1 - Indicator Log'!$CJ$12:$CJ$500=C$20))</f>
        <v>0</v>
      </c>
      <c r="D26" s="86">
        <f>SUMPRODUCT(('Sheet 1 - Indicator Log'!$AI$12:$AI$500=$B$4)*(LEFT('Sheet 1 - Indicator Log'!$AH$12:$AH$500,6)=$A26)*('Sheet 1 - Indicator Log'!$CJ$12:$CJ$500=D$20))</f>
        <v>0</v>
      </c>
      <c r="E26" s="86">
        <f>SUMPRODUCT(('Sheet 1 - Indicator Log'!$AI$12:$AI$500=$B$4)*(LEFT('Sheet 1 - Indicator Log'!$AH$12:$AH$500,6)=$A26)*('Sheet 1 - Indicator Log'!$CJ$12:$CJ$500=E$20))</f>
        <v>0</v>
      </c>
      <c r="F26" s="86">
        <f>SUMPRODUCT(('Sheet 1 - Indicator Log'!$AI$12:$AI$500=$B$4)*(LEFT('Sheet 1 - Indicator Log'!$AH$12:$AH$500,6)=$A26)*('Sheet 1 - Indicator Log'!$CJ$12:$CJ$500=F$20))</f>
        <v>0</v>
      </c>
      <c r="G26" s="86">
        <f>SUMPRODUCT(('Sheet 1 - Indicator Log'!$AI$12:$AI$500=$B$4)*(LEFT('Sheet 1 - Indicator Log'!$AH$12:$AH$500,6)=$A26)*('Sheet 1 - Indicator Log'!$CJ$12:$CJ$500=G$20))</f>
        <v>0</v>
      </c>
      <c r="H26" s="86">
        <f>SUMPRODUCT(('Sheet 1 - Indicator Log'!$AI$12:$AI$500=$B$4)*(LEFT('Sheet 1 - Indicator Log'!$AH$12:$AH$500,6)=$A26)*('Sheet 1 - Indicator Log'!$CJ$12:$CJ$500=H$20))</f>
        <v>0</v>
      </c>
      <c r="I26" s="86">
        <f>SUMPRODUCT(('Sheet 1 - Indicator Log'!$AI$12:$AI$500=$B$4)*(LEFT('Sheet 1 - Indicator Log'!$AH$12:$AH$500,6)=$A26)*('Sheet 1 - Indicator Log'!$CJ$12:$CJ$500=I$20))</f>
        <v>0</v>
      </c>
      <c r="J26" s="86">
        <f>SUMPRODUCT(('Sheet 1 - Indicator Log'!$AI$12:$AI$500=$B$4)*(LEFT('Sheet 1 - Indicator Log'!$AH$12:$AH$500,6)=$A26)*('Sheet 1 - Indicator Log'!$CJ$12:$CJ$500=J$20))</f>
        <v>0</v>
      </c>
      <c r="K26" s="86">
        <f>SUMPRODUCT(('Sheet 1 - Indicator Log'!$AI$12:$AI$500=$B$4)*(LEFT('Sheet 1 - Indicator Log'!$AH$12:$AH$500,6)=$A26)*('Sheet 1 - Indicator Log'!$CJ$12:$CJ$500=K$20))</f>
        <v>0</v>
      </c>
      <c r="L26" s="86">
        <f>SUMPRODUCT(('Sheet 1 - Indicator Log'!$AI$12:$AI$500=$B$4)*(LEFT('Sheet 1 - Indicator Log'!$AH$12:$AH$500,6)=$A26)*('Sheet 1 - Indicator Log'!$CJ$12:$CJ$500=L$20))</f>
        <v>0</v>
      </c>
      <c r="M26" s="86">
        <f>SUMPRODUCT(('Sheet 1 - Indicator Log'!$AI$12:$AI$500=$B$4)*(LEFT('Sheet 1 - Indicator Log'!$AH$12:$AH$500,6)=$A26)*('Sheet 1 - Indicator Log'!$CJ$12:$CJ$500=M$20))</f>
        <v>0</v>
      </c>
      <c r="N26" s="86">
        <f>SUMPRODUCT(('Sheet 1 - Indicator Log'!$AI$12:$AI$500=$B$4)*(LEFT('Sheet 1 - Indicator Log'!$AH$12:$AH$500,6)=$A26)*('Sheet 1 - Indicator Log'!$CJ$12:$CJ$500=N$20))</f>
        <v>0</v>
      </c>
      <c r="O26" s="87">
        <f t="shared" si="2"/>
        <v>0</v>
      </c>
    </row>
    <row r="27" spans="1:15" x14ac:dyDescent="0.35">
      <c r="A27" s="21" t="s">
        <v>805</v>
      </c>
      <c r="B27" s="21" t="s">
        <v>806</v>
      </c>
      <c r="C27" s="86">
        <f>SUMPRODUCT(('Sheet 1 - Indicator Log'!$AI$12:$AI$500=$B$4)*(LEFT('Sheet 1 - Indicator Log'!$AH$12:$AH$500,6)=$A27)*('Sheet 1 - Indicator Log'!$CJ$12:$CJ$500=C$20))</f>
        <v>0</v>
      </c>
      <c r="D27" s="86">
        <f>SUMPRODUCT(('Sheet 1 - Indicator Log'!$AI$12:$AI$500=$B$4)*(LEFT('Sheet 1 - Indicator Log'!$AH$12:$AH$500,6)=$A27)*('Sheet 1 - Indicator Log'!$CJ$12:$CJ$500=D$20))</f>
        <v>0</v>
      </c>
      <c r="E27" s="86">
        <f>SUMPRODUCT(('Sheet 1 - Indicator Log'!$AI$12:$AI$500=$B$4)*(LEFT('Sheet 1 - Indicator Log'!$AH$12:$AH$500,6)=$A27)*('Sheet 1 - Indicator Log'!$CJ$12:$CJ$500=E$20))</f>
        <v>0</v>
      </c>
      <c r="F27" s="86">
        <f>SUMPRODUCT(('Sheet 1 - Indicator Log'!$AI$12:$AI$500=$B$4)*(LEFT('Sheet 1 - Indicator Log'!$AH$12:$AH$500,6)=$A27)*('Sheet 1 - Indicator Log'!$CJ$12:$CJ$500=F$20))</f>
        <v>0</v>
      </c>
      <c r="G27" s="86">
        <f>SUMPRODUCT(('Sheet 1 - Indicator Log'!$AI$12:$AI$500=$B$4)*(LEFT('Sheet 1 - Indicator Log'!$AH$12:$AH$500,6)=$A27)*('Sheet 1 - Indicator Log'!$CJ$12:$CJ$500=G$20))</f>
        <v>0</v>
      </c>
      <c r="H27" s="86">
        <f>SUMPRODUCT(('Sheet 1 - Indicator Log'!$AI$12:$AI$500=$B$4)*(LEFT('Sheet 1 - Indicator Log'!$AH$12:$AH$500,6)=$A27)*('Sheet 1 - Indicator Log'!$CJ$12:$CJ$500=H$20))</f>
        <v>0</v>
      </c>
      <c r="I27" s="86">
        <f>SUMPRODUCT(('Sheet 1 - Indicator Log'!$AI$12:$AI$500=$B$4)*(LEFT('Sheet 1 - Indicator Log'!$AH$12:$AH$500,6)=$A27)*('Sheet 1 - Indicator Log'!$CJ$12:$CJ$500=I$20))</f>
        <v>0</v>
      </c>
      <c r="J27" s="86">
        <f>SUMPRODUCT(('Sheet 1 - Indicator Log'!$AI$12:$AI$500=$B$4)*(LEFT('Sheet 1 - Indicator Log'!$AH$12:$AH$500,6)=$A27)*('Sheet 1 - Indicator Log'!$CJ$12:$CJ$500=J$20))</f>
        <v>0</v>
      </c>
      <c r="K27" s="86">
        <f>SUMPRODUCT(('Sheet 1 - Indicator Log'!$AI$12:$AI$500=$B$4)*(LEFT('Sheet 1 - Indicator Log'!$AH$12:$AH$500,6)=$A27)*('Sheet 1 - Indicator Log'!$CJ$12:$CJ$500=K$20))</f>
        <v>0</v>
      </c>
      <c r="L27" s="86">
        <f>SUMPRODUCT(('Sheet 1 - Indicator Log'!$AI$12:$AI$500=$B$4)*(LEFT('Sheet 1 - Indicator Log'!$AH$12:$AH$500,6)=$A27)*('Sheet 1 - Indicator Log'!$CJ$12:$CJ$500=L$20))</f>
        <v>1</v>
      </c>
      <c r="M27" s="86">
        <f>SUMPRODUCT(('Sheet 1 - Indicator Log'!$AI$12:$AI$500=$B$4)*(LEFT('Sheet 1 - Indicator Log'!$AH$12:$AH$500,6)=$A27)*('Sheet 1 - Indicator Log'!$CJ$12:$CJ$500=M$20))</f>
        <v>0</v>
      </c>
      <c r="N27" s="86">
        <f>SUMPRODUCT(('Sheet 1 - Indicator Log'!$AI$12:$AI$500=$B$4)*(LEFT('Sheet 1 - Indicator Log'!$AH$12:$AH$500,6)=$A27)*('Sheet 1 - Indicator Log'!$CJ$12:$CJ$500=N$20))</f>
        <v>0</v>
      </c>
      <c r="O27" s="87">
        <f t="shared" si="2"/>
        <v>1</v>
      </c>
    </row>
    <row r="28" spans="1:15" x14ac:dyDescent="0.35">
      <c r="B28" s="20" t="s">
        <v>807</v>
      </c>
      <c r="C28" s="87">
        <f t="shared" ref="C28:O28" si="3">SUM(C21:C27)</f>
        <v>0</v>
      </c>
      <c r="D28" s="87">
        <f t="shared" si="3"/>
        <v>0</v>
      </c>
      <c r="E28" s="87">
        <f t="shared" si="3"/>
        <v>0</v>
      </c>
      <c r="F28" s="87">
        <f t="shared" si="3"/>
        <v>0</v>
      </c>
      <c r="G28" s="87">
        <f t="shared" si="3"/>
        <v>0</v>
      </c>
      <c r="H28" s="87">
        <f t="shared" si="3"/>
        <v>0</v>
      </c>
      <c r="I28" s="87">
        <f t="shared" si="3"/>
        <v>1</v>
      </c>
      <c r="J28" s="87">
        <f t="shared" si="3"/>
        <v>1</v>
      </c>
      <c r="K28" s="87">
        <f t="shared" si="3"/>
        <v>2</v>
      </c>
      <c r="L28" s="87">
        <f t="shared" si="3"/>
        <v>5</v>
      </c>
      <c r="M28" s="87">
        <f t="shared" si="3"/>
        <v>0</v>
      </c>
      <c r="N28" s="87">
        <f t="shared" si="3"/>
        <v>0</v>
      </c>
      <c r="O28" s="87">
        <f t="shared" si="3"/>
        <v>9</v>
      </c>
    </row>
    <row r="30" spans="1:15" x14ac:dyDescent="0.35">
      <c r="A30" s="83" t="s">
        <v>809</v>
      </c>
    </row>
    <row r="31" spans="1:15" ht="52" x14ac:dyDescent="0.35">
      <c r="A31" s="25" t="s">
        <v>778</v>
      </c>
      <c r="B31" s="25" t="s">
        <v>779</v>
      </c>
      <c r="C31" s="25" t="s">
        <v>810</v>
      </c>
      <c r="D31" s="25" t="s">
        <v>811</v>
      </c>
      <c r="E31" s="25" t="s">
        <v>812</v>
      </c>
      <c r="F31" s="25" t="s">
        <v>813</v>
      </c>
      <c r="G31" s="25" t="s">
        <v>814</v>
      </c>
    </row>
    <row r="32" spans="1:15" x14ac:dyDescent="0.35">
      <c r="A32" s="21" t="s">
        <v>793</v>
      </c>
      <c r="B32" s="21" t="s">
        <v>794</v>
      </c>
      <c r="C32" s="86">
        <f>IFERROR(ROUND(AVERAGEIFS('Sheet 1 - Indicator Log'!$CM$12:$CM$500,'Sheet 1 - Indicator Log'!$AI$12:$AI$500,$B$4,'Sheet 1 - Indicator Log'!$AH$12:$AH$500,$A32&amp;"*"),1),"")</f>
        <v>-1</v>
      </c>
      <c r="D32" s="86">
        <f>COUNTIFS('Sheet 1 - Indicator Log'!$AI$12:$AI$500,$B$4,'Sheet 1 - Indicator Log'!$AH$12:$AH$500,$A32&amp;"*",'Sheet 1 - Indicator Log'!$CM$12:$CM$500,"&gt;=-6")</f>
        <v>2</v>
      </c>
      <c r="E32" s="86">
        <f>COUNTIFS('Sheet 1 - Indicator Log'!$AI$12:$AI$500,$B$4,'Sheet 1 - Indicator Log'!$AH$12:$AH$500,$A32&amp;"*",'Sheet 1 - Indicator Log'!$CP$12:$CP$500,"STRONG*")</f>
        <v>1</v>
      </c>
      <c r="F32" s="86">
        <f>COUNTIFS('Sheet 1 - Indicator Log'!$AI$12:$AI$500,$B$4,'Sheet 1 - Indicator Log'!$AH$12:$AH$500,$A32&amp;"*",'Sheet 1 - Indicator Log'!$CP$12:$CP$500,"Watch*")</f>
        <v>1</v>
      </c>
      <c r="G32" s="86">
        <f>COUNTIFS('Sheet 1 - Indicator Log'!$AI$12:$AI$500,$B$4,'Sheet 1 - Indicator Log'!$AH$12:$AH$500,$A32&amp;"*",'Sheet 1 - Indicator Log'!$CN$12:$CN$500,"Disappeared*")</f>
        <v>0</v>
      </c>
    </row>
    <row r="33" spans="1:15" x14ac:dyDescent="0.35">
      <c r="A33" s="21" t="s">
        <v>795</v>
      </c>
      <c r="B33" s="21" t="s">
        <v>796</v>
      </c>
      <c r="C33" s="86">
        <f>IFERROR(ROUND(AVERAGEIFS('Sheet 1 - Indicator Log'!$CM$12:$CM$500,'Sheet 1 - Indicator Log'!$AI$12:$AI$500,$B$4,'Sheet 1 - Indicator Log'!$AH$12:$AH$500,$A33&amp;"*"),1),"")</f>
        <v>0</v>
      </c>
      <c r="D33" s="86">
        <f>COUNTIFS('Sheet 1 - Indicator Log'!$AI$12:$AI$500,$B$4,'Sheet 1 - Indicator Log'!$AH$12:$AH$500,$A33&amp;"*",'Sheet 1 - Indicator Log'!$CM$12:$CM$500,"&gt;=-6")</f>
        <v>2</v>
      </c>
      <c r="E33" s="86">
        <f>COUNTIFS('Sheet 1 - Indicator Log'!$AI$12:$AI$500,$B$4,'Sheet 1 - Indicator Log'!$AH$12:$AH$500,$A33&amp;"*",'Sheet 1 - Indicator Log'!$CP$12:$CP$500,"STRONG*")</f>
        <v>0</v>
      </c>
      <c r="F33" s="86">
        <f>COUNTIFS('Sheet 1 - Indicator Log'!$AI$12:$AI$500,$B$4,'Sheet 1 - Indicator Log'!$AH$12:$AH$500,$A33&amp;"*",'Sheet 1 - Indicator Log'!$CP$12:$CP$500,"Watch*")</f>
        <v>1</v>
      </c>
      <c r="G33" s="86">
        <f>COUNTIFS('Sheet 1 - Indicator Log'!$AI$12:$AI$500,$B$4,'Sheet 1 - Indicator Log'!$AH$12:$AH$500,$A33&amp;"*",'Sheet 1 - Indicator Log'!$CN$12:$CN$500,"Disappeared*")</f>
        <v>0</v>
      </c>
    </row>
    <row r="34" spans="1:15" x14ac:dyDescent="0.35">
      <c r="A34" s="21" t="s">
        <v>797</v>
      </c>
      <c r="B34" s="21" t="s">
        <v>798</v>
      </c>
      <c r="C34" s="86">
        <f>IFERROR(ROUND(AVERAGEIFS('Sheet 1 - Indicator Log'!$CM$12:$CM$500,'Sheet 1 - Indicator Log'!$AI$12:$AI$500,$B$4,'Sheet 1 - Indicator Log'!$AH$12:$AH$500,$A34&amp;"*"),1),"")</f>
        <v>0</v>
      </c>
      <c r="D34" s="86">
        <f>COUNTIFS('Sheet 1 - Indicator Log'!$AI$12:$AI$500,$B$4,'Sheet 1 - Indicator Log'!$AH$12:$AH$500,$A34&amp;"*",'Sheet 1 - Indicator Log'!$CM$12:$CM$500,"&gt;=-6")</f>
        <v>1</v>
      </c>
      <c r="E34" s="86">
        <f>COUNTIFS('Sheet 1 - Indicator Log'!$AI$12:$AI$500,$B$4,'Sheet 1 - Indicator Log'!$AH$12:$AH$500,$A34&amp;"*",'Sheet 1 - Indicator Log'!$CP$12:$CP$500,"STRONG*")</f>
        <v>0</v>
      </c>
      <c r="F34" s="86">
        <f>COUNTIFS('Sheet 1 - Indicator Log'!$AI$12:$AI$500,$B$4,'Sheet 1 - Indicator Log'!$AH$12:$AH$500,$A34&amp;"*",'Sheet 1 - Indicator Log'!$CP$12:$CP$500,"Watch*")</f>
        <v>0</v>
      </c>
      <c r="G34" s="86">
        <f>COUNTIFS('Sheet 1 - Indicator Log'!$AI$12:$AI$500,$B$4,'Sheet 1 - Indicator Log'!$AH$12:$AH$500,$A34&amp;"*",'Sheet 1 - Indicator Log'!$CN$12:$CN$500,"Disappeared*")</f>
        <v>0</v>
      </c>
    </row>
    <row r="35" spans="1:15" x14ac:dyDescent="0.35">
      <c r="A35" s="21" t="s">
        <v>799</v>
      </c>
      <c r="B35" s="21" t="s">
        <v>800</v>
      </c>
      <c r="C35" s="86">
        <f>IFERROR(ROUND(AVERAGEIFS('Sheet 1 - Indicator Log'!$CM$12:$CM$500,'Sheet 1 - Indicator Log'!$AI$12:$AI$500,$B$4,'Sheet 1 - Indicator Log'!$AH$12:$AH$500,$A35&amp;"*"),1),"")</f>
        <v>0</v>
      </c>
      <c r="D35" s="86">
        <f>COUNTIFS('Sheet 1 - Indicator Log'!$AI$12:$AI$500,$B$4,'Sheet 1 - Indicator Log'!$AH$12:$AH$500,$A35&amp;"*",'Sheet 1 - Indicator Log'!$CM$12:$CM$500,"&gt;=-6")</f>
        <v>1</v>
      </c>
      <c r="E35" s="86">
        <f>COUNTIFS('Sheet 1 - Indicator Log'!$AI$12:$AI$500,$B$4,'Sheet 1 - Indicator Log'!$AH$12:$AH$500,$A35&amp;"*",'Sheet 1 - Indicator Log'!$CP$12:$CP$500,"STRONG*")</f>
        <v>1</v>
      </c>
      <c r="F35" s="86">
        <f>COUNTIFS('Sheet 1 - Indicator Log'!$AI$12:$AI$500,$B$4,'Sheet 1 - Indicator Log'!$AH$12:$AH$500,$A35&amp;"*",'Sheet 1 - Indicator Log'!$CP$12:$CP$500,"Watch*")</f>
        <v>3</v>
      </c>
      <c r="G35" s="86">
        <f>COUNTIFS('Sheet 1 - Indicator Log'!$AI$12:$AI$500,$B$4,'Sheet 1 - Indicator Log'!$AH$12:$AH$500,$A35&amp;"*",'Sheet 1 - Indicator Log'!$CN$12:$CN$500,"Disappeared*")</f>
        <v>0</v>
      </c>
    </row>
    <row r="36" spans="1:15" x14ac:dyDescent="0.35">
      <c r="A36" s="21" t="s">
        <v>801</v>
      </c>
      <c r="B36" s="21" t="s">
        <v>802</v>
      </c>
      <c r="C36" s="86">
        <f>IFERROR(ROUND(AVERAGEIFS('Sheet 1 - Indicator Log'!$CM$12:$CM$500,'Sheet 1 - Indicator Log'!$AI$12:$AI$500,$B$4,'Sheet 1 - Indicator Log'!$AH$12:$AH$500,$A36&amp;"*"),1),"")</f>
        <v>-0.5</v>
      </c>
      <c r="D36" s="86">
        <f>COUNTIFS('Sheet 1 - Indicator Log'!$AI$12:$AI$500,$B$4,'Sheet 1 - Indicator Log'!$AH$12:$AH$500,$A36&amp;"*",'Sheet 1 - Indicator Log'!$CM$12:$CM$500,"&gt;=-6")</f>
        <v>2</v>
      </c>
      <c r="E36" s="86">
        <f>COUNTIFS('Sheet 1 - Indicator Log'!$AI$12:$AI$500,$B$4,'Sheet 1 - Indicator Log'!$AH$12:$AH$500,$A36&amp;"*",'Sheet 1 - Indicator Log'!$CP$12:$CP$500,"STRONG*")</f>
        <v>2</v>
      </c>
      <c r="F36" s="86">
        <f>COUNTIFS('Sheet 1 - Indicator Log'!$AI$12:$AI$500,$B$4,'Sheet 1 - Indicator Log'!$AH$12:$AH$500,$A36&amp;"*",'Sheet 1 - Indicator Log'!$CP$12:$CP$500,"Watch*")</f>
        <v>0</v>
      </c>
      <c r="G36" s="86">
        <f>COUNTIFS('Sheet 1 - Indicator Log'!$AI$12:$AI$500,$B$4,'Sheet 1 - Indicator Log'!$AH$12:$AH$500,$A36&amp;"*",'Sheet 1 - Indicator Log'!$CN$12:$CN$500,"Disappeared*")</f>
        <v>0</v>
      </c>
    </row>
    <row r="37" spans="1:15" x14ac:dyDescent="0.35">
      <c r="A37" s="21" t="s">
        <v>803</v>
      </c>
      <c r="B37" s="21" t="s">
        <v>804</v>
      </c>
      <c r="C37" s="86" t="str">
        <f>IFERROR(ROUND(AVERAGEIFS('Sheet 1 - Indicator Log'!$CM$12:$CM$500,'Sheet 1 - Indicator Log'!$AI$12:$AI$500,$B$4,'Sheet 1 - Indicator Log'!$AH$12:$AH$500,$A37&amp;"*"),1),"")</f>
        <v/>
      </c>
      <c r="D37" s="86">
        <f>COUNTIFS('Sheet 1 - Indicator Log'!$AI$12:$AI$500,$B$4,'Sheet 1 - Indicator Log'!$AH$12:$AH$500,$A37&amp;"*",'Sheet 1 - Indicator Log'!$CM$12:$CM$500,"&gt;=-6")</f>
        <v>0</v>
      </c>
      <c r="E37" s="86">
        <f>COUNTIFS('Sheet 1 - Indicator Log'!$AI$12:$AI$500,$B$4,'Sheet 1 - Indicator Log'!$AH$12:$AH$500,$A37&amp;"*",'Sheet 1 - Indicator Log'!$CP$12:$CP$500,"STRONG*")</f>
        <v>0</v>
      </c>
      <c r="F37" s="86">
        <f>COUNTIFS('Sheet 1 - Indicator Log'!$AI$12:$AI$500,$B$4,'Sheet 1 - Indicator Log'!$AH$12:$AH$500,$A37&amp;"*",'Sheet 1 - Indicator Log'!$CP$12:$CP$500,"Watch*")</f>
        <v>0</v>
      </c>
      <c r="G37" s="86">
        <f>COUNTIFS('Sheet 1 - Indicator Log'!$AI$12:$AI$500,$B$4,'Sheet 1 - Indicator Log'!$AH$12:$AH$500,$A37&amp;"*",'Sheet 1 - Indicator Log'!$CN$12:$CN$500,"Disappeared*")</f>
        <v>0</v>
      </c>
    </row>
    <row r="38" spans="1:15" x14ac:dyDescent="0.35">
      <c r="A38" s="21" t="s">
        <v>805</v>
      </c>
      <c r="B38" s="21" t="s">
        <v>806</v>
      </c>
      <c r="C38" s="86">
        <f>IFERROR(ROUND(AVERAGEIFS('Sheet 1 - Indicator Log'!$CM$12:$CM$500,'Sheet 1 - Indicator Log'!$AI$12:$AI$500,$B$4,'Sheet 1 - Indicator Log'!$AH$12:$AH$500,$A38&amp;"*"),1),"")</f>
        <v>0</v>
      </c>
      <c r="D38" s="86">
        <f>COUNTIFS('Sheet 1 - Indicator Log'!$AI$12:$AI$500,$B$4,'Sheet 1 - Indicator Log'!$AH$12:$AH$500,$A38&amp;"*",'Sheet 1 - Indicator Log'!$CM$12:$CM$500,"&gt;=-6")</f>
        <v>1</v>
      </c>
      <c r="E38" s="86">
        <f>COUNTIFS('Sheet 1 - Indicator Log'!$AI$12:$AI$500,$B$4,'Sheet 1 - Indicator Log'!$AH$12:$AH$500,$A38&amp;"*",'Sheet 1 - Indicator Log'!$CP$12:$CP$500,"STRONG*")</f>
        <v>0</v>
      </c>
      <c r="F38" s="86">
        <f>COUNTIFS('Sheet 1 - Indicator Log'!$AI$12:$AI$500,$B$4,'Sheet 1 - Indicator Log'!$AH$12:$AH$500,$A38&amp;"*",'Sheet 1 - Indicator Log'!$CP$12:$CP$500,"Watch*")</f>
        <v>1</v>
      </c>
      <c r="G38" s="86">
        <f>COUNTIFS('Sheet 1 - Indicator Log'!$AI$12:$AI$500,$B$4,'Sheet 1 - Indicator Log'!$AH$12:$AH$500,$A38&amp;"*",'Sheet 1 - Indicator Log'!$CN$12:$CN$500,"Disappeared*")</f>
        <v>0</v>
      </c>
    </row>
    <row r="40" spans="1:15" x14ac:dyDescent="0.35">
      <c r="A40" s="83" t="s">
        <v>815</v>
      </c>
    </row>
    <row r="41" spans="1:15" ht="18" customHeight="1" x14ac:dyDescent="0.35">
      <c r="A41" s="25" t="s">
        <v>816</v>
      </c>
      <c r="B41" s="25" t="s">
        <v>817</v>
      </c>
      <c r="C41" s="116" t="s">
        <v>818</v>
      </c>
      <c r="D41" s="116"/>
      <c r="E41" s="116"/>
      <c r="F41" s="116"/>
      <c r="G41" s="116"/>
      <c r="H41" s="116" t="s">
        <v>819</v>
      </c>
      <c r="I41" s="116"/>
      <c r="J41" s="116"/>
      <c r="K41" s="116"/>
      <c r="L41" s="116"/>
      <c r="M41" s="116"/>
      <c r="N41" s="116"/>
      <c r="O41" s="116"/>
    </row>
    <row r="42" spans="1:15" ht="42" customHeight="1" x14ac:dyDescent="0.35">
      <c r="A42" s="20" t="s">
        <v>820</v>
      </c>
      <c r="B42" s="21" t="s">
        <v>821</v>
      </c>
      <c r="C42" s="115" t="s">
        <v>822</v>
      </c>
      <c r="D42" s="115"/>
      <c r="E42" s="115"/>
      <c r="F42" s="115"/>
      <c r="G42" s="115"/>
      <c r="H42" s="115" t="s">
        <v>823</v>
      </c>
      <c r="I42" s="115"/>
      <c r="J42" s="115"/>
      <c r="K42" s="115"/>
      <c r="L42" s="115"/>
      <c r="M42" s="115"/>
      <c r="N42" s="115"/>
      <c r="O42" s="115"/>
    </row>
    <row r="43" spans="1:15" ht="42" customHeight="1" x14ac:dyDescent="0.35">
      <c r="A43" s="20" t="s">
        <v>824</v>
      </c>
      <c r="B43" s="21" t="s">
        <v>825</v>
      </c>
      <c r="C43" s="115" t="s">
        <v>826</v>
      </c>
      <c r="D43" s="115"/>
      <c r="E43" s="115"/>
      <c r="F43" s="115"/>
      <c r="G43" s="115"/>
      <c r="H43" s="115" t="s">
        <v>827</v>
      </c>
      <c r="I43" s="115"/>
      <c r="J43" s="115"/>
      <c r="K43" s="115"/>
      <c r="L43" s="115"/>
      <c r="M43" s="115"/>
      <c r="N43" s="115"/>
      <c r="O43" s="115"/>
    </row>
    <row r="44" spans="1:15" ht="42" customHeight="1" x14ac:dyDescent="0.35">
      <c r="A44" s="20" t="s">
        <v>828</v>
      </c>
      <c r="B44" s="21" t="s">
        <v>829</v>
      </c>
      <c r="C44" s="115" t="s">
        <v>830</v>
      </c>
      <c r="D44" s="115"/>
      <c r="E44" s="115"/>
      <c r="F44" s="115"/>
      <c r="G44" s="115"/>
      <c r="H44" s="115" t="s">
        <v>831</v>
      </c>
      <c r="I44" s="115"/>
      <c r="J44" s="115"/>
      <c r="K44" s="115"/>
      <c r="L44" s="115"/>
      <c r="M44" s="115"/>
      <c r="N44" s="115"/>
      <c r="O44" s="115"/>
    </row>
    <row r="45" spans="1:15" ht="42" customHeight="1" x14ac:dyDescent="0.35">
      <c r="A45" s="20" t="s">
        <v>832</v>
      </c>
      <c r="B45" s="21" t="s">
        <v>833</v>
      </c>
      <c r="C45" s="115" t="s">
        <v>834</v>
      </c>
      <c r="D45" s="115"/>
      <c r="E45" s="115"/>
      <c r="F45" s="115"/>
      <c r="G45" s="115"/>
      <c r="H45" s="115" t="s">
        <v>835</v>
      </c>
      <c r="I45" s="115"/>
      <c r="J45" s="115"/>
      <c r="K45" s="115"/>
      <c r="L45" s="115"/>
      <c r="M45" s="115"/>
      <c r="N45" s="115"/>
      <c r="O45" s="115"/>
    </row>
    <row r="46" spans="1:15" ht="42" customHeight="1" x14ac:dyDescent="0.35">
      <c r="A46" s="20" t="s">
        <v>836</v>
      </c>
      <c r="B46" s="21" t="s">
        <v>837</v>
      </c>
      <c r="C46" s="115" t="s">
        <v>838</v>
      </c>
      <c r="D46" s="115"/>
      <c r="E46" s="115"/>
      <c r="F46" s="115"/>
      <c r="G46" s="115"/>
      <c r="H46" s="115" t="s">
        <v>839</v>
      </c>
      <c r="I46" s="115"/>
      <c r="J46" s="115"/>
      <c r="K46" s="115"/>
      <c r="L46" s="115"/>
      <c r="M46" s="115"/>
      <c r="N46" s="115"/>
      <c r="O46" s="115"/>
    </row>
    <row r="47" spans="1:15" ht="42" customHeight="1" x14ac:dyDescent="0.35">
      <c r="A47" s="20" t="s">
        <v>840</v>
      </c>
      <c r="B47" s="21" t="s">
        <v>780</v>
      </c>
      <c r="C47" s="115" t="s">
        <v>841</v>
      </c>
      <c r="D47" s="115"/>
      <c r="E47" s="115"/>
      <c r="F47" s="115"/>
      <c r="G47" s="115"/>
      <c r="H47" s="115" t="s">
        <v>842</v>
      </c>
      <c r="I47" s="115"/>
      <c r="J47" s="115"/>
      <c r="K47" s="115"/>
      <c r="L47" s="115"/>
      <c r="M47" s="115"/>
      <c r="N47" s="115"/>
      <c r="O47" s="115"/>
    </row>
  </sheetData>
  <mergeCells count="15">
    <mergeCell ref="C46:G46"/>
    <mergeCell ref="H46:O46"/>
    <mergeCell ref="C47:G47"/>
    <mergeCell ref="H47:O47"/>
    <mergeCell ref="C43:G43"/>
    <mergeCell ref="H43:O43"/>
    <mergeCell ref="C44:G44"/>
    <mergeCell ref="H44:O44"/>
    <mergeCell ref="C45:G45"/>
    <mergeCell ref="H45:O45"/>
    <mergeCell ref="A2:O2"/>
    <mergeCell ref="C41:G41"/>
    <mergeCell ref="H41:O41"/>
    <mergeCell ref="C42:G42"/>
    <mergeCell ref="H42:O42"/>
  </mergeCells>
  <conditionalFormatting sqref="C9:N15">
    <cfRule type="colorScale" priority="2">
      <colorScale>
        <cfvo type="num" val="0"/>
        <cfvo type="max"/>
        <color rgb="FFFFFFFF"/>
        <color rgb="FF63BE7B"/>
      </colorScale>
    </cfRule>
  </conditionalFormatting>
  <conditionalFormatting sqref="C21:N27">
    <cfRule type="colorScale" priority="3">
      <colorScale>
        <cfvo type="num" val="0"/>
        <cfvo type="max"/>
        <color rgb="FFFFFFFF"/>
        <color rgb="FF63BE7B"/>
      </colorScale>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9"/>
  <sheetViews>
    <sheetView zoomScaleNormal="100" workbookViewId="0">
      <pane ySplit="5" topLeftCell="A6" activePane="bottomLeft" state="frozen"/>
      <selection pane="bottomLeft"/>
    </sheetView>
  </sheetViews>
  <sheetFormatPr defaultColWidth="8.6328125" defaultRowHeight="14.5" x14ac:dyDescent="0.35"/>
  <cols>
    <col min="1" max="1" width="9" customWidth="1"/>
    <col min="2" max="2" width="26" customWidth="1"/>
    <col min="3" max="3" width="7" customWidth="1"/>
    <col min="4" max="4" width="28" customWidth="1"/>
    <col min="5" max="5" width="8" customWidth="1"/>
    <col min="6" max="6" width="40" customWidth="1"/>
    <col min="7" max="7" width="13" customWidth="1"/>
    <col min="8" max="9" width="15" customWidth="1"/>
    <col min="10" max="10" width="40" customWidth="1"/>
    <col min="11" max="11" width="26" customWidth="1"/>
    <col min="12" max="12" width="10" customWidth="1"/>
  </cols>
  <sheetData>
    <row r="1" spans="1:12" ht="18" customHeight="1" x14ac:dyDescent="0.45">
      <c r="A1" s="88" t="s">
        <v>843</v>
      </c>
    </row>
    <row r="2" spans="1:12" ht="39.75" customHeight="1" x14ac:dyDescent="0.35">
      <c r="A2" s="12" t="s">
        <v>844</v>
      </c>
      <c r="B2" s="12"/>
      <c r="C2" s="12"/>
      <c r="D2" s="12"/>
      <c r="E2" s="12"/>
      <c r="F2" s="12"/>
      <c r="G2" s="12"/>
      <c r="H2" s="12"/>
      <c r="I2" s="12"/>
      <c r="J2" s="12"/>
    </row>
    <row r="3" spans="1:12" ht="24.75" customHeight="1" x14ac:dyDescent="0.35">
      <c r="A3" s="12"/>
      <c r="B3" s="12"/>
      <c r="C3" s="12"/>
      <c r="D3" s="12"/>
      <c r="E3" s="12"/>
      <c r="F3" s="12"/>
      <c r="G3" s="12"/>
      <c r="H3" s="12"/>
      <c r="I3" s="12"/>
      <c r="J3" s="12"/>
    </row>
    <row r="5" spans="1:12" ht="43.5" customHeight="1" x14ac:dyDescent="0.35">
      <c r="A5" s="89" t="s">
        <v>845</v>
      </c>
      <c r="B5" s="89" t="s">
        <v>846</v>
      </c>
      <c r="C5" s="89" t="s">
        <v>847</v>
      </c>
      <c r="D5" s="89" t="s">
        <v>848</v>
      </c>
      <c r="E5" s="89" t="s">
        <v>849</v>
      </c>
      <c r="F5" s="89" t="s">
        <v>850</v>
      </c>
      <c r="G5" s="89" t="s">
        <v>851</v>
      </c>
      <c r="H5" s="89" t="s">
        <v>852</v>
      </c>
      <c r="I5" s="89" t="s">
        <v>853</v>
      </c>
      <c r="J5" s="89" t="s">
        <v>854</v>
      </c>
      <c r="K5" s="89" t="s">
        <v>855</v>
      </c>
      <c r="L5" s="89" t="s">
        <v>856</v>
      </c>
    </row>
    <row r="6" spans="1:12" x14ac:dyDescent="0.35">
      <c r="A6" s="90" t="s">
        <v>565</v>
      </c>
      <c r="B6" s="90" t="s">
        <v>857</v>
      </c>
      <c r="C6" s="90" t="s">
        <v>858</v>
      </c>
      <c r="D6" s="90" t="s">
        <v>794</v>
      </c>
      <c r="E6" s="90" t="s">
        <v>859</v>
      </c>
      <c r="F6" s="90" t="s">
        <v>860</v>
      </c>
      <c r="G6" s="90" t="s">
        <v>861</v>
      </c>
      <c r="H6" s="90" t="s">
        <v>862</v>
      </c>
      <c r="I6" s="90"/>
      <c r="J6" s="90"/>
      <c r="K6" s="90"/>
      <c r="L6" s="91">
        <f>IFERROR(INDEX('Prior Multipliers'!$C$6:$C$70,MATCH(LEFT(G6,10),'Prior Multipliers'!$A$6:$A$70,0)),IFERROR(INDEX('Prior Multipliers'!$C$6:$C$70,MATCH(LEFT(G6,6),'Prior Multipliers'!$A$6:$A$70,0)),IFERROR(INDEX('Prior Multipliers'!$C$6:$C$70,MATCH(LEFT(G6,2),'Prior Multipliers'!$A$6:$A$70,0)),1)))</f>
        <v>1.35</v>
      </c>
    </row>
    <row r="7" spans="1:12" ht="25.5" customHeight="1" x14ac:dyDescent="0.35">
      <c r="A7" s="90" t="s">
        <v>565</v>
      </c>
      <c r="B7" s="90" t="s">
        <v>857</v>
      </c>
      <c r="C7" s="90" t="s">
        <v>858</v>
      </c>
      <c r="D7" s="90" t="s">
        <v>794</v>
      </c>
      <c r="E7" s="90" t="s">
        <v>863</v>
      </c>
      <c r="F7" s="90" t="s">
        <v>864</v>
      </c>
      <c r="G7" s="90" t="s">
        <v>865</v>
      </c>
      <c r="H7" s="90" t="s">
        <v>581</v>
      </c>
      <c r="I7" s="90"/>
      <c r="J7" s="90" t="s">
        <v>866</v>
      </c>
      <c r="K7" s="90" t="s">
        <v>867</v>
      </c>
      <c r="L7" s="91">
        <f>IFERROR(INDEX('Prior Multipliers'!$C$6:$C$70,MATCH(LEFT(G7,10),'Prior Multipliers'!$A$6:$A$70,0)),IFERROR(INDEX('Prior Multipliers'!$C$6:$C$70,MATCH(LEFT(G7,6),'Prior Multipliers'!$A$6:$A$70,0)),IFERROR(INDEX('Prior Multipliers'!$C$6:$C$70,MATCH(LEFT(G7,2),'Prior Multipliers'!$A$6:$A$70,0)),1)))</f>
        <v>1.35</v>
      </c>
    </row>
    <row r="8" spans="1:12" ht="25.5" customHeight="1" x14ac:dyDescent="0.35">
      <c r="A8" s="90" t="s">
        <v>565</v>
      </c>
      <c r="B8" s="90" t="s">
        <v>857</v>
      </c>
      <c r="C8" s="90" t="s">
        <v>858</v>
      </c>
      <c r="D8" s="90" t="s">
        <v>794</v>
      </c>
      <c r="E8" s="90" t="s">
        <v>868</v>
      </c>
      <c r="F8" s="90" t="s">
        <v>869</v>
      </c>
      <c r="G8" s="90" t="s">
        <v>870</v>
      </c>
      <c r="H8" s="90" t="s">
        <v>871</v>
      </c>
      <c r="I8" s="90"/>
      <c r="J8" s="90" t="s">
        <v>866</v>
      </c>
      <c r="K8" s="90" t="s">
        <v>867</v>
      </c>
      <c r="L8" s="91">
        <f>IFERROR(INDEX('Prior Multipliers'!$C$6:$C$70,MATCH(LEFT(G8,10),'Prior Multipliers'!$A$6:$A$70,0)),IFERROR(INDEX('Prior Multipliers'!$C$6:$C$70,MATCH(LEFT(G8,6),'Prior Multipliers'!$A$6:$A$70,0)),IFERROR(INDEX('Prior Multipliers'!$C$6:$C$70,MATCH(LEFT(G8,2),'Prior Multipliers'!$A$6:$A$70,0)),1)))</f>
        <v>1.35</v>
      </c>
    </row>
    <row r="9" spans="1:12" x14ac:dyDescent="0.35">
      <c r="A9" s="90" t="s">
        <v>565</v>
      </c>
      <c r="B9" s="90" t="s">
        <v>857</v>
      </c>
      <c r="C9" s="90" t="s">
        <v>858</v>
      </c>
      <c r="D9" s="90" t="s">
        <v>794</v>
      </c>
      <c r="E9" s="90" t="s">
        <v>872</v>
      </c>
      <c r="F9" s="90" t="s">
        <v>873</v>
      </c>
      <c r="G9" s="90" t="s">
        <v>874</v>
      </c>
      <c r="H9" s="90" t="s">
        <v>875</v>
      </c>
      <c r="I9" s="90"/>
      <c r="J9" s="90"/>
      <c r="K9" s="90"/>
      <c r="L9" s="91">
        <f>IFERROR(INDEX('Prior Multipliers'!$C$6:$C$70,MATCH(LEFT(G9,10),'Prior Multipliers'!$A$6:$A$70,0)),IFERROR(INDEX('Prior Multipliers'!$C$6:$C$70,MATCH(LEFT(G9,6),'Prior Multipliers'!$A$6:$A$70,0)),IFERROR(INDEX('Prior Multipliers'!$C$6:$C$70,MATCH(LEFT(G9,2),'Prior Multipliers'!$A$6:$A$70,0)),1)))</f>
        <v>1.35</v>
      </c>
    </row>
    <row r="10" spans="1:12" ht="25.5" customHeight="1" x14ac:dyDescent="0.35">
      <c r="A10" s="90" t="s">
        <v>565</v>
      </c>
      <c r="B10" s="90" t="s">
        <v>857</v>
      </c>
      <c r="C10" s="90" t="s">
        <v>858</v>
      </c>
      <c r="D10" s="90" t="s">
        <v>794</v>
      </c>
      <c r="E10" s="90" t="s">
        <v>876</v>
      </c>
      <c r="F10" s="90" t="s">
        <v>877</v>
      </c>
      <c r="G10" s="90" t="s">
        <v>878</v>
      </c>
      <c r="H10" s="90" t="s">
        <v>879</v>
      </c>
      <c r="I10" s="90"/>
      <c r="J10" s="90" t="s">
        <v>866</v>
      </c>
      <c r="K10" s="90" t="s">
        <v>867</v>
      </c>
      <c r="L10" s="91">
        <f>IFERROR(INDEX('Prior Multipliers'!$C$6:$C$70,MATCH(LEFT(G10,10),'Prior Multipliers'!$A$6:$A$70,0)),IFERROR(INDEX('Prior Multipliers'!$C$6:$C$70,MATCH(LEFT(G10,6),'Prior Multipliers'!$A$6:$A$70,0)),IFERROR(INDEX('Prior Multipliers'!$C$6:$C$70,MATCH(LEFT(G10,2),'Prior Multipliers'!$A$6:$A$70,0)),1)))</f>
        <v>1.35</v>
      </c>
    </row>
    <row r="11" spans="1:12" x14ac:dyDescent="0.35">
      <c r="A11" s="90" t="s">
        <v>565</v>
      </c>
      <c r="B11" s="90" t="s">
        <v>857</v>
      </c>
      <c r="C11" s="90" t="s">
        <v>858</v>
      </c>
      <c r="D11" s="90" t="s">
        <v>794</v>
      </c>
      <c r="E11" s="90" t="s">
        <v>880</v>
      </c>
      <c r="F11" s="90" t="s">
        <v>881</v>
      </c>
      <c r="G11" s="90" t="s">
        <v>882</v>
      </c>
      <c r="H11" s="90" t="s">
        <v>883</v>
      </c>
      <c r="I11" s="90"/>
      <c r="J11" s="90"/>
      <c r="K11" s="90"/>
      <c r="L11" s="91">
        <f>IFERROR(INDEX('Prior Multipliers'!$C$6:$C$70,MATCH(LEFT(G11,10),'Prior Multipliers'!$A$6:$A$70,0)),IFERROR(INDEX('Prior Multipliers'!$C$6:$C$70,MATCH(LEFT(G11,6),'Prior Multipliers'!$A$6:$A$70,0)),IFERROR(INDEX('Prior Multipliers'!$C$6:$C$70,MATCH(LEFT(G11,2),'Prior Multipliers'!$A$6:$A$70,0)),1)))</f>
        <v>1.35</v>
      </c>
    </row>
    <row r="12" spans="1:12" x14ac:dyDescent="0.35">
      <c r="A12" s="90" t="s">
        <v>565</v>
      </c>
      <c r="B12" s="90" t="s">
        <v>857</v>
      </c>
      <c r="C12" s="90" t="s">
        <v>858</v>
      </c>
      <c r="D12" s="90" t="s">
        <v>794</v>
      </c>
      <c r="E12" s="90" t="s">
        <v>884</v>
      </c>
      <c r="F12" s="90" t="s">
        <v>885</v>
      </c>
      <c r="G12" s="90" t="s">
        <v>886</v>
      </c>
      <c r="H12" s="90" t="s">
        <v>887</v>
      </c>
      <c r="I12" s="90"/>
      <c r="J12" s="90"/>
      <c r="K12" s="90"/>
      <c r="L12" s="91">
        <f>IFERROR(INDEX('Prior Multipliers'!$C$6:$C$70,MATCH(LEFT(G12,10),'Prior Multipliers'!$A$6:$A$70,0)),IFERROR(INDEX('Prior Multipliers'!$C$6:$C$70,MATCH(LEFT(G12,6),'Prior Multipliers'!$A$6:$A$70,0)),IFERROR(INDEX('Prior Multipliers'!$C$6:$C$70,MATCH(LEFT(G12,2),'Prior Multipliers'!$A$6:$A$70,0)),1)))</f>
        <v>1.35</v>
      </c>
    </row>
    <row r="13" spans="1:12" x14ac:dyDescent="0.35">
      <c r="A13" s="90" t="s">
        <v>565</v>
      </c>
      <c r="B13" s="90" t="s">
        <v>857</v>
      </c>
      <c r="C13" s="90" t="s">
        <v>858</v>
      </c>
      <c r="D13" s="90" t="s">
        <v>794</v>
      </c>
      <c r="E13" s="90" t="s">
        <v>888</v>
      </c>
      <c r="F13" s="90" t="s">
        <v>889</v>
      </c>
      <c r="G13" s="90" t="s">
        <v>890</v>
      </c>
      <c r="H13" s="90" t="s">
        <v>891</v>
      </c>
      <c r="I13" s="90"/>
      <c r="J13" s="90"/>
      <c r="K13" s="90"/>
      <c r="L13" s="91">
        <f>IFERROR(INDEX('Prior Multipliers'!$C$6:$C$70,MATCH(LEFT(G13,10),'Prior Multipliers'!$A$6:$A$70,0)),IFERROR(INDEX('Prior Multipliers'!$C$6:$C$70,MATCH(LEFT(G13,6),'Prior Multipliers'!$A$6:$A$70,0)),IFERROR(INDEX('Prior Multipliers'!$C$6:$C$70,MATCH(LEFT(G13,2),'Prior Multipliers'!$A$6:$A$70,0)),1)))</f>
        <v>1.35</v>
      </c>
    </row>
    <row r="14" spans="1:12" ht="25.5" customHeight="1" x14ac:dyDescent="0.35">
      <c r="A14" s="92" t="s">
        <v>565</v>
      </c>
      <c r="B14" s="92" t="s">
        <v>857</v>
      </c>
      <c r="C14" s="92" t="s">
        <v>858</v>
      </c>
      <c r="D14" s="92" t="s">
        <v>794</v>
      </c>
      <c r="E14" s="92" t="s">
        <v>892</v>
      </c>
      <c r="F14" s="92" t="s">
        <v>893</v>
      </c>
      <c r="G14" s="92" t="s">
        <v>894</v>
      </c>
      <c r="H14" s="92" t="s">
        <v>895</v>
      </c>
      <c r="I14" s="92" t="s">
        <v>890</v>
      </c>
      <c r="J14" s="92" t="s">
        <v>866</v>
      </c>
      <c r="K14" s="92" t="s">
        <v>867</v>
      </c>
      <c r="L14" s="93">
        <f>IFERROR(INDEX('Prior Multipliers'!$C$6:$C$70,MATCH(LEFT(G14,10),'Prior Multipliers'!$A$6:$A$70,0)),IFERROR(INDEX('Prior Multipliers'!$C$6:$C$70,MATCH(LEFT(G14,6),'Prior Multipliers'!$A$6:$A$70,0)),IFERROR(INDEX('Prior Multipliers'!$C$6:$C$70,MATCH(LEFT(G14,2),'Prior Multipliers'!$A$6:$A$70,0)),1)))</f>
        <v>1.35</v>
      </c>
    </row>
    <row r="15" spans="1:12" x14ac:dyDescent="0.35">
      <c r="A15" s="90" t="s">
        <v>565</v>
      </c>
      <c r="B15" s="90" t="s">
        <v>857</v>
      </c>
      <c r="C15" s="90" t="s">
        <v>858</v>
      </c>
      <c r="D15" s="90" t="s">
        <v>794</v>
      </c>
      <c r="E15" s="90" t="s">
        <v>896</v>
      </c>
      <c r="F15" s="90" t="s">
        <v>897</v>
      </c>
      <c r="G15" s="90" t="s">
        <v>898</v>
      </c>
      <c r="H15" s="90" t="s">
        <v>899</v>
      </c>
      <c r="I15" s="90"/>
      <c r="J15" s="90"/>
      <c r="K15" s="90"/>
      <c r="L15" s="91">
        <f>IFERROR(INDEX('Prior Multipliers'!$C$6:$C$70,MATCH(LEFT(G15,10),'Prior Multipliers'!$A$6:$A$70,0)),IFERROR(INDEX('Prior Multipliers'!$C$6:$C$70,MATCH(LEFT(G15,6),'Prior Multipliers'!$A$6:$A$70,0)),IFERROR(INDEX('Prior Multipliers'!$C$6:$C$70,MATCH(LEFT(G15,2),'Prior Multipliers'!$A$6:$A$70,0)),1)))</f>
        <v>1.35</v>
      </c>
    </row>
    <row r="16" spans="1:12" ht="25.5" customHeight="1" x14ac:dyDescent="0.35">
      <c r="A16" s="92" t="s">
        <v>565</v>
      </c>
      <c r="B16" s="92" t="s">
        <v>857</v>
      </c>
      <c r="C16" s="92" t="s">
        <v>858</v>
      </c>
      <c r="D16" s="92" t="s">
        <v>794</v>
      </c>
      <c r="E16" s="92" t="s">
        <v>900</v>
      </c>
      <c r="F16" s="92" t="s">
        <v>901</v>
      </c>
      <c r="G16" s="92" t="s">
        <v>902</v>
      </c>
      <c r="H16" s="92" t="s">
        <v>903</v>
      </c>
      <c r="I16" s="92" t="s">
        <v>898</v>
      </c>
      <c r="J16" s="92" t="s">
        <v>866</v>
      </c>
      <c r="K16" s="92" t="s">
        <v>867</v>
      </c>
      <c r="L16" s="93">
        <f>IFERROR(INDEX('Prior Multipliers'!$C$6:$C$70,MATCH(LEFT(G16,10),'Prior Multipliers'!$A$6:$A$70,0)),IFERROR(INDEX('Prior Multipliers'!$C$6:$C$70,MATCH(LEFT(G16,6),'Prior Multipliers'!$A$6:$A$70,0)),IFERROR(INDEX('Prior Multipliers'!$C$6:$C$70,MATCH(LEFT(G16,2),'Prior Multipliers'!$A$6:$A$70,0)),1)))</f>
        <v>1.35</v>
      </c>
    </row>
    <row r="17" spans="1:12" x14ac:dyDescent="0.35">
      <c r="A17" s="90" t="s">
        <v>565</v>
      </c>
      <c r="B17" s="90" t="s">
        <v>857</v>
      </c>
      <c r="C17" s="90" t="s">
        <v>858</v>
      </c>
      <c r="D17" s="90" t="s">
        <v>794</v>
      </c>
      <c r="E17" s="90" t="s">
        <v>904</v>
      </c>
      <c r="F17" s="90" t="s">
        <v>905</v>
      </c>
      <c r="G17" s="90" t="s">
        <v>906</v>
      </c>
      <c r="H17" s="90" t="s">
        <v>907</v>
      </c>
      <c r="I17" s="90"/>
      <c r="J17" s="90"/>
      <c r="K17" s="90"/>
      <c r="L17" s="91">
        <f>IFERROR(INDEX('Prior Multipliers'!$C$6:$C$70,MATCH(LEFT(G17,10),'Prior Multipliers'!$A$6:$A$70,0)),IFERROR(INDEX('Prior Multipliers'!$C$6:$C$70,MATCH(LEFT(G17,6),'Prior Multipliers'!$A$6:$A$70,0)),IFERROR(INDEX('Prior Multipliers'!$C$6:$C$70,MATCH(LEFT(G17,2),'Prior Multipliers'!$A$6:$A$70,0)),1)))</f>
        <v>1.35</v>
      </c>
    </row>
    <row r="18" spans="1:12" ht="25.5" customHeight="1" x14ac:dyDescent="0.35">
      <c r="A18" s="90" t="s">
        <v>565</v>
      </c>
      <c r="B18" s="90" t="s">
        <v>857</v>
      </c>
      <c r="C18" s="90" t="s">
        <v>858</v>
      </c>
      <c r="D18" s="90" t="s">
        <v>794</v>
      </c>
      <c r="E18" s="90" t="s">
        <v>908</v>
      </c>
      <c r="F18" s="90" t="s">
        <v>909</v>
      </c>
      <c r="G18" s="90" t="s">
        <v>910</v>
      </c>
      <c r="H18" s="90" t="s">
        <v>911</v>
      </c>
      <c r="I18" s="90"/>
      <c r="J18" s="90" t="s">
        <v>866</v>
      </c>
      <c r="K18" s="90" t="s">
        <v>867</v>
      </c>
      <c r="L18" s="91">
        <f>IFERROR(INDEX('Prior Multipliers'!$C$6:$C$70,MATCH(LEFT(G18,10),'Prior Multipliers'!$A$6:$A$70,0)),IFERROR(INDEX('Prior Multipliers'!$C$6:$C$70,MATCH(LEFT(G18,6),'Prior Multipliers'!$A$6:$A$70,0)),IFERROR(INDEX('Prior Multipliers'!$C$6:$C$70,MATCH(LEFT(G18,2),'Prior Multipliers'!$A$6:$A$70,0)),1)))</f>
        <v>1.35</v>
      </c>
    </row>
    <row r="19" spans="1:12" x14ac:dyDescent="0.35">
      <c r="A19" s="90" t="s">
        <v>565</v>
      </c>
      <c r="B19" s="90" t="s">
        <v>857</v>
      </c>
      <c r="C19" s="90" t="s">
        <v>858</v>
      </c>
      <c r="D19" s="90" t="s">
        <v>794</v>
      </c>
      <c r="E19" s="90" t="s">
        <v>912</v>
      </c>
      <c r="F19" s="90" t="s">
        <v>913</v>
      </c>
      <c r="G19" s="90" t="s">
        <v>914</v>
      </c>
      <c r="H19" s="90" t="s">
        <v>915</v>
      </c>
      <c r="I19" s="90"/>
      <c r="J19" s="90"/>
      <c r="K19" s="90"/>
      <c r="L19" s="91">
        <f>IFERROR(INDEX('Prior Multipliers'!$C$6:$C$70,MATCH(LEFT(G19,10),'Prior Multipliers'!$A$6:$A$70,0)),IFERROR(INDEX('Prior Multipliers'!$C$6:$C$70,MATCH(LEFT(G19,6),'Prior Multipliers'!$A$6:$A$70,0)),IFERROR(INDEX('Prior Multipliers'!$C$6:$C$70,MATCH(LEFT(G19,2),'Prior Multipliers'!$A$6:$A$70,0)),1)))</f>
        <v>1.35</v>
      </c>
    </row>
    <row r="20" spans="1:12" ht="25.5" customHeight="1" x14ac:dyDescent="0.35">
      <c r="A20" s="92" t="s">
        <v>565</v>
      </c>
      <c r="B20" s="92" t="s">
        <v>857</v>
      </c>
      <c r="C20" s="92" t="s">
        <v>858</v>
      </c>
      <c r="D20" s="92" t="s">
        <v>794</v>
      </c>
      <c r="E20" s="92" t="s">
        <v>916</v>
      </c>
      <c r="F20" s="92" t="s">
        <v>917</v>
      </c>
      <c r="G20" s="92" t="s">
        <v>918</v>
      </c>
      <c r="H20" s="92" t="s">
        <v>919</v>
      </c>
      <c r="I20" s="92" t="s">
        <v>865</v>
      </c>
      <c r="J20" s="92" t="s">
        <v>866</v>
      </c>
      <c r="K20" s="92" t="s">
        <v>867</v>
      </c>
      <c r="L20" s="93">
        <f>IFERROR(INDEX('Prior Multipliers'!$C$6:$C$70,MATCH(LEFT(G20,10),'Prior Multipliers'!$A$6:$A$70,0)),IFERROR(INDEX('Prior Multipliers'!$C$6:$C$70,MATCH(LEFT(G20,6),'Prior Multipliers'!$A$6:$A$70,0)),IFERROR(INDEX('Prior Multipliers'!$C$6:$C$70,MATCH(LEFT(G20,2),'Prior Multipliers'!$A$6:$A$70,0)),1)))</f>
        <v>1.35</v>
      </c>
    </row>
    <row r="21" spans="1:12" x14ac:dyDescent="0.35">
      <c r="A21" s="90" t="s">
        <v>565</v>
      </c>
      <c r="B21" s="90" t="s">
        <v>857</v>
      </c>
      <c r="C21" s="90" t="s">
        <v>858</v>
      </c>
      <c r="D21" s="90" t="s">
        <v>794</v>
      </c>
      <c r="E21" s="90" t="s">
        <v>920</v>
      </c>
      <c r="F21" s="90" t="s">
        <v>921</v>
      </c>
      <c r="G21" s="90" t="s">
        <v>922</v>
      </c>
      <c r="H21" s="90" t="s">
        <v>923</v>
      </c>
      <c r="I21" s="90"/>
      <c r="J21" s="90"/>
      <c r="K21" s="90"/>
      <c r="L21" s="91">
        <f>IFERROR(INDEX('Prior Multipliers'!$C$6:$C$70,MATCH(LEFT(G21,10),'Prior Multipliers'!$A$6:$A$70,0)),IFERROR(INDEX('Prior Multipliers'!$C$6:$C$70,MATCH(LEFT(G21,6),'Prior Multipliers'!$A$6:$A$70,0)),IFERROR(INDEX('Prior Multipliers'!$C$6:$C$70,MATCH(LEFT(G21,2),'Prior Multipliers'!$A$6:$A$70,0)),1)))</f>
        <v>1.35</v>
      </c>
    </row>
    <row r="22" spans="1:12" ht="25.5" customHeight="1" x14ac:dyDescent="0.35">
      <c r="A22" s="90" t="s">
        <v>565</v>
      </c>
      <c r="B22" s="90" t="s">
        <v>857</v>
      </c>
      <c r="C22" s="90" t="s">
        <v>858</v>
      </c>
      <c r="D22" s="90" t="s">
        <v>794</v>
      </c>
      <c r="E22" s="90" t="s">
        <v>924</v>
      </c>
      <c r="F22" s="90" t="s">
        <v>925</v>
      </c>
      <c r="G22" s="90" t="s">
        <v>926</v>
      </c>
      <c r="H22" s="90" t="s">
        <v>676</v>
      </c>
      <c r="I22" s="90"/>
      <c r="J22" s="90" t="s">
        <v>866</v>
      </c>
      <c r="K22" s="90" t="s">
        <v>867</v>
      </c>
      <c r="L22" s="91">
        <f>IFERROR(INDEX('Prior Multipliers'!$C$6:$C$70,MATCH(LEFT(G22,10),'Prior Multipliers'!$A$6:$A$70,0)),IFERROR(INDEX('Prior Multipliers'!$C$6:$C$70,MATCH(LEFT(G22,6),'Prior Multipliers'!$A$6:$A$70,0)),IFERROR(INDEX('Prior Multipliers'!$C$6:$C$70,MATCH(LEFT(G22,2),'Prior Multipliers'!$A$6:$A$70,0)),1)))</f>
        <v>1.35</v>
      </c>
    </row>
    <row r="23" spans="1:12" x14ac:dyDescent="0.35">
      <c r="A23" s="90" t="s">
        <v>565</v>
      </c>
      <c r="B23" s="90" t="s">
        <v>857</v>
      </c>
      <c r="C23" s="90" t="s">
        <v>858</v>
      </c>
      <c r="D23" s="90" t="s">
        <v>794</v>
      </c>
      <c r="E23" s="90" t="s">
        <v>927</v>
      </c>
      <c r="F23" s="90" t="s">
        <v>928</v>
      </c>
      <c r="G23" s="90" t="s">
        <v>929</v>
      </c>
      <c r="H23" s="90" t="s">
        <v>930</v>
      </c>
      <c r="I23" s="90"/>
      <c r="J23" s="90"/>
      <c r="K23" s="90"/>
      <c r="L23" s="91">
        <f>IFERROR(INDEX('Prior Multipliers'!$C$6:$C$70,MATCH(LEFT(G23,10),'Prior Multipliers'!$A$6:$A$70,0)),IFERROR(INDEX('Prior Multipliers'!$C$6:$C$70,MATCH(LEFT(G23,6),'Prior Multipliers'!$A$6:$A$70,0)),IFERROR(INDEX('Prior Multipliers'!$C$6:$C$70,MATCH(LEFT(G23,2),'Prior Multipliers'!$A$6:$A$70,0)),1)))</f>
        <v>1.35</v>
      </c>
    </row>
    <row r="24" spans="1:12" x14ac:dyDescent="0.35">
      <c r="A24" s="90" t="s">
        <v>565</v>
      </c>
      <c r="B24" s="90" t="s">
        <v>857</v>
      </c>
      <c r="C24" s="90" t="s">
        <v>931</v>
      </c>
      <c r="D24" s="90" t="s">
        <v>932</v>
      </c>
      <c r="E24" s="90" t="s">
        <v>933</v>
      </c>
      <c r="F24" s="90" t="s">
        <v>934</v>
      </c>
      <c r="G24" s="90" t="s">
        <v>935</v>
      </c>
      <c r="H24" s="90" t="s">
        <v>936</v>
      </c>
      <c r="I24" s="90"/>
      <c r="J24" s="90"/>
      <c r="K24" s="90"/>
      <c r="L24" s="91">
        <f>IFERROR(INDEX('Prior Multipliers'!$C$6:$C$70,MATCH(LEFT(G24,10),'Prior Multipliers'!$A$6:$A$70,0)),IFERROR(INDEX('Prior Multipliers'!$C$6:$C$70,MATCH(LEFT(G24,6),'Prior Multipliers'!$A$6:$A$70,0)),IFERROR(INDEX('Prior Multipliers'!$C$6:$C$70,MATCH(LEFT(G24,2),'Prior Multipliers'!$A$6:$A$70,0)),1)))</f>
        <v>1.21</v>
      </c>
    </row>
    <row r="25" spans="1:12" ht="25.5" customHeight="1" x14ac:dyDescent="0.35">
      <c r="A25" s="90" t="s">
        <v>565</v>
      </c>
      <c r="B25" s="90" t="s">
        <v>857</v>
      </c>
      <c r="C25" s="90" t="s">
        <v>931</v>
      </c>
      <c r="D25" s="90" t="s">
        <v>932</v>
      </c>
      <c r="E25" s="90" t="s">
        <v>937</v>
      </c>
      <c r="F25" s="90" t="s">
        <v>938</v>
      </c>
      <c r="G25" s="90" t="s">
        <v>939</v>
      </c>
      <c r="H25" s="90" t="s">
        <v>656</v>
      </c>
      <c r="I25" s="90"/>
      <c r="J25" s="90" t="s">
        <v>866</v>
      </c>
      <c r="K25" s="90" t="s">
        <v>867</v>
      </c>
      <c r="L25" s="91">
        <f>IFERROR(INDEX('Prior Multipliers'!$C$6:$C$70,MATCH(LEFT(G25,10),'Prior Multipliers'!$A$6:$A$70,0)),IFERROR(INDEX('Prior Multipliers'!$C$6:$C$70,MATCH(LEFT(G25,6),'Prior Multipliers'!$A$6:$A$70,0)),IFERROR(INDEX('Prior Multipliers'!$C$6:$C$70,MATCH(LEFT(G25,2),'Prior Multipliers'!$A$6:$A$70,0)),1)))</f>
        <v>1.21</v>
      </c>
    </row>
    <row r="26" spans="1:12" ht="25.5" customHeight="1" x14ac:dyDescent="0.35">
      <c r="A26" s="90" t="s">
        <v>565</v>
      </c>
      <c r="B26" s="90" t="s">
        <v>857</v>
      </c>
      <c r="C26" s="90" t="s">
        <v>931</v>
      </c>
      <c r="D26" s="90" t="s">
        <v>932</v>
      </c>
      <c r="E26" s="90" t="s">
        <v>940</v>
      </c>
      <c r="F26" s="90" t="s">
        <v>941</v>
      </c>
      <c r="G26" s="90" t="s">
        <v>942</v>
      </c>
      <c r="H26" s="90" t="s">
        <v>943</v>
      </c>
      <c r="I26" s="90"/>
      <c r="J26" s="90" t="s">
        <v>866</v>
      </c>
      <c r="K26" s="90" t="s">
        <v>867</v>
      </c>
      <c r="L26" s="91">
        <f>IFERROR(INDEX('Prior Multipliers'!$C$6:$C$70,MATCH(LEFT(G26,10),'Prior Multipliers'!$A$6:$A$70,0)),IFERROR(INDEX('Prior Multipliers'!$C$6:$C$70,MATCH(LEFT(G26,6),'Prior Multipliers'!$A$6:$A$70,0)),IFERROR(INDEX('Prior Multipliers'!$C$6:$C$70,MATCH(LEFT(G26,2),'Prior Multipliers'!$A$6:$A$70,0)),1)))</f>
        <v>1.21</v>
      </c>
    </row>
    <row r="27" spans="1:12" ht="25.5" customHeight="1" x14ac:dyDescent="0.35">
      <c r="A27" s="92" t="s">
        <v>565</v>
      </c>
      <c r="B27" s="92" t="s">
        <v>857</v>
      </c>
      <c r="C27" s="92" t="s">
        <v>931</v>
      </c>
      <c r="D27" s="92" t="s">
        <v>932</v>
      </c>
      <c r="E27" s="92" t="s">
        <v>944</v>
      </c>
      <c r="F27" s="92" t="s">
        <v>945</v>
      </c>
      <c r="G27" s="92" t="s">
        <v>946</v>
      </c>
      <c r="H27" s="92" t="s">
        <v>947</v>
      </c>
      <c r="I27" s="92" t="s">
        <v>948</v>
      </c>
      <c r="J27" s="92" t="s">
        <v>866</v>
      </c>
      <c r="K27" s="92" t="s">
        <v>867</v>
      </c>
      <c r="L27" s="93">
        <f>IFERROR(INDEX('Prior Multipliers'!$C$6:$C$70,MATCH(LEFT(G27,10),'Prior Multipliers'!$A$6:$A$70,0)),IFERROR(INDEX('Prior Multipliers'!$C$6:$C$70,MATCH(LEFT(G27,6),'Prior Multipliers'!$A$6:$A$70,0)),IFERROR(INDEX('Prior Multipliers'!$C$6:$C$70,MATCH(LEFT(G27,2),'Prior Multipliers'!$A$6:$A$70,0)),1)))</f>
        <v>1.21</v>
      </c>
    </row>
    <row r="28" spans="1:12" ht="25.5" customHeight="1" x14ac:dyDescent="0.35">
      <c r="A28" s="90" t="s">
        <v>565</v>
      </c>
      <c r="B28" s="90" t="s">
        <v>857</v>
      </c>
      <c r="C28" s="90" t="s">
        <v>931</v>
      </c>
      <c r="D28" s="90" t="s">
        <v>932</v>
      </c>
      <c r="E28" s="90" t="s">
        <v>949</v>
      </c>
      <c r="F28" s="90" t="s">
        <v>950</v>
      </c>
      <c r="G28" s="90" t="s">
        <v>951</v>
      </c>
      <c r="H28" s="90" t="s">
        <v>952</v>
      </c>
      <c r="I28" s="90"/>
      <c r="J28" s="90" t="s">
        <v>866</v>
      </c>
      <c r="K28" s="90" t="s">
        <v>867</v>
      </c>
      <c r="L28" s="91">
        <f>IFERROR(INDEX('Prior Multipliers'!$C$6:$C$70,MATCH(LEFT(G28,10),'Prior Multipliers'!$A$6:$A$70,0)),IFERROR(INDEX('Prior Multipliers'!$C$6:$C$70,MATCH(LEFT(G28,6),'Prior Multipliers'!$A$6:$A$70,0)),IFERROR(INDEX('Prior Multipliers'!$C$6:$C$70,MATCH(LEFT(G28,2),'Prior Multipliers'!$A$6:$A$70,0)),1)))</f>
        <v>1.21</v>
      </c>
    </row>
    <row r="29" spans="1:12" ht="25.5" customHeight="1" x14ac:dyDescent="0.35">
      <c r="A29" s="92" t="s">
        <v>565</v>
      </c>
      <c r="B29" s="92" t="s">
        <v>857</v>
      </c>
      <c r="C29" s="92" t="s">
        <v>931</v>
      </c>
      <c r="D29" s="92" t="s">
        <v>932</v>
      </c>
      <c r="E29" s="92" t="s">
        <v>953</v>
      </c>
      <c r="F29" s="92" t="s">
        <v>954</v>
      </c>
      <c r="G29" s="92" t="s">
        <v>955</v>
      </c>
      <c r="H29" s="92" t="s">
        <v>956</v>
      </c>
      <c r="I29" s="92" t="s">
        <v>957</v>
      </c>
      <c r="J29" s="92" t="s">
        <v>866</v>
      </c>
      <c r="K29" s="92" t="s">
        <v>867</v>
      </c>
      <c r="L29" s="93">
        <f>IFERROR(INDEX('Prior Multipliers'!$C$6:$C$70,MATCH(LEFT(G29,10),'Prior Multipliers'!$A$6:$A$70,0)),IFERROR(INDEX('Prior Multipliers'!$C$6:$C$70,MATCH(LEFT(G29,6),'Prior Multipliers'!$A$6:$A$70,0)),IFERROR(INDEX('Prior Multipliers'!$C$6:$C$70,MATCH(LEFT(G29,2),'Prior Multipliers'!$A$6:$A$70,0)),1)))</f>
        <v>1.21</v>
      </c>
    </row>
    <row r="30" spans="1:12" ht="25.5" customHeight="1" x14ac:dyDescent="0.35">
      <c r="A30" s="90" t="s">
        <v>565</v>
      </c>
      <c r="B30" s="90" t="s">
        <v>857</v>
      </c>
      <c r="C30" s="90" t="s">
        <v>931</v>
      </c>
      <c r="D30" s="90" t="s">
        <v>932</v>
      </c>
      <c r="E30" s="90" t="s">
        <v>958</v>
      </c>
      <c r="F30" s="90" t="s">
        <v>959</v>
      </c>
      <c r="G30" s="90" t="s">
        <v>960</v>
      </c>
      <c r="H30" s="90" t="s">
        <v>961</v>
      </c>
      <c r="I30" s="90"/>
      <c r="J30" s="90" t="s">
        <v>866</v>
      </c>
      <c r="K30" s="90" t="s">
        <v>867</v>
      </c>
      <c r="L30" s="91">
        <f>IFERROR(INDEX('Prior Multipliers'!$C$6:$C$70,MATCH(LEFT(G30,10),'Prior Multipliers'!$A$6:$A$70,0)),IFERROR(INDEX('Prior Multipliers'!$C$6:$C$70,MATCH(LEFT(G30,6),'Prior Multipliers'!$A$6:$A$70,0)),IFERROR(INDEX('Prior Multipliers'!$C$6:$C$70,MATCH(LEFT(G30,2),'Prior Multipliers'!$A$6:$A$70,0)),1)))</f>
        <v>1.21</v>
      </c>
    </row>
    <row r="31" spans="1:12" ht="25.5" customHeight="1" x14ac:dyDescent="0.35">
      <c r="A31" s="90" t="s">
        <v>565</v>
      </c>
      <c r="B31" s="90" t="s">
        <v>857</v>
      </c>
      <c r="C31" s="90" t="s">
        <v>931</v>
      </c>
      <c r="D31" s="90" t="s">
        <v>932</v>
      </c>
      <c r="E31" s="90" t="s">
        <v>962</v>
      </c>
      <c r="F31" s="90" t="s">
        <v>963</v>
      </c>
      <c r="G31" s="90" t="s">
        <v>964</v>
      </c>
      <c r="H31" s="90" t="s">
        <v>965</v>
      </c>
      <c r="I31" s="90" t="s">
        <v>966</v>
      </c>
      <c r="J31" s="90" t="s">
        <v>866</v>
      </c>
      <c r="K31" s="90" t="s">
        <v>867</v>
      </c>
      <c r="L31" s="91">
        <f>IFERROR(INDEX('Prior Multipliers'!$C$6:$C$70,MATCH(LEFT(G31,10),'Prior Multipliers'!$A$6:$A$70,0)),IFERROR(INDEX('Prior Multipliers'!$C$6:$C$70,MATCH(LEFT(G31,6),'Prior Multipliers'!$A$6:$A$70,0)),IFERROR(INDEX('Prior Multipliers'!$C$6:$C$70,MATCH(LEFT(G31,2),'Prior Multipliers'!$A$6:$A$70,0)),1)))</f>
        <v>1.21</v>
      </c>
    </row>
    <row r="32" spans="1:12" ht="25.5" customHeight="1" x14ac:dyDescent="0.35">
      <c r="A32" s="90" t="s">
        <v>565</v>
      </c>
      <c r="B32" s="90" t="s">
        <v>857</v>
      </c>
      <c r="C32" s="90" t="s">
        <v>931</v>
      </c>
      <c r="D32" s="90" t="s">
        <v>932</v>
      </c>
      <c r="E32" s="90" t="s">
        <v>967</v>
      </c>
      <c r="F32" s="90" t="s">
        <v>968</v>
      </c>
      <c r="G32" s="90" t="s">
        <v>969</v>
      </c>
      <c r="H32" s="90" t="s">
        <v>970</v>
      </c>
      <c r="I32" s="90"/>
      <c r="J32" s="90" t="s">
        <v>866</v>
      </c>
      <c r="K32" s="90" t="s">
        <v>867</v>
      </c>
      <c r="L32" s="91">
        <f>IFERROR(INDEX('Prior Multipliers'!$C$6:$C$70,MATCH(LEFT(G32,10),'Prior Multipliers'!$A$6:$A$70,0)),IFERROR(INDEX('Prior Multipliers'!$C$6:$C$70,MATCH(LEFT(G32,6),'Prior Multipliers'!$A$6:$A$70,0)),IFERROR(INDEX('Prior Multipliers'!$C$6:$C$70,MATCH(LEFT(G32,2),'Prior Multipliers'!$A$6:$A$70,0)),1)))</f>
        <v>1.21</v>
      </c>
    </row>
    <row r="33" spans="1:12" ht="25.5" customHeight="1" x14ac:dyDescent="0.35">
      <c r="A33" s="90" t="s">
        <v>565</v>
      </c>
      <c r="B33" s="90" t="s">
        <v>857</v>
      </c>
      <c r="C33" s="90" t="s">
        <v>931</v>
      </c>
      <c r="D33" s="90" t="s">
        <v>932</v>
      </c>
      <c r="E33" s="90" t="s">
        <v>971</v>
      </c>
      <c r="F33" s="90" t="s">
        <v>972</v>
      </c>
      <c r="G33" s="90" t="s">
        <v>973</v>
      </c>
      <c r="H33" s="90" t="s">
        <v>974</v>
      </c>
      <c r="I33" s="90" t="s">
        <v>975</v>
      </c>
      <c r="J33" s="90" t="s">
        <v>866</v>
      </c>
      <c r="K33" s="90" t="s">
        <v>867</v>
      </c>
      <c r="L33" s="91">
        <f>IFERROR(INDEX('Prior Multipliers'!$C$6:$C$70,MATCH(LEFT(G33,10),'Prior Multipliers'!$A$6:$A$70,0)),IFERROR(INDEX('Prior Multipliers'!$C$6:$C$70,MATCH(LEFT(G33,6),'Prior Multipliers'!$A$6:$A$70,0)),IFERROR(INDEX('Prior Multipliers'!$C$6:$C$70,MATCH(LEFT(G33,2),'Prior Multipliers'!$A$6:$A$70,0)),1)))</f>
        <v>1.21</v>
      </c>
    </row>
    <row r="34" spans="1:12" ht="25.5" customHeight="1" x14ac:dyDescent="0.35">
      <c r="A34" s="92" t="s">
        <v>565</v>
      </c>
      <c r="B34" s="92" t="s">
        <v>857</v>
      </c>
      <c r="C34" s="92" t="s">
        <v>931</v>
      </c>
      <c r="D34" s="92" t="s">
        <v>932</v>
      </c>
      <c r="E34" s="92" t="s">
        <v>976</v>
      </c>
      <c r="F34" s="92" t="s">
        <v>977</v>
      </c>
      <c r="G34" s="92" t="s">
        <v>978</v>
      </c>
      <c r="H34" s="92" t="s">
        <v>979</v>
      </c>
      <c r="I34" s="92" t="s">
        <v>980</v>
      </c>
      <c r="J34" s="92" t="s">
        <v>866</v>
      </c>
      <c r="K34" s="92" t="s">
        <v>867</v>
      </c>
      <c r="L34" s="93">
        <f>IFERROR(INDEX('Prior Multipliers'!$C$6:$C$70,MATCH(LEFT(G34,10),'Prior Multipliers'!$A$6:$A$70,0)),IFERROR(INDEX('Prior Multipliers'!$C$6:$C$70,MATCH(LEFT(G34,6),'Prior Multipliers'!$A$6:$A$70,0)),IFERROR(INDEX('Prior Multipliers'!$C$6:$C$70,MATCH(LEFT(G34,2),'Prior Multipliers'!$A$6:$A$70,0)),1)))</f>
        <v>1.21</v>
      </c>
    </row>
    <row r="35" spans="1:12" x14ac:dyDescent="0.35">
      <c r="A35" s="90" t="s">
        <v>565</v>
      </c>
      <c r="B35" s="90" t="s">
        <v>857</v>
      </c>
      <c r="C35" s="90" t="s">
        <v>931</v>
      </c>
      <c r="D35" s="90" t="s">
        <v>932</v>
      </c>
      <c r="E35" s="90" t="s">
        <v>981</v>
      </c>
      <c r="F35" s="90" t="s">
        <v>982</v>
      </c>
      <c r="G35" s="90" t="s">
        <v>983</v>
      </c>
      <c r="H35" s="90" t="s">
        <v>984</v>
      </c>
      <c r="I35" s="90"/>
      <c r="J35" s="90"/>
      <c r="K35" s="90"/>
      <c r="L35" s="91">
        <f>IFERROR(INDEX('Prior Multipliers'!$C$6:$C$70,MATCH(LEFT(G35,10),'Prior Multipliers'!$A$6:$A$70,0)),IFERROR(INDEX('Prior Multipliers'!$C$6:$C$70,MATCH(LEFT(G35,6),'Prior Multipliers'!$A$6:$A$70,0)),IFERROR(INDEX('Prior Multipliers'!$C$6:$C$70,MATCH(LEFT(G35,2),'Prior Multipliers'!$A$6:$A$70,0)),1)))</f>
        <v>1.21</v>
      </c>
    </row>
    <row r="36" spans="1:12" ht="25.5" customHeight="1" x14ac:dyDescent="0.35">
      <c r="A36" s="90" t="s">
        <v>565</v>
      </c>
      <c r="B36" s="90" t="s">
        <v>857</v>
      </c>
      <c r="C36" s="90" t="s">
        <v>931</v>
      </c>
      <c r="D36" s="90" t="s">
        <v>932</v>
      </c>
      <c r="E36" s="90" t="s">
        <v>985</v>
      </c>
      <c r="F36" s="90" t="s">
        <v>986</v>
      </c>
      <c r="G36" s="90" t="s">
        <v>987</v>
      </c>
      <c r="H36" s="90" t="s">
        <v>988</v>
      </c>
      <c r="I36" s="90"/>
      <c r="J36" s="90" t="s">
        <v>866</v>
      </c>
      <c r="K36" s="90" t="s">
        <v>867</v>
      </c>
      <c r="L36" s="91">
        <f>IFERROR(INDEX('Prior Multipliers'!$C$6:$C$70,MATCH(LEFT(G36,10),'Prior Multipliers'!$A$6:$A$70,0)),IFERROR(INDEX('Prior Multipliers'!$C$6:$C$70,MATCH(LEFT(G36,6),'Prior Multipliers'!$A$6:$A$70,0)),IFERROR(INDEX('Prior Multipliers'!$C$6:$C$70,MATCH(LEFT(G36,2),'Prior Multipliers'!$A$6:$A$70,0)),1)))</f>
        <v>1.21</v>
      </c>
    </row>
    <row r="37" spans="1:12" x14ac:dyDescent="0.35">
      <c r="A37" s="90" t="s">
        <v>565</v>
      </c>
      <c r="B37" s="90" t="s">
        <v>857</v>
      </c>
      <c r="C37" s="90" t="s">
        <v>931</v>
      </c>
      <c r="D37" s="90" t="s">
        <v>932</v>
      </c>
      <c r="E37" s="90" t="s">
        <v>859</v>
      </c>
      <c r="F37" s="90" t="s">
        <v>989</v>
      </c>
      <c r="G37" s="90" t="s">
        <v>990</v>
      </c>
      <c r="H37" s="90" t="s">
        <v>991</v>
      </c>
      <c r="I37" s="90"/>
      <c r="J37" s="90"/>
      <c r="K37" s="90"/>
      <c r="L37" s="91">
        <f>IFERROR(INDEX('Prior Multipliers'!$C$6:$C$70,MATCH(LEFT(G37,10),'Prior Multipliers'!$A$6:$A$70,0)),IFERROR(INDEX('Prior Multipliers'!$C$6:$C$70,MATCH(LEFT(G37,6),'Prior Multipliers'!$A$6:$A$70,0)),IFERROR(INDEX('Prior Multipliers'!$C$6:$C$70,MATCH(LEFT(G37,2),'Prior Multipliers'!$A$6:$A$70,0)),1)))</f>
        <v>1.21</v>
      </c>
    </row>
    <row r="38" spans="1:12" ht="25.5" customHeight="1" x14ac:dyDescent="0.35">
      <c r="A38" s="90" t="s">
        <v>565</v>
      </c>
      <c r="B38" s="90" t="s">
        <v>857</v>
      </c>
      <c r="C38" s="90" t="s">
        <v>931</v>
      </c>
      <c r="D38" s="90" t="s">
        <v>932</v>
      </c>
      <c r="E38" s="90" t="s">
        <v>992</v>
      </c>
      <c r="F38" s="90" t="s">
        <v>993</v>
      </c>
      <c r="G38" s="90" t="s">
        <v>994</v>
      </c>
      <c r="H38" s="90" t="s">
        <v>995</v>
      </c>
      <c r="I38" s="90"/>
      <c r="J38" s="90" t="s">
        <v>866</v>
      </c>
      <c r="K38" s="90" t="s">
        <v>867</v>
      </c>
      <c r="L38" s="91">
        <f>IFERROR(INDEX('Prior Multipliers'!$C$6:$C$70,MATCH(LEFT(G38,10),'Prior Multipliers'!$A$6:$A$70,0)),IFERROR(INDEX('Prior Multipliers'!$C$6:$C$70,MATCH(LEFT(G38,6),'Prior Multipliers'!$A$6:$A$70,0)),IFERROR(INDEX('Prior Multipliers'!$C$6:$C$70,MATCH(LEFT(G38,2),'Prior Multipliers'!$A$6:$A$70,0)),1)))</f>
        <v>1.21</v>
      </c>
    </row>
    <row r="39" spans="1:12" ht="25.5" customHeight="1" x14ac:dyDescent="0.35">
      <c r="A39" s="90" t="s">
        <v>565</v>
      </c>
      <c r="B39" s="90" t="s">
        <v>857</v>
      </c>
      <c r="C39" s="90" t="s">
        <v>931</v>
      </c>
      <c r="D39" s="90" t="s">
        <v>932</v>
      </c>
      <c r="E39" s="90" t="s">
        <v>996</v>
      </c>
      <c r="F39" s="90" t="s">
        <v>997</v>
      </c>
      <c r="G39" s="90" t="s">
        <v>966</v>
      </c>
      <c r="H39" s="90" t="s">
        <v>998</v>
      </c>
      <c r="I39" s="90"/>
      <c r="J39" s="90" t="s">
        <v>866</v>
      </c>
      <c r="K39" s="90" t="s">
        <v>867</v>
      </c>
      <c r="L39" s="91">
        <f>IFERROR(INDEX('Prior Multipliers'!$C$6:$C$70,MATCH(LEFT(G39,10),'Prior Multipliers'!$A$6:$A$70,0)),IFERROR(INDEX('Prior Multipliers'!$C$6:$C$70,MATCH(LEFT(G39,6),'Prior Multipliers'!$A$6:$A$70,0)),IFERROR(INDEX('Prior Multipliers'!$C$6:$C$70,MATCH(LEFT(G39,2),'Prior Multipliers'!$A$6:$A$70,0)),1)))</f>
        <v>1.21</v>
      </c>
    </row>
    <row r="40" spans="1:12" ht="25.5" customHeight="1" x14ac:dyDescent="0.35">
      <c r="A40" s="92" t="s">
        <v>565</v>
      </c>
      <c r="B40" s="92" t="s">
        <v>857</v>
      </c>
      <c r="C40" s="92" t="s">
        <v>931</v>
      </c>
      <c r="D40" s="92" t="s">
        <v>932</v>
      </c>
      <c r="E40" s="92" t="s">
        <v>999</v>
      </c>
      <c r="F40" s="92" t="s">
        <v>1000</v>
      </c>
      <c r="G40" s="92" t="s">
        <v>1001</v>
      </c>
      <c r="H40" s="92" t="s">
        <v>1002</v>
      </c>
      <c r="I40" s="92" t="s">
        <v>1003</v>
      </c>
      <c r="J40" s="92" t="s">
        <v>866</v>
      </c>
      <c r="K40" s="92" t="s">
        <v>867</v>
      </c>
      <c r="L40" s="93">
        <f>IFERROR(INDEX('Prior Multipliers'!$C$6:$C$70,MATCH(LEFT(G40,10),'Prior Multipliers'!$A$6:$A$70,0)),IFERROR(INDEX('Prior Multipliers'!$C$6:$C$70,MATCH(LEFT(G40,6),'Prior Multipliers'!$A$6:$A$70,0)),IFERROR(INDEX('Prior Multipliers'!$C$6:$C$70,MATCH(LEFT(G40,2),'Prior Multipliers'!$A$6:$A$70,0)),1)))</f>
        <v>1.21</v>
      </c>
    </row>
    <row r="41" spans="1:12" x14ac:dyDescent="0.35">
      <c r="A41" s="90" t="s">
        <v>565</v>
      </c>
      <c r="B41" s="90" t="s">
        <v>857</v>
      </c>
      <c r="C41" s="90" t="s">
        <v>931</v>
      </c>
      <c r="D41" s="90" t="s">
        <v>932</v>
      </c>
      <c r="E41" s="90" t="s">
        <v>1004</v>
      </c>
      <c r="F41" s="90" t="s">
        <v>1005</v>
      </c>
      <c r="G41" s="90" t="s">
        <v>1003</v>
      </c>
      <c r="H41" s="90" t="s">
        <v>567</v>
      </c>
      <c r="I41" s="90"/>
      <c r="J41" s="90"/>
      <c r="K41" s="90"/>
      <c r="L41" s="91">
        <f>IFERROR(INDEX('Prior Multipliers'!$C$6:$C$70,MATCH(LEFT(G41,10),'Prior Multipliers'!$A$6:$A$70,0)),IFERROR(INDEX('Prior Multipliers'!$C$6:$C$70,MATCH(LEFT(G41,6),'Prior Multipliers'!$A$6:$A$70,0)),IFERROR(INDEX('Prior Multipliers'!$C$6:$C$70,MATCH(LEFT(G41,2),'Prior Multipliers'!$A$6:$A$70,0)),1)))</f>
        <v>1.21</v>
      </c>
    </row>
    <row r="42" spans="1:12" x14ac:dyDescent="0.35">
      <c r="A42" s="90" t="s">
        <v>565</v>
      </c>
      <c r="B42" s="90" t="s">
        <v>857</v>
      </c>
      <c r="C42" s="90" t="s">
        <v>931</v>
      </c>
      <c r="D42" s="90" t="s">
        <v>932</v>
      </c>
      <c r="E42" s="90" t="s">
        <v>1006</v>
      </c>
      <c r="F42" s="90" t="s">
        <v>1007</v>
      </c>
      <c r="G42" s="90" t="s">
        <v>1008</v>
      </c>
      <c r="H42" s="90" t="s">
        <v>1009</v>
      </c>
      <c r="I42" s="90"/>
      <c r="J42" s="90"/>
      <c r="K42" s="90"/>
      <c r="L42" s="91">
        <f>IFERROR(INDEX('Prior Multipliers'!$C$6:$C$70,MATCH(LEFT(G42,10),'Prior Multipliers'!$A$6:$A$70,0)),IFERROR(INDEX('Prior Multipliers'!$C$6:$C$70,MATCH(LEFT(G42,6),'Prior Multipliers'!$A$6:$A$70,0)),IFERROR(INDEX('Prior Multipliers'!$C$6:$C$70,MATCH(LEFT(G42,2),'Prior Multipliers'!$A$6:$A$70,0)),1)))</f>
        <v>1.21</v>
      </c>
    </row>
    <row r="43" spans="1:12" ht="25.5" customHeight="1" x14ac:dyDescent="0.35">
      <c r="A43" s="90" t="s">
        <v>565</v>
      </c>
      <c r="B43" s="90" t="s">
        <v>857</v>
      </c>
      <c r="C43" s="90" t="s">
        <v>931</v>
      </c>
      <c r="D43" s="90" t="s">
        <v>932</v>
      </c>
      <c r="E43" s="90" t="s">
        <v>1010</v>
      </c>
      <c r="F43" s="90" t="s">
        <v>1011</v>
      </c>
      <c r="G43" s="90" t="s">
        <v>1012</v>
      </c>
      <c r="H43" s="90" t="s">
        <v>1013</v>
      </c>
      <c r="I43" s="90"/>
      <c r="J43" s="90" t="s">
        <v>866</v>
      </c>
      <c r="K43" s="90" t="s">
        <v>867</v>
      </c>
      <c r="L43" s="91">
        <f>IFERROR(INDEX('Prior Multipliers'!$C$6:$C$70,MATCH(LEFT(G43,10),'Prior Multipliers'!$A$6:$A$70,0)),IFERROR(INDEX('Prior Multipliers'!$C$6:$C$70,MATCH(LEFT(G43,6),'Prior Multipliers'!$A$6:$A$70,0)),IFERROR(INDEX('Prior Multipliers'!$C$6:$C$70,MATCH(LEFT(G43,2),'Prior Multipliers'!$A$6:$A$70,0)),1)))</f>
        <v>1.21</v>
      </c>
    </row>
    <row r="44" spans="1:12" ht="25.5" customHeight="1" x14ac:dyDescent="0.35">
      <c r="A44" s="92" t="s">
        <v>565</v>
      </c>
      <c r="B44" s="92" t="s">
        <v>857</v>
      </c>
      <c r="C44" s="92" t="s">
        <v>931</v>
      </c>
      <c r="D44" s="92" t="s">
        <v>932</v>
      </c>
      <c r="E44" s="92" t="s">
        <v>1014</v>
      </c>
      <c r="F44" s="92" t="s">
        <v>1015</v>
      </c>
      <c r="G44" s="92" t="s">
        <v>1016</v>
      </c>
      <c r="H44" s="92" t="s">
        <v>1017</v>
      </c>
      <c r="I44" s="92" t="s">
        <v>990</v>
      </c>
      <c r="J44" s="92" t="s">
        <v>866</v>
      </c>
      <c r="K44" s="92" t="s">
        <v>867</v>
      </c>
      <c r="L44" s="93">
        <f>IFERROR(INDEX('Prior Multipliers'!$C$6:$C$70,MATCH(LEFT(G44,10),'Prior Multipliers'!$A$6:$A$70,0)),IFERROR(INDEX('Prior Multipliers'!$C$6:$C$70,MATCH(LEFT(G44,6),'Prior Multipliers'!$A$6:$A$70,0)),IFERROR(INDEX('Prior Multipliers'!$C$6:$C$70,MATCH(LEFT(G44,2),'Prior Multipliers'!$A$6:$A$70,0)),1)))</f>
        <v>1.21</v>
      </c>
    </row>
    <row r="45" spans="1:12" ht="25.5" customHeight="1" x14ac:dyDescent="0.35">
      <c r="A45" s="90" t="s">
        <v>565</v>
      </c>
      <c r="B45" s="90" t="s">
        <v>857</v>
      </c>
      <c r="C45" s="90" t="s">
        <v>931</v>
      </c>
      <c r="D45" s="90" t="s">
        <v>932</v>
      </c>
      <c r="E45" s="90" t="s">
        <v>1018</v>
      </c>
      <c r="F45" s="90" t="s">
        <v>1019</v>
      </c>
      <c r="G45" s="90" t="s">
        <v>1020</v>
      </c>
      <c r="H45" s="90" t="s">
        <v>1021</v>
      </c>
      <c r="I45" s="90"/>
      <c r="J45" s="90" t="s">
        <v>866</v>
      </c>
      <c r="K45" s="90" t="s">
        <v>867</v>
      </c>
      <c r="L45" s="91">
        <f>IFERROR(INDEX('Prior Multipliers'!$C$6:$C$70,MATCH(LEFT(G45,10),'Prior Multipliers'!$A$6:$A$70,0)),IFERROR(INDEX('Prior Multipliers'!$C$6:$C$70,MATCH(LEFT(G45,6),'Prior Multipliers'!$A$6:$A$70,0)),IFERROR(INDEX('Prior Multipliers'!$C$6:$C$70,MATCH(LEFT(G45,2),'Prior Multipliers'!$A$6:$A$70,0)),1)))</f>
        <v>1.21</v>
      </c>
    </row>
    <row r="46" spans="1:12" ht="25.5" customHeight="1" x14ac:dyDescent="0.35">
      <c r="A46" s="90" t="s">
        <v>565</v>
      </c>
      <c r="B46" s="90" t="s">
        <v>857</v>
      </c>
      <c r="C46" s="90" t="s">
        <v>931</v>
      </c>
      <c r="D46" s="90" t="s">
        <v>932</v>
      </c>
      <c r="E46" s="90" t="s">
        <v>1022</v>
      </c>
      <c r="F46" s="90" t="s">
        <v>1023</v>
      </c>
      <c r="G46" s="90" t="s">
        <v>948</v>
      </c>
      <c r="H46" s="90" t="s">
        <v>1024</v>
      </c>
      <c r="I46" s="90"/>
      <c r="J46" s="90"/>
      <c r="K46" s="90"/>
      <c r="L46" s="91">
        <f>IFERROR(INDEX('Prior Multipliers'!$C$6:$C$70,MATCH(LEFT(G46,10),'Prior Multipliers'!$A$6:$A$70,0)),IFERROR(INDEX('Prior Multipliers'!$C$6:$C$70,MATCH(LEFT(G46,6),'Prior Multipliers'!$A$6:$A$70,0)),IFERROR(INDEX('Prior Multipliers'!$C$6:$C$70,MATCH(LEFT(G46,2),'Prior Multipliers'!$A$6:$A$70,0)),1)))</f>
        <v>1.21</v>
      </c>
    </row>
    <row r="47" spans="1:12" ht="25.5" customHeight="1" x14ac:dyDescent="0.35">
      <c r="A47" s="90" t="s">
        <v>565</v>
      </c>
      <c r="B47" s="90" t="s">
        <v>857</v>
      </c>
      <c r="C47" s="90" t="s">
        <v>931</v>
      </c>
      <c r="D47" s="90" t="s">
        <v>932</v>
      </c>
      <c r="E47" s="90" t="s">
        <v>1025</v>
      </c>
      <c r="F47" s="90" t="s">
        <v>1026</v>
      </c>
      <c r="G47" s="90" t="s">
        <v>1027</v>
      </c>
      <c r="H47" s="90" t="s">
        <v>1028</v>
      </c>
      <c r="I47" s="90"/>
      <c r="J47" s="90" t="s">
        <v>866</v>
      </c>
      <c r="K47" s="90" t="s">
        <v>867</v>
      </c>
      <c r="L47" s="91">
        <f>IFERROR(INDEX('Prior Multipliers'!$C$6:$C$70,MATCH(LEFT(G47,10),'Prior Multipliers'!$A$6:$A$70,0)),IFERROR(INDEX('Prior Multipliers'!$C$6:$C$70,MATCH(LEFT(G47,6),'Prior Multipliers'!$A$6:$A$70,0)),IFERROR(INDEX('Prior Multipliers'!$C$6:$C$70,MATCH(LEFT(G47,2),'Prior Multipliers'!$A$6:$A$70,0)),1)))</f>
        <v>1.21</v>
      </c>
    </row>
    <row r="48" spans="1:12" ht="25.5" customHeight="1" x14ac:dyDescent="0.35">
      <c r="A48" s="90" t="s">
        <v>565</v>
      </c>
      <c r="B48" s="90" t="s">
        <v>857</v>
      </c>
      <c r="C48" s="90" t="s">
        <v>931</v>
      </c>
      <c r="D48" s="90" t="s">
        <v>932</v>
      </c>
      <c r="E48" s="90" t="s">
        <v>1029</v>
      </c>
      <c r="F48" s="90" t="s">
        <v>1030</v>
      </c>
      <c r="G48" s="90" t="s">
        <v>1031</v>
      </c>
      <c r="H48" s="90" t="s">
        <v>1032</v>
      </c>
      <c r="I48" s="90"/>
      <c r="J48" s="90" t="s">
        <v>866</v>
      </c>
      <c r="K48" s="90" t="s">
        <v>867</v>
      </c>
      <c r="L48" s="91">
        <f>IFERROR(INDEX('Prior Multipliers'!$C$6:$C$70,MATCH(LEFT(G48,10),'Prior Multipliers'!$A$6:$A$70,0)),IFERROR(INDEX('Prior Multipliers'!$C$6:$C$70,MATCH(LEFT(G48,6),'Prior Multipliers'!$A$6:$A$70,0)),IFERROR(INDEX('Prior Multipliers'!$C$6:$C$70,MATCH(LEFT(G48,2),'Prior Multipliers'!$A$6:$A$70,0)),1)))</f>
        <v>1.21</v>
      </c>
    </row>
    <row r="49" spans="1:12" x14ac:dyDescent="0.35">
      <c r="A49" s="90" t="s">
        <v>565</v>
      </c>
      <c r="B49" s="90" t="s">
        <v>857</v>
      </c>
      <c r="C49" s="90" t="s">
        <v>931</v>
      </c>
      <c r="D49" s="90" t="s">
        <v>932</v>
      </c>
      <c r="E49" s="90" t="s">
        <v>1033</v>
      </c>
      <c r="F49" s="90" t="s">
        <v>1034</v>
      </c>
      <c r="G49" s="90" t="s">
        <v>975</v>
      </c>
      <c r="H49" s="90" t="s">
        <v>1035</v>
      </c>
      <c r="I49" s="90"/>
      <c r="J49" s="90"/>
      <c r="K49" s="90"/>
      <c r="L49" s="91">
        <f>IFERROR(INDEX('Prior Multipliers'!$C$6:$C$70,MATCH(LEFT(G49,10),'Prior Multipliers'!$A$6:$A$70,0)),IFERROR(INDEX('Prior Multipliers'!$C$6:$C$70,MATCH(LEFT(G49,6),'Prior Multipliers'!$A$6:$A$70,0)),IFERROR(INDEX('Prior Multipliers'!$C$6:$C$70,MATCH(LEFT(G49,2),'Prior Multipliers'!$A$6:$A$70,0)),1)))</f>
        <v>1.21</v>
      </c>
    </row>
    <row r="50" spans="1:12" x14ac:dyDescent="0.35">
      <c r="A50" s="90" t="s">
        <v>565</v>
      </c>
      <c r="B50" s="90" t="s">
        <v>857</v>
      </c>
      <c r="C50" s="90" t="s">
        <v>931</v>
      </c>
      <c r="D50" s="90" t="s">
        <v>932</v>
      </c>
      <c r="E50" s="90" t="s">
        <v>1036</v>
      </c>
      <c r="F50" s="90" t="s">
        <v>1037</v>
      </c>
      <c r="G50" s="90" t="s">
        <v>1038</v>
      </c>
      <c r="H50" s="90" t="s">
        <v>1039</v>
      </c>
      <c r="I50" s="90"/>
      <c r="J50" s="90"/>
      <c r="K50" s="90"/>
      <c r="L50" s="91">
        <f>IFERROR(INDEX('Prior Multipliers'!$C$6:$C$70,MATCH(LEFT(G50,10),'Prior Multipliers'!$A$6:$A$70,0)),IFERROR(INDEX('Prior Multipliers'!$C$6:$C$70,MATCH(LEFT(G50,6),'Prior Multipliers'!$A$6:$A$70,0)),IFERROR(INDEX('Prior Multipliers'!$C$6:$C$70,MATCH(LEFT(G50,2),'Prior Multipliers'!$A$6:$A$70,0)),1)))</f>
        <v>1.21</v>
      </c>
    </row>
    <row r="51" spans="1:12" ht="25.5" customHeight="1" x14ac:dyDescent="0.35">
      <c r="A51" s="90" t="s">
        <v>565</v>
      </c>
      <c r="B51" s="90" t="s">
        <v>857</v>
      </c>
      <c r="C51" s="90" t="s">
        <v>931</v>
      </c>
      <c r="D51" s="90" t="s">
        <v>932</v>
      </c>
      <c r="E51" s="90" t="s">
        <v>1040</v>
      </c>
      <c r="F51" s="90" t="s">
        <v>1041</v>
      </c>
      <c r="G51" s="90" t="s">
        <v>1042</v>
      </c>
      <c r="H51" s="90" t="s">
        <v>1043</v>
      </c>
      <c r="I51" s="90"/>
      <c r="J51" s="90" t="s">
        <v>866</v>
      </c>
      <c r="K51" s="90" t="s">
        <v>867</v>
      </c>
      <c r="L51" s="91">
        <f>IFERROR(INDEX('Prior Multipliers'!$C$6:$C$70,MATCH(LEFT(G51,10),'Prior Multipliers'!$A$6:$A$70,0)),IFERROR(INDEX('Prior Multipliers'!$C$6:$C$70,MATCH(LEFT(G51,6),'Prior Multipliers'!$A$6:$A$70,0)),IFERROR(INDEX('Prior Multipliers'!$C$6:$C$70,MATCH(LEFT(G51,2),'Prior Multipliers'!$A$6:$A$70,0)),1)))</f>
        <v>1.21</v>
      </c>
    </row>
    <row r="52" spans="1:12" x14ac:dyDescent="0.35">
      <c r="A52" s="90" t="s">
        <v>565</v>
      </c>
      <c r="B52" s="90" t="s">
        <v>857</v>
      </c>
      <c r="C52" s="90" t="s">
        <v>931</v>
      </c>
      <c r="D52" s="90" t="s">
        <v>932</v>
      </c>
      <c r="E52" s="90" t="s">
        <v>1044</v>
      </c>
      <c r="F52" s="90" t="s">
        <v>1045</v>
      </c>
      <c r="G52" s="90" t="s">
        <v>980</v>
      </c>
      <c r="H52" s="90" t="s">
        <v>1046</v>
      </c>
      <c r="I52" s="90"/>
      <c r="J52" s="90"/>
      <c r="K52" s="90"/>
      <c r="L52" s="91">
        <f>IFERROR(INDEX('Prior Multipliers'!$C$6:$C$70,MATCH(LEFT(G52,10),'Prior Multipliers'!$A$6:$A$70,0)),IFERROR(INDEX('Prior Multipliers'!$C$6:$C$70,MATCH(LEFT(G52,6),'Prior Multipliers'!$A$6:$A$70,0)),IFERROR(INDEX('Prior Multipliers'!$C$6:$C$70,MATCH(LEFT(G52,2),'Prior Multipliers'!$A$6:$A$70,0)),1)))</f>
        <v>1.21</v>
      </c>
    </row>
    <row r="53" spans="1:12" x14ac:dyDescent="0.35">
      <c r="A53" s="90" t="s">
        <v>565</v>
      </c>
      <c r="B53" s="90" t="s">
        <v>857</v>
      </c>
      <c r="C53" s="90" t="s">
        <v>931</v>
      </c>
      <c r="D53" s="90" t="s">
        <v>932</v>
      </c>
      <c r="E53" s="90" t="s">
        <v>904</v>
      </c>
      <c r="F53" s="90" t="s">
        <v>1047</v>
      </c>
      <c r="G53" s="90" t="s">
        <v>1048</v>
      </c>
      <c r="H53" s="90" t="s">
        <v>1049</v>
      </c>
      <c r="I53" s="90"/>
      <c r="J53" s="90"/>
      <c r="K53" s="90"/>
      <c r="L53" s="91">
        <f>IFERROR(INDEX('Prior Multipliers'!$C$6:$C$70,MATCH(LEFT(G53,10),'Prior Multipliers'!$A$6:$A$70,0)),IFERROR(INDEX('Prior Multipliers'!$C$6:$C$70,MATCH(LEFT(G53,6),'Prior Multipliers'!$A$6:$A$70,0)),IFERROR(INDEX('Prior Multipliers'!$C$6:$C$70,MATCH(LEFT(G53,2),'Prior Multipliers'!$A$6:$A$70,0)),1)))</f>
        <v>1.21</v>
      </c>
    </row>
    <row r="54" spans="1:12" ht="25.5" customHeight="1" x14ac:dyDescent="0.35">
      <c r="A54" s="90" t="s">
        <v>565</v>
      </c>
      <c r="B54" s="90" t="s">
        <v>857</v>
      </c>
      <c r="C54" s="90" t="s">
        <v>931</v>
      </c>
      <c r="D54" s="90" t="s">
        <v>932</v>
      </c>
      <c r="E54" s="90" t="s">
        <v>1050</v>
      </c>
      <c r="F54" s="90" t="s">
        <v>1051</v>
      </c>
      <c r="G54" s="90" t="s">
        <v>1052</v>
      </c>
      <c r="H54" s="90" t="s">
        <v>1053</v>
      </c>
      <c r="I54" s="90"/>
      <c r="J54" s="90" t="s">
        <v>866</v>
      </c>
      <c r="K54" s="90" t="s">
        <v>867</v>
      </c>
      <c r="L54" s="91">
        <f>IFERROR(INDEX('Prior Multipliers'!$C$6:$C$70,MATCH(LEFT(G54,10),'Prior Multipliers'!$A$6:$A$70,0)),IFERROR(INDEX('Prior Multipliers'!$C$6:$C$70,MATCH(LEFT(G54,6),'Prior Multipliers'!$A$6:$A$70,0)),IFERROR(INDEX('Prior Multipliers'!$C$6:$C$70,MATCH(LEFT(G54,2),'Prior Multipliers'!$A$6:$A$70,0)),1)))</f>
        <v>1.21</v>
      </c>
    </row>
    <row r="55" spans="1:12" ht="25.5" customHeight="1" x14ac:dyDescent="0.35">
      <c r="A55" s="90" t="s">
        <v>565</v>
      </c>
      <c r="B55" s="90" t="s">
        <v>857</v>
      </c>
      <c r="C55" s="90" t="s">
        <v>931</v>
      </c>
      <c r="D55" s="90" t="s">
        <v>932</v>
      </c>
      <c r="E55" s="90" t="s">
        <v>1054</v>
      </c>
      <c r="F55" s="90" t="s">
        <v>1055</v>
      </c>
      <c r="G55" s="90" t="s">
        <v>1056</v>
      </c>
      <c r="H55" s="90" t="s">
        <v>1057</v>
      </c>
      <c r="I55" s="90"/>
      <c r="J55" s="90" t="s">
        <v>866</v>
      </c>
      <c r="K55" s="90" t="s">
        <v>867</v>
      </c>
      <c r="L55" s="91">
        <f>IFERROR(INDEX('Prior Multipliers'!$C$6:$C$70,MATCH(LEFT(G55,10),'Prior Multipliers'!$A$6:$A$70,0)),IFERROR(INDEX('Prior Multipliers'!$C$6:$C$70,MATCH(LEFT(G55,6),'Prior Multipliers'!$A$6:$A$70,0)),IFERROR(INDEX('Prior Multipliers'!$C$6:$C$70,MATCH(LEFT(G55,2),'Prior Multipliers'!$A$6:$A$70,0)),1)))</f>
        <v>1.21</v>
      </c>
    </row>
    <row r="56" spans="1:12" x14ac:dyDescent="0.35">
      <c r="A56" s="90" t="s">
        <v>565</v>
      </c>
      <c r="B56" s="90" t="s">
        <v>857</v>
      </c>
      <c r="C56" s="90" t="s">
        <v>931</v>
      </c>
      <c r="D56" s="90" t="s">
        <v>932</v>
      </c>
      <c r="E56" s="90" t="s">
        <v>1058</v>
      </c>
      <c r="F56" s="90" t="s">
        <v>1059</v>
      </c>
      <c r="G56" s="90" t="s">
        <v>1060</v>
      </c>
      <c r="H56" s="90" t="s">
        <v>1061</v>
      </c>
      <c r="I56" s="90"/>
      <c r="J56" s="90"/>
      <c r="K56" s="90"/>
      <c r="L56" s="91">
        <f>IFERROR(INDEX('Prior Multipliers'!$C$6:$C$70,MATCH(LEFT(G56,10),'Prior Multipliers'!$A$6:$A$70,0)),IFERROR(INDEX('Prior Multipliers'!$C$6:$C$70,MATCH(LEFT(G56,6),'Prior Multipliers'!$A$6:$A$70,0)),IFERROR(INDEX('Prior Multipliers'!$C$6:$C$70,MATCH(LEFT(G56,2),'Prior Multipliers'!$A$6:$A$70,0)),1)))</f>
        <v>1.21</v>
      </c>
    </row>
    <row r="57" spans="1:12" x14ac:dyDescent="0.35">
      <c r="A57" s="90" t="s">
        <v>565</v>
      </c>
      <c r="B57" s="90" t="s">
        <v>857</v>
      </c>
      <c r="C57" s="90" t="s">
        <v>931</v>
      </c>
      <c r="D57" s="90" t="s">
        <v>932</v>
      </c>
      <c r="E57" s="90" t="s">
        <v>1062</v>
      </c>
      <c r="F57" s="90" t="s">
        <v>1063</v>
      </c>
      <c r="G57" s="90" t="s">
        <v>1064</v>
      </c>
      <c r="H57" s="90" t="s">
        <v>1065</v>
      </c>
      <c r="I57" s="90"/>
      <c r="J57" s="90"/>
      <c r="K57" s="90"/>
      <c r="L57" s="91">
        <f>IFERROR(INDEX('Prior Multipliers'!$C$6:$C$70,MATCH(LEFT(G57,10),'Prior Multipliers'!$A$6:$A$70,0)),IFERROR(INDEX('Prior Multipliers'!$C$6:$C$70,MATCH(LEFT(G57,6),'Prior Multipliers'!$A$6:$A$70,0)),IFERROR(INDEX('Prior Multipliers'!$C$6:$C$70,MATCH(LEFT(G57,2),'Prior Multipliers'!$A$6:$A$70,0)),1)))</f>
        <v>1.21</v>
      </c>
    </row>
    <row r="58" spans="1:12" x14ac:dyDescent="0.35">
      <c r="A58" s="90" t="s">
        <v>565</v>
      </c>
      <c r="B58" s="90" t="s">
        <v>857</v>
      </c>
      <c r="C58" s="90" t="s">
        <v>931</v>
      </c>
      <c r="D58" s="90" t="s">
        <v>932</v>
      </c>
      <c r="E58" s="90" t="s">
        <v>1066</v>
      </c>
      <c r="F58" s="90" t="s">
        <v>1067</v>
      </c>
      <c r="G58" s="90" t="s">
        <v>1068</v>
      </c>
      <c r="H58" s="90" t="s">
        <v>1069</v>
      </c>
      <c r="I58" s="90"/>
      <c r="J58" s="90"/>
      <c r="K58" s="90"/>
      <c r="L58" s="91">
        <f>IFERROR(INDEX('Prior Multipliers'!$C$6:$C$70,MATCH(LEFT(G58,10),'Prior Multipliers'!$A$6:$A$70,0)),IFERROR(INDEX('Prior Multipliers'!$C$6:$C$70,MATCH(LEFT(G58,6),'Prior Multipliers'!$A$6:$A$70,0)),IFERROR(INDEX('Prior Multipliers'!$C$6:$C$70,MATCH(LEFT(G58,2),'Prior Multipliers'!$A$6:$A$70,0)),1)))</f>
        <v>1.21</v>
      </c>
    </row>
    <row r="59" spans="1:12" ht="25.5" customHeight="1" x14ac:dyDescent="0.35">
      <c r="A59" s="92" t="s">
        <v>565</v>
      </c>
      <c r="B59" s="92" t="s">
        <v>857</v>
      </c>
      <c r="C59" s="92" t="s">
        <v>931</v>
      </c>
      <c r="D59" s="92" t="s">
        <v>932</v>
      </c>
      <c r="E59" s="92" t="s">
        <v>1070</v>
      </c>
      <c r="F59" s="92" t="s">
        <v>1071</v>
      </c>
      <c r="G59" s="92" t="s">
        <v>1072</v>
      </c>
      <c r="H59" s="92" t="s">
        <v>1073</v>
      </c>
      <c r="I59" s="92" t="s">
        <v>939</v>
      </c>
      <c r="J59" s="92" t="s">
        <v>866</v>
      </c>
      <c r="K59" s="92" t="s">
        <v>867</v>
      </c>
      <c r="L59" s="93">
        <f>IFERROR(INDEX('Prior Multipliers'!$C$6:$C$70,MATCH(LEFT(G59,10),'Prior Multipliers'!$A$6:$A$70,0)),IFERROR(INDEX('Prior Multipliers'!$C$6:$C$70,MATCH(LEFT(G59,6),'Prior Multipliers'!$A$6:$A$70,0)),IFERROR(INDEX('Prior Multipliers'!$C$6:$C$70,MATCH(LEFT(G59,2),'Prior Multipliers'!$A$6:$A$70,0)),1)))</f>
        <v>1.21</v>
      </c>
    </row>
    <row r="60" spans="1:12" x14ac:dyDescent="0.35">
      <c r="A60" s="90" t="s">
        <v>565</v>
      </c>
      <c r="B60" s="90" t="s">
        <v>857</v>
      </c>
      <c r="C60" s="90" t="s">
        <v>931</v>
      </c>
      <c r="D60" s="90" t="s">
        <v>932</v>
      </c>
      <c r="E60" s="90" t="s">
        <v>1074</v>
      </c>
      <c r="F60" s="90" t="s">
        <v>1075</v>
      </c>
      <c r="G60" s="90" t="s">
        <v>957</v>
      </c>
      <c r="H60" s="90" t="s">
        <v>1076</v>
      </c>
      <c r="I60" s="90"/>
      <c r="J60" s="90"/>
      <c r="K60" s="90"/>
      <c r="L60" s="91">
        <f>IFERROR(INDEX('Prior Multipliers'!$C$6:$C$70,MATCH(LEFT(G60,10),'Prior Multipliers'!$A$6:$A$70,0)),IFERROR(INDEX('Prior Multipliers'!$C$6:$C$70,MATCH(LEFT(G60,6),'Prior Multipliers'!$A$6:$A$70,0)),IFERROR(INDEX('Prior Multipliers'!$C$6:$C$70,MATCH(LEFT(G60,2),'Prior Multipliers'!$A$6:$A$70,0)),1)))</f>
        <v>1.21</v>
      </c>
    </row>
    <row r="61" spans="1:12" ht="25.5" customHeight="1" x14ac:dyDescent="0.35">
      <c r="A61" s="92" t="s">
        <v>565</v>
      </c>
      <c r="B61" s="92" t="s">
        <v>857</v>
      </c>
      <c r="C61" s="92" t="s">
        <v>931</v>
      </c>
      <c r="D61" s="92" t="s">
        <v>932</v>
      </c>
      <c r="E61" s="92" t="s">
        <v>1077</v>
      </c>
      <c r="F61" s="92" t="s">
        <v>1078</v>
      </c>
      <c r="G61" s="92" t="s">
        <v>1079</v>
      </c>
      <c r="H61" s="92" t="s">
        <v>1080</v>
      </c>
      <c r="I61" s="92" t="s">
        <v>948</v>
      </c>
      <c r="J61" s="92" t="s">
        <v>866</v>
      </c>
      <c r="K61" s="92" t="s">
        <v>867</v>
      </c>
      <c r="L61" s="93">
        <f>IFERROR(INDEX('Prior Multipliers'!$C$6:$C$70,MATCH(LEFT(G61,10),'Prior Multipliers'!$A$6:$A$70,0)),IFERROR(INDEX('Prior Multipliers'!$C$6:$C$70,MATCH(LEFT(G61,6),'Prior Multipliers'!$A$6:$A$70,0)),IFERROR(INDEX('Prior Multipliers'!$C$6:$C$70,MATCH(LEFT(G61,2),'Prior Multipliers'!$A$6:$A$70,0)),1)))</f>
        <v>1.21</v>
      </c>
    </row>
    <row r="62" spans="1:12" ht="51.75" customHeight="1" x14ac:dyDescent="0.35">
      <c r="A62" s="90" t="s">
        <v>629</v>
      </c>
      <c r="B62" s="90" t="s">
        <v>1081</v>
      </c>
      <c r="C62" s="90" t="s">
        <v>1082</v>
      </c>
      <c r="D62" s="90" t="s">
        <v>1083</v>
      </c>
      <c r="E62" s="90"/>
      <c r="F62" s="90" t="s">
        <v>1084</v>
      </c>
      <c r="G62" s="90" t="s">
        <v>797</v>
      </c>
      <c r="H62" s="90" t="s">
        <v>1085</v>
      </c>
      <c r="I62" s="90"/>
      <c r="J62" s="90"/>
      <c r="K62" s="90"/>
      <c r="L62" s="91">
        <f>IFERROR(INDEX('Prior Multipliers'!$C$6:$C$70,MATCH(LEFT(G62,10),'Prior Multipliers'!$A$6:$A$70,0)),IFERROR(INDEX('Prior Multipliers'!$C$6:$C$70,MATCH(LEFT(G62,6),'Prior Multipliers'!$A$6:$A$70,0)),IFERROR(INDEX('Prior Multipliers'!$C$6:$C$70,MATCH(LEFT(G62,2),'Prior Multipliers'!$A$6:$A$70,0)),1)))</f>
        <v>1.18</v>
      </c>
    </row>
    <row r="63" spans="1:12" ht="51.75" customHeight="1" x14ac:dyDescent="0.35">
      <c r="A63" s="90" t="s">
        <v>629</v>
      </c>
      <c r="B63" s="90" t="s">
        <v>1081</v>
      </c>
      <c r="C63" s="90" t="s">
        <v>1082</v>
      </c>
      <c r="D63" s="90" t="s">
        <v>1083</v>
      </c>
      <c r="E63" s="90" t="s">
        <v>1086</v>
      </c>
      <c r="F63" s="90" t="s">
        <v>1087</v>
      </c>
      <c r="G63" s="90" t="s">
        <v>1088</v>
      </c>
      <c r="H63" s="90" t="s">
        <v>1089</v>
      </c>
      <c r="I63" s="90"/>
      <c r="J63" s="90"/>
      <c r="K63" s="90"/>
      <c r="L63" s="91">
        <f>IFERROR(INDEX('Prior Multipliers'!$C$6:$C$70,MATCH(LEFT(G63,10),'Prior Multipliers'!$A$6:$A$70,0)),IFERROR(INDEX('Prior Multipliers'!$C$6:$C$70,MATCH(LEFT(G63,6),'Prior Multipliers'!$A$6:$A$70,0)),IFERROR(INDEX('Prior Multipliers'!$C$6:$C$70,MATCH(LEFT(G63,2),'Prior Multipliers'!$A$6:$A$70,0)),1)))</f>
        <v>1.18</v>
      </c>
    </row>
    <row r="64" spans="1:12" ht="51.75" customHeight="1" x14ac:dyDescent="0.35">
      <c r="A64" s="92" t="s">
        <v>629</v>
      </c>
      <c r="B64" s="92" t="s">
        <v>1081</v>
      </c>
      <c r="C64" s="92" t="s">
        <v>1082</v>
      </c>
      <c r="D64" s="92" t="s">
        <v>1083</v>
      </c>
      <c r="E64" s="92" t="s">
        <v>1090</v>
      </c>
      <c r="F64" s="92" t="s">
        <v>1091</v>
      </c>
      <c r="G64" s="92" t="s">
        <v>1092</v>
      </c>
      <c r="H64" s="92" t="s">
        <v>1093</v>
      </c>
      <c r="I64" s="92" t="s">
        <v>1094</v>
      </c>
      <c r="J64" s="92" t="s">
        <v>1095</v>
      </c>
      <c r="K64" s="92" t="s">
        <v>1096</v>
      </c>
      <c r="L64" s="93">
        <f>IFERROR(INDEX('Prior Multipliers'!$C$6:$C$70,MATCH(LEFT(G64,10),'Prior Multipliers'!$A$6:$A$70,0)),IFERROR(INDEX('Prior Multipliers'!$C$6:$C$70,MATCH(LEFT(G64,6),'Prior Multipliers'!$A$6:$A$70,0)),IFERROR(INDEX('Prior Multipliers'!$C$6:$C$70,MATCH(LEFT(G64,2),'Prior Multipliers'!$A$6:$A$70,0)),1)))</f>
        <v>1.21</v>
      </c>
    </row>
    <row r="65" spans="1:12" ht="51.75" customHeight="1" x14ac:dyDescent="0.35">
      <c r="A65" s="92" t="s">
        <v>629</v>
      </c>
      <c r="B65" s="92" t="s">
        <v>1081</v>
      </c>
      <c r="C65" s="92" t="s">
        <v>1082</v>
      </c>
      <c r="D65" s="92" t="s">
        <v>1083</v>
      </c>
      <c r="E65" s="92" t="s">
        <v>1097</v>
      </c>
      <c r="F65" s="92" t="s">
        <v>1098</v>
      </c>
      <c r="G65" s="92" t="s">
        <v>1099</v>
      </c>
      <c r="H65" s="92" t="s">
        <v>1100</v>
      </c>
      <c r="I65" s="92" t="s">
        <v>1101</v>
      </c>
      <c r="J65" s="92" t="s">
        <v>1095</v>
      </c>
      <c r="K65" s="92" t="s">
        <v>1096</v>
      </c>
      <c r="L65" s="93">
        <f>IFERROR(INDEX('Prior Multipliers'!$C$6:$C$70,MATCH(LEFT(G65,10),'Prior Multipliers'!$A$6:$A$70,0)),IFERROR(INDEX('Prior Multipliers'!$C$6:$C$70,MATCH(LEFT(G65,6),'Prior Multipliers'!$A$6:$A$70,0)),IFERROR(INDEX('Prior Multipliers'!$C$6:$C$70,MATCH(LEFT(G65,2),'Prior Multipliers'!$A$6:$A$70,0)),1)))</f>
        <v>1.21</v>
      </c>
    </row>
    <row r="66" spans="1:12" ht="51.75" customHeight="1" x14ac:dyDescent="0.35">
      <c r="A66" s="90" t="s">
        <v>629</v>
      </c>
      <c r="B66" s="90" t="s">
        <v>1081</v>
      </c>
      <c r="C66" s="90" t="s">
        <v>1082</v>
      </c>
      <c r="D66" s="90" t="s">
        <v>1083</v>
      </c>
      <c r="E66" s="90" t="s">
        <v>1102</v>
      </c>
      <c r="F66" s="90" t="s">
        <v>1103</v>
      </c>
      <c r="G66" s="90" t="s">
        <v>1104</v>
      </c>
      <c r="H66" s="90" t="s">
        <v>1105</v>
      </c>
      <c r="I66" s="90"/>
      <c r="J66" s="90" t="s">
        <v>1095</v>
      </c>
      <c r="K66" s="90" t="s">
        <v>1096</v>
      </c>
      <c r="L66" s="91">
        <f>IFERROR(INDEX('Prior Multipliers'!$C$6:$C$70,MATCH(LEFT(G66,10),'Prior Multipliers'!$A$6:$A$70,0)),IFERROR(INDEX('Prior Multipliers'!$C$6:$C$70,MATCH(LEFT(G66,6),'Prior Multipliers'!$A$6:$A$70,0)),IFERROR(INDEX('Prior Multipliers'!$C$6:$C$70,MATCH(LEFT(G66,2),'Prior Multipliers'!$A$6:$A$70,0)),1)))</f>
        <v>1.21</v>
      </c>
    </row>
    <row r="67" spans="1:12" ht="51.75" customHeight="1" x14ac:dyDescent="0.35">
      <c r="A67" s="90" t="s">
        <v>629</v>
      </c>
      <c r="B67" s="90" t="s">
        <v>1081</v>
      </c>
      <c r="C67" s="90" t="s">
        <v>1082</v>
      </c>
      <c r="D67" s="90" t="s">
        <v>1083</v>
      </c>
      <c r="E67" s="90" t="s">
        <v>1106</v>
      </c>
      <c r="F67" s="90" t="s">
        <v>1107</v>
      </c>
      <c r="G67" s="90" t="s">
        <v>1108</v>
      </c>
      <c r="H67" s="90" t="s">
        <v>672</v>
      </c>
      <c r="I67" s="90"/>
      <c r="J67" s="90"/>
      <c r="K67" s="90"/>
      <c r="L67" s="91">
        <f>IFERROR(INDEX('Prior Multipliers'!$C$6:$C$70,MATCH(LEFT(G67,10),'Prior Multipliers'!$A$6:$A$70,0)),IFERROR(INDEX('Prior Multipliers'!$C$6:$C$70,MATCH(LEFT(G67,6),'Prior Multipliers'!$A$6:$A$70,0)),IFERROR(INDEX('Prior Multipliers'!$C$6:$C$70,MATCH(LEFT(G67,2),'Prior Multipliers'!$A$6:$A$70,0)),1)))</f>
        <v>1.21</v>
      </c>
    </row>
    <row r="68" spans="1:12" ht="51.75" customHeight="1" x14ac:dyDescent="0.35">
      <c r="A68" s="90" t="s">
        <v>629</v>
      </c>
      <c r="B68" s="90" t="s">
        <v>1081</v>
      </c>
      <c r="C68" s="90" t="s">
        <v>1082</v>
      </c>
      <c r="D68" s="90" t="s">
        <v>1083</v>
      </c>
      <c r="E68" s="90" t="s">
        <v>1109</v>
      </c>
      <c r="F68" s="90" t="s">
        <v>1110</v>
      </c>
      <c r="G68" s="90" t="s">
        <v>1094</v>
      </c>
      <c r="H68" s="90" t="s">
        <v>1111</v>
      </c>
      <c r="I68" s="90"/>
      <c r="J68" s="90"/>
      <c r="K68" s="90"/>
      <c r="L68" s="91">
        <f>IFERROR(INDEX('Prior Multipliers'!$C$6:$C$70,MATCH(LEFT(G68,10),'Prior Multipliers'!$A$6:$A$70,0)),IFERROR(INDEX('Prior Multipliers'!$C$6:$C$70,MATCH(LEFT(G68,6),'Prior Multipliers'!$A$6:$A$70,0)),IFERROR(INDEX('Prior Multipliers'!$C$6:$C$70,MATCH(LEFT(G68,2),'Prior Multipliers'!$A$6:$A$70,0)),1)))</f>
        <v>1.21</v>
      </c>
    </row>
    <row r="69" spans="1:12" ht="51.75" customHeight="1" x14ac:dyDescent="0.35">
      <c r="A69" s="90" t="s">
        <v>629</v>
      </c>
      <c r="B69" s="90" t="s">
        <v>1081</v>
      </c>
      <c r="C69" s="90" t="s">
        <v>1082</v>
      </c>
      <c r="D69" s="90" t="s">
        <v>1083</v>
      </c>
      <c r="E69" s="90" t="s">
        <v>1112</v>
      </c>
      <c r="F69" s="90" t="s">
        <v>1113</v>
      </c>
      <c r="G69" s="90" t="s">
        <v>1101</v>
      </c>
      <c r="H69" s="90" t="s">
        <v>1114</v>
      </c>
      <c r="I69" s="90"/>
      <c r="J69" s="90"/>
      <c r="K69" s="90"/>
      <c r="L69" s="91">
        <f>IFERROR(INDEX('Prior Multipliers'!$C$6:$C$70,MATCH(LEFT(G69,10),'Prior Multipliers'!$A$6:$A$70,0)),IFERROR(INDEX('Prior Multipliers'!$C$6:$C$70,MATCH(LEFT(G69,6),'Prior Multipliers'!$A$6:$A$70,0)),IFERROR(INDEX('Prior Multipliers'!$C$6:$C$70,MATCH(LEFT(G69,2),'Prior Multipliers'!$A$6:$A$70,0)),1)))</f>
        <v>1.21</v>
      </c>
    </row>
    <row r="70" spans="1:12" ht="51.75" customHeight="1" x14ac:dyDescent="0.35">
      <c r="A70" s="92" t="s">
        <v>629</v>
      </c>
      <c r="B70" s="92" t="s">
        <v>1081</v>
      </c>
      <c r="C70" s="92" t="s">
        <v>1082</v>
      </c>
      <c r="D70" s="92" t="s">
        <v>1083</v>
      </c>
      <c r="E70" s="92" t="s">
        <v>1115</v>
      </c>
      <c r="F70" s="92" t="s">
        <v>1116</v>
      </c>
      <c r="G70" s="92" t="s">
        <v>1117</v>
      </c>
      <c r="H70" s="92" t="s">
        <v>1118</v>
      </c>
      <c r="I70" s="92" t="s">
        <v>1119</v>
      </c>
      <c r="J70" s="92" t="s">
        <v>1095</v>
      </c>
      <c r="K70" s="92" t="s">
        <v>1096</v>
      </c>
      <c r="L70" s="93">
        <f>IFERROR(INDEX('Prior Multipliers'!$C$6:$C$70,MATCH(LEFT(G70,10),'Prior Multipliers'!$A$6:$A$70,0)),IFERROR(INDEX('Prior Multipliers'!$C$6:$C$70,MATCH(LEFT(G70,6),'Prior Multipliers'!$A$6:$A$70,0)),IFERROR(INDEX('Prior Multipliers'!$C$6:$C$70,MATCH(LEFT(G70,2),'Prior Multipliers'!$A$6:$A$70,0)),1)))</f>
        <v>1.21</v>
      </c>
    </row>
    <row r="71" spans="1:12" ht="51.75" customHeight="1" x14ac:dyDescent="0.35">
      <c r="A71" s="90" t="s">
        <v>629</v>
      </c>
      <c r="B71" s="90" t="s">
        <v>1081</v>
      </c>
      <c r="C71" s="90" t="s">
        <v>1082</v>
      </c>
      <c r="D71" s="90" t="s">
        <v>1083</v>
      </c>
      <c r="E71" s="90" t="s">
        <v>1120</v>
      </c>
      <c r="F71" s="90" t="s">
        <v>1121</v>
      </c>
      <c r="G71" s="90" t="s">
        <v>1122</v>
      </c>
      <c r="H71" s="90" t="s">
        <v>1123</v>
      </c>
      <c r="I71" s="90"/>
      <c r="J71" s="90" t="s">
        <v>1095</v>
      </c>
      <c r="K71" s="90" t="s">
        <v>1096</v>
      </c>
      <c r="L71" s="91">
        <f>IFERROR(INDEX('Prior Multipliers'!$C$6:$C$70,MATCH(LEFT(G71,10),'Prior Multipliers'!$A$6:$A$70,0)),IFERROR(INDEX('Prior Multipliers'!$C$6:$C$70,MATCH(LEFT(G71,6),'Prior Multipliers'!$A$6:$A$70,0)),IFERROR(INDEX('Prior Multipliers'!$C$6:$C$70,MATCH(LEFT(G71,2),'Prior Multipliers'!$A$6:$A$70,0)),1)))</f>
        <v>0.71</v>
      </c>
    </row>
    <row r="72" spans="1:12" ht="51.75" customHeight="1" x14ac:dyDescent="0.35">
      <c r="A72" s="90" t="s">
        <v>629</v>
      </c>
      <c r="B72" s="90" t="s">
        <v>1081</v>
      </c>
      <c r="C72" s="90" t="s">
        <v>1082</v>
      </c>
      <c r="D72" s="90" t="s">
        <v>1083</v>
      </c>
      <c r="E72" s="90" t="s">
        <v>1124</v>
      </c>
      <c r="F72" s="90" t="s">
        <v>1125</v>
      </c>
      <c r="G72" s="90" t="s">
        <v>1126</v>
      </c>
      <c r="H72" s="90" t="s">
        <v>1127</v>
      </c>
      <c r="I72" s="90"/>
      <c r="J72" s="90"/>
      <c r="K72" s="90"/>
      <c r="L72" s="91">
        <f>IFERROR(INDEX('Prior Multipliers'!$C$6:$C$70,MATCH(LEFT(G72,10),'Prior Multipliers'!$A$6:$A$70,0)),IFERROR(INDEX('Prior Multipliers'!$C$6:$C$70,MATCH(LEFT(G72,6),'Prior Multipliers'!$A$6:$A$70,0)),IFERROR(INDEX('Prior Multipliers'!$C$6:$C$70,MATCH(LEFT(G72,2),'Prior Multipliers'!$A$6:$A$70,0)),1)))</f>
        <v>0.71</v>
      </c>
    </row>
    <row r="73" spans="1:12" ht="51.75" customHeight="1" x14ac:dyDescent="0.35">
      <c r="A73" s="92" t="s">
        <v>629</v>
      </c>
      <c r="B73" s="92" t="s">
        <v>1081</v>
      </c>
      <c r="C73" s="92" t="s">
        <v>1082</v>
      </c>
      <c r="D73" s="92" t="s">
        <v>1083</v>
      </c>
      <c r="E73" s="92" t="s">
        <v>1128</v>
      </c>
      <c r="F73" s="92" t="s">
        <v>1129</v>
      </c>
      <c r="G73" s="92" t="s">
        <v>1130</v>
      </c>
      <c r="H73" s="92" t="s">
        <v>1131</v>
      </c>
      <c r="I73" s="92" t="s">
        <v>1132</v>
      </c>
      <c r="J73" s="92" t="s">
        <v>1095</v>
      </c>
      <c r="K73" s="92" t="s">
        <v>1096</v>
      </c>
      <c r="L73" s="93">
        <f>IFERROR(INDEX('Prior Multipliers'!$C$6:$C$70,MATCH(LEFT(G73,10),'Prior Multipliers'!$A$6:$A$70,0)),IFERROR(INDEX('Prior Multipliers'!$C$6:$C$70,MATCH(LEFT(G73,6),'Prior Multipliers'!$A$6:$A$70,0)),IFERROR(INDEX('Prior Multipliers'!$C$6:$C$70,MATCH(LEFT(G73,2),'Prior Multipliers'!$A$6:$A$70,0)),1)))</f>
        <v>0.71</v>
      </c>
    </row>
    <row r="74" spans="1:12" ht="51.75" customHeight="1" x14ac:dyDescent="0.35">
      <c r="A74" s="90" t="s">
        <v>629</v>
      </c>
      <c r="B74" s="90" t="s">
        <v>1081</v>
      </c>
      <c r="C74" s="90" t="s">
        <v>1082</v>
      </c>
      <c r="D74" s="90" t="s">
        <v>1083</v>
      </c>
      <c r="E74" s="90" t="s">
        <v>1133</v>
      </c>
      <c r="F74" s="90" t="s">
        <v>1134</v>
      </c>
      <c r="G74" s="90" t="s">
        <v>1132</v>
      </c>
      <c r="H74" s="90" t="s">
        <v>1135</v>
      </c>
      <c r="I74" s="90"/>
      <c r="J74" s="90"/>
      <c r="K74" s="90"/>
      <c r="L74" s="91">
        <f>IFERROR(INDEX('Prior Multipliers'!$C$6:$C$70,MATCH(LEFT(G74,10),'Prior Multipliers'!$A$6:$A$70,0)),IFERROR(INDEX('Prior Multipliers'!$C$6:$C$70,MATCH(LEFT(G74,6),'Prior Multipliers'!$A$6:$A$70,0)),IFERROR(INDEX('Prior Multipliers'!$C$6:$C$70,MATCH(LEFT(G74,2),'Prior Multipliers'!$A$6:$A$70,0)),1)))</f>
        <v>0.71</v>
      </c>
    </row>
    <row r="75" spans="1:12" ht="51.75" customHeight="1" x14ac:dyDescent="0.35">
      <c r="A75" s="90" t="s">
        <v>629</v>
      </c>
      <c r="B75" s="90" t="s">
        <v>1081</v>
      </c>
      <c r="C75" s="90" t="s">
        <v>1082</v>
      </c>
      <c r="D75" s="90" t="s">
        <v>1083</v>
      </c>
      <c r="E75" s="90" t="s">
        <v>1136</v>
      </c>
      <c r="F75" s="90" t="s">
        <v>1137</v>
      </c>
      <c r="G75" s="90" t="s">
        <v>1138</v>
      </c>
      <c r="H75" s="90" t="s">
        <v>1139</v>
      </c>
      <c r="I75" s="90" t="s">
        <v>1140</v>
      </c>
      <c r="J75" s="90"/>
      <c r="K75" s="90"/>
      <c r="L75" s="91">
        <f>IFERROR(INDEX('Prior Multipliers'!$C$6:$C$70,MATCH(LEFT(G75,10),'Prior Multipliers'!$A$6:$A$70,0)),IFERROR(INDEX('Prior Multipliers'!$C$6:$C$70,MATCH(LEFT(G75,6),'Prior Multipliers'!$A$6:$A$70,0)),IFERROR(INDEX('Prior Multipliers'!$C$6:$C$70,MATCH(LEFT(G75,2),'Prior Multipliers'!$A$6:$A$70,0)),1)))</f>
        <v>1.18</v>
      </c>
    </row>
    <row r="76" spans="1:12" ht="51.75" customHeight="1" x14ac:dyDescent="0.35">
      <c r="A76" s="90" t="s">
        <v>629</v>
      </c>
      <c r="B76" s="90" t="s">
        <v>1081</v>
      </c>
      <c r="C76" s="90" t="s">
        <v>1082</v>
      </c>
      <c r="D76" s="90" t="s">
        <v>1083</v>
      </c>
      <c r="E76" s="90" t="s">
        <v>1141</v>
      </c>
      <c r="F76" s="90" t="s">
        <v>1142</v>
      </c>
      <c r="G76" s="90" t="s">
        <v>1143</v>
      </c>
      <c r="H76" s="90" t="s">
        <v>1144</v>
      </c>
      <c r="I76" s="90"/>
      <c r="J76" s="90" t="s">
        <v>1095</v>
      </c>
      <c r="K76" s="90" t="s">
        <v>1096</v>
      </c>
      <c r="L76" s="91">
        <f>IFERROR(INDEX('Prior Multipliers'!$C$6:$C$70,MATCH(LEFT(G76,10),'Prior Multipliers'!$A$6:$A$70,0)),IFERROR(INDEX('Prior Multipliers'!$C$6:$C$70,MATCH(LEFT(G76,6),'Prior Multipliers'!$A$6:$A$70,0)),IFERROR(INDEX('Prior Multipliers'!$C$6:$C$70,MATCH(LEFT(G76,2),'Prior Multipliers'!$A$6:$A$70,0)),1)))</f>
        <v>1.18</v>
      </c>
    </row>
    <row r="77" spans="1:12" ht="51.75" customHeight="1" x14ac:dyDescent="0.35">
      <c r="A77" s="90" t="s">
        <v>629</v>
      </c>
      <c r="B77" s="90" t="s">
        <v>1081</v>
      </c>
      <c r="C77" s="90" t="s">
        <v>1082</v>
      </c>
      <c r="D77" s="90" t="s">
        <v>1083</v>
      </c>
      <c r="E77" s="90" t="s">
        <v>1145</v>
      </c>
      <c r="F77" s="90" t="s">
        <v>1146</v>
      </c>
      <c r="G77" s="90" t="s">
        <v>1147</v>
      </c>
      <c r="H77" s="90" t="s">
        <v>1148</v>
      </c>
      <c r="I77" s="90"/>
      <c r="J77" s="90" t="s">
        <v>1095</v>
      </c>
      <c r="K77" s="90" t="s">
        <v>1096</v>
      </c>
      <c r="L77" s="91">
        <f>IFERROR(INDEX('Prior Multipliers'!$C$6:$C$70,MATCH(LEFT(G77,10),'Prior Multipliers'!$A$6:$A$70,0)),IFERROR(INDEX('Prior Multipliers'!$C$6:$C$70,MATCH(LEFT(G77,6),'Prior Multipliers'!$A$6:$A$70,0)),IFERROR(INDEX('Prior Multipliers'!$C$6:$C$70,MATCH(LEFT(G77,2),'Prior Multipliers'!$A$6:$A$70,0)),1)))</f>
        <v>0.9</v>
      </c>
    </row>
    <row r="78" spans="1:12" ht="51.75" customHeight="1" x14ac:dyDescent="0.35">
      <c r="A78" s="90" t="s">
        <v>629</v>
      </c>
      <c r="B78" s="90" t="s">
        <v>1081</v>
      </c>
      <c r="C78" s="90" t="s">
        <v>1082</v>
      </c>
      <c r="D78" s="90" t="s">
        <v>1083</v>
      </c>
      <c r="E78" s="90" t="s">
        <v>1149</v>
      </c>
      <c r="F78" s="90" t="s">
        <v>1150</v>
      </c>
      <c r="G78" s="90" t="s">
        <v>1151</v>
      </c>
      <c r="H78" s="90" t="s">
        <v>1152</v>
      </c>
      <c r="I78" s="90"/>
      <c r="J78" s="90"/>
      <c r="K78" s="90"/>
      <c r="L78" s="91">
        <f>IFERROR(INDEX('Prior Multipliers'!$C$6:$C$70,MATCH(LEFT(G78,10),'Prior Multipliers'!$A$6:$A$70,0)),IFERROR(INDEX('Prior Multipliers'!$C$6:$C$70,MATCH(LEFT(G78,6),'Prior Multipliers'!$A$6:$A$70,0)),IFERROR(INDEX('Prior Multipliers'!$C$6:$C$70,MATCH(LEFT(G78,2),'Prior Multipliers'!$A$6:$A$70,0)),1)))</f>
        <v>1.18</v>
      </c>
    </row>
    <row r="79" spans="1:12" ht="51.75" customHeight="1" x14ac:dyDescent="0.35">
      <c r="A79" s="90" t="s">
        <v>629</v>
      </c>
      <c r="B79" s="90" t="s">
        <v>1081</v>
      </c>
      <c r="C79" s="90" t="s">
        <v>1082</v>
      </c>
      <c r="D79" s="90" t="s">
        <v>1083</v>
      </c>
      <c r="E79" s="90" t="s">
        <v>1153</v>
      </c>
      <c r="F79" s="90" t="s">
        <v>1154</v>
      </c>
      <c r="G79" s="90" t="s">
        <v>1155</v>
      </c>
      <c r="H79" s="90" t="s">
        <v>1156</v>
      </c>
      <c r="I79" s="90"/>
      <c r="J79" s="90" t="s">
        <v>1095</v>
      </c>
      <c r="K79" s="90" t="s">
        <v>1096</v>
      </c>
      <c r="L79" s="91">
        <f>IFERROR(INDEX('Prior Multipliers'!$C$6:$C$70,MATCH(LEFT(G79,10),'Prior Multipliers'!$A$6:$A$70,0)),IFERROR(INDEX('Prior Multipliers'!$C$6:$C$70,MATCH(LEFT(G79,6),'Prior Multipliers'!$A$6:$A$70,0)),IFERROR(INDEX('Prior Multipliers'!$C$6:$C$70,MATCH(LEFT(G79,2),'Prior Multipliers'!$A$6:$A$70,0)),1)))</f>
        <v>0.81</v>
      </c>
    </row>
    <row r="80" spans="1:12" ht="51.75" customHeight="1" x14ac:dyDescent="0.35">
      <c r="A80" s="90" t="s">
        <v>629</v>
      </c>
      <c r="B80" s="90" t="s">
        <v>1081</v>
      </c>
      <c r="C80" s="90" t="s">
        <v>1082</v>
      </c>
      <c r="D80" s="90" t="s">
        <v>1083</v>
      </c>
      <c r="E80" s="90" t="s">
        <v>1157</v>
      </c>
      <c r="F80" s="90" t="s">
        <v>1158</v>
      </c>
      <c r="G80" s="90" t="s">
        <v>1159</v>
      </c>
      <c r="H80" s="90" t="s">
        <v>1160</v>
      </c>
      <c r="I80" s="90"/>
      <c r="J80" s="90" t="s">
        <v>1095</v>
      </c>
      <c r="K80" s="90" t="s">
        <v>1096</v>
      </c>
      <c r="L80" s="91">
        <f>IFERROR(INDEX('Prior Multipliers'!$C$6:$C$70,MATCH(LEFT(G80,10),'Prior Multipliers'!$A$6:$A$70,0)),IFERROR(INDEX('Prior Multipliers'!$C$6:$C$70,MATCH(LEFT(G80,6),'Prior Multipliers'!$A$6:$A$70,0)),IFERROR(INDEX('Prior Multipliers'!$C$6:$C$70,MATCH(LEFT(G80,2),'Prior Multipliers'!$A$6:$A$70,0)),1)))</f>
        <v>1.18</v>
      </c>
    </row>
    <row r="81" spans="1:12" ht="51.75" customHeight="1" x14ac:dyDescent="0.35">
      <c r="A81" s="90" t="s">
        <v>629</v>
      </c>
      <c r="B81" s="90" t="s">
        <v>1081</v>
      </c>
      <c r="C81" s="90" t="s">
        <v>1082</v>
      </c>
      <c r="D81" s="90" t="s">
        <v>1083</v>
      </c>
      <c r="E81" s="90" t="s">
        <v>904</v>
      </c>
      <c r="F81" s="90" t="s">
        <v>1047</v>
      </c>
      <c r="G81" s="90" t="s">
        <v>1161</v>
      </c>
      <c r="H81" s="90" t="s">
        <v>1162</v>
      </c>
      <c r="I81" s="90"/>
      <c r="J81" s="90"/>
      <c r="K81" s="90"/>
      <c r="L81" s="91">
        <f>IFERROR(INDEX('Prior Multipliers'!$C$6:$C$70,MATCH(LEFT(G81,10),'Prior Multipliers'!$A$6:$A$70,0)),IFERROR(INDEX('Prior Multipliers'!$C$6:$C$70,MATCH(LEFT(G81,6),'Prior Multipliers'!$A$6:$A$70,0)),IFERROR(INDEX('Prior Multipliers'!$C$6:$C$70,MATCH(LEFT(G81,2),'Prior Multipliers'!$A$6:$A$70,0)),1)))</f>
        <v>1.18</v>
      </c>
    </row>
    <row r="82" spans="1:12" ht="51.75" customHeight="1" x14ac:dyDescent="0.35">
      <c r="A82" s="90" t="s">
        <v>629</v>
      </c>
      <c r="B82" s="90" t="s">
        <v>1081</v>
      </c>
      <c r="C82" s="90" t="s">
        <v>1082</v>
      </c>
      <c r="D82" s="90" t="s">
        <v>1083</v>
      </c>
      <c r="E82" s="90" t="s">
        <v>1163</v>
      </c>
      <c r="F82" s="90" t="s">
        <v>1164</v>
      </c>
      <c r="G82" s="90" t="s">
        <v>1165</v>
      </c>
      <c r="H82" s="90" t="s">
        <v>1166</v>
      </c>
      <c r="I82" s="90"/>
      <c r="J82" s="90"/>
      <c r="K82" s="90"/>
      <c r="L82" s="91">
        <f>IFERROR(INDEX('Prior Multipliers'!$C$6:$C$70,MATCH(LEFT(G82,10),'Prior Multipliers'!$A$6:$A$70,0)),IFERROR(INDEX('Prior Multipliers'!$C$6:$C$70,MATCH(LEFT(G82,6),'Prior Multipliers'!$A$6:$A$70,0)),IFERROR(INDEX('Prior Multipliers'!$C$6:$C$70,MATCH(LEFT(G82,2),'Prior Multipliers'!$A$6:$A$70,0)),1)))</f>
        <v>1.18</v>
      </c>
    </row>
    <row r="83" spans="1:12" ht="51.75" customHeight="1" x14ac:dyDescent="0.35">
      <c r="A83" s="90" t="s">
        <v>629</v>
      </c>
      <c r="B83" s="90" t="s">
        <v>1081</v>
      </c>
      <c r="C83" s="90" t="s">
        <v>1082</v>
      </c>
      <c r="D83" s="90" t="s">
        <v>1083</v>
      </c>
      <c r="E83" s="90" t="s">
        <v>1167</v>
      </c>
      <c r="F83" s="90" t="s">
        <v>1168</v>
      </c>
      <c r="G83" s="90" t="s">
        <v>1169</v>
      </c>
      <c r="H83" s="90" t="s">
        <v>1170</v>
      </c>
      <c r="I83" s="90"/>
      <c r="J83" s="90"/>
      <c r="K83" s="90"/>
      <c r="L83" s="91">
        <f>IFERROR(INDEX('Prior Multipliers'!$C$6:$C$70,MATCH(LEFT(G83,10),'Prior Multipliers'!$A$6:$A$70,0)),IFERROR(INDEX('Prior Multipliers'!$C$6:$C$70,MATCH(LEFT(G83,6),'Prior Multipliers'!$A$6:$A$70,0)),IFERROR(INDEX('Prior Multipliers'!$C$6:$C$70,MATCH(LEFT(G83,2),'Prior Multipliers'!$A$6:$A$70,0)),1)))</f>
        <v>1.18</v>
      </c>
    </row>
    <row r="84" spans="1:12" ht="51.75" customHeight="1" x14ac:dyDescent="0.35">
      <c r="A84" s="90" t="s">
        <v>629</v>
      </c>
      <c r="B84" s="90" t="s">
        <v>1081</v>
      </c>
      <c r="C84" s="90" t="s">
        <v>1082</v>
      </c>
      <c r="D84" s="90" t="s">
        <v>1083</v>
      </c>
      <c r="E84" s="90" t="s">
        <v>1171</v>
      </c>
      <c r="F84" s="90" t="s">
        <v>1172</v>
      </c>
      <c r="G84" s="90" t="s">
        <v>1173</v>
      </c>
      <c r="H84" s="90" t="s">
        <v>1174</v>
      </c>
      <c r="I84" s="90"/>
      <c r="J84" s="90" t="s">
        <v>1095</v>
      </c>
      <c r="K84" s="90" t="s">
        <v>1096</v>
      </c>
      <c r="L84" s="91">
        <f>IFERROR(INDEX('Prior Multipliers'!$C$6:$C$70,MATCH(LEFT(G84,10),'Prior Multipliers'!$A$6:$A$70,0)),IFERROR(INDEX('Prior Multipliers'!$C$6:$C$70,MATCH(LEFT(G84,6),'Prior Multipliers'!$A$6:$A$70,0)),IFERROR(INDEX('Prior Multipliers'!$C$6:$C$70,MATCH(LEFT(G84,2),'Prior Multipliers'!$A$6:$A$70,0)),1)))</f>
        <v>0.81</v>
      </c>
    </row>
    <row r="85" spans="1:12" ht="51.75" customHeight="1" x14ac:dyDescent="0.35">
      <c r="A85" s="90" t="s">
        <v>629</v>
      </c>
      <c r="B85" s="90" t="s">
        <v>1081</v>
      </c>
      <c r="C85" s="90" t="s">
        <v>1082</v>
      </c>
      <c r="D85" s="90" t="s">
        <v>1083</v>
      </c>
      <c r="E85" s="90" t="s">
        <v>1175</v>
      </c>
      <c r="F85" s="90" t="s">
        <v>1176</v>
      </c>
      <c r="G85" s="90" t="s">
        <v>1177</v>
      </c>
      <c r="H85" s="90" t="s">
        <v>1178</v>
      </c>
      <c r="I85" s="90"/>
      <c r="J85" s="90" t="s">
        <v>1095</v>
      </c>
      <c r="K85" s="90" t="s">
        <v>1096</v>
      </c>
      <c r="L85" s="91">
        <f>IFERROR(INDEX('Prior Multipliers'!$C$6:$C$70,MATCH(LEFT(G85,10),'Prior Multipliers'!$A$6:$A$70,0)),IFERROR(INDEX('Prior Multipliers'!$C$6:$C$70,MATCH(LEFT(G85,6),'Prior Multipliers'!$A$6:$A$70,0)),IFERROR(INDEX('Prior Multipliers'!$C$6:$C$70,MATCH(LEFT(G85,2),'Prior Multipliers'!$A$6:$A$70,0)),1)))</f>
        <v>1.18</v>
      </c>
    </row>
    <row r="86" spans="1:12" ht="51.75" customHeight="1" x14ac:dyDescent="0.35">
      <c r="A86" s="90" t="s">
        <v>629</v>
      </c>
      <c r="B86" s="90" t="s">
        <v>1081</v>
      </c>
      <c r="C86" s="90" t="s">
        <v>1082</v>
      </c>
      <c r="D86" s="90" t="s">
        <v>1083</v>
      </c>
      <c r="E86" s="90" t="s">
        <v>1179</v>
      </c>
      <c r="F86" s="90" t="s">
        <v>1180</v>
      </c>
      <c r="G86" s="90" t="s">
        <v>1181</v>
      </c>
      <c r="H86" s="90" t="s">
        <v>1182</v>
      </c>
      <c r="I86" s="90"/>
      <c r="J86" s="90" t="s">
        <v>1095</v>
      </c>
      <c r="K86" s="90" t="s">
        <v>1096</v>
      </c>
      <c r="L86" s="91">
        <f>IFERROR(INDEX('Prior Multipliers'!$C$6:$C$70,MATCH(LEFT(G86,10),'Prior Multipliers'!$A$6:$A$70,0)),IFERROR(INDEX('Prior Multipliers'!$C$6:$C$70,MATCH(LEFT(G86,6),'Prior Multipliers'!$A$6:$A$70,0)),IFERROR(INDEX('Prior Multipliers'!$C$6:$C$70,MATCH(LEFT(G86,2),'Prior Multipliers'!$A$6:$A$70,0)),1)))</f>
        <v>1.18</v>
      </c>
    </row>
    <row r="87" spans="1:12" ht="51.75" customHeight="1" x14ac:dyDescent="0.35">
      <c r="A87" s="90" t="s">
        <v>629</v>
      </c>
      <c r="B87" s="90" t="s">
        <v>1081</v>
      </c>
      <c r="C87" s="90" t="s">
        <v>1082</v>
      </c>
      <c r="D87" s="90" t="s">
        <v>1083</v>
      </c>
      <c r="E87" s="90" t="s">
        <v>1183</v>
      </c>
      <c r="F87" s="90" t="s">
        <v>1184</v>
      </c>
      <c r="G87" s="90" t="s">
        <v>1185</v>
      </c>
      <c r="H87" s="90" t="s">
        <v>1186</v>
      </c>
      <c r="I87" s="90"/>
      <c r="J87" s="90"/>
      <c r="K87" s="90"/>
      <c r="L87" s="91">
        <f>IFERROR(INDEX('Prior Multipliers'!$C$6:$C$70,MATCH(LEFT(G87,10),'Prior Multipliers'!$A$6:$A$70,0)),IFERROR(INDEX('Prior Multipliers'!$C$6:$C$70,MATCH(LEFT(G87,6),'Prior Multipliers'!$A$6:$A$70,0)),IFERROR(INDEX('Prior Multipliers'!$C$6:$C$70,MATCH(LEFT(G87,2),'Prior Multipliers'!$A$6:$A$70,0)),1)))</f>
        <v>1.18</v>
      </c>
    </row>
    <row r="88" spans="1:12" ht="51.75" customHeight="1" x14ac:dyDescent="0.35">
      <c r="A88" s="90" t="s">
        <v>629</v>
      </c>
      <c r="B88" s="90" t="s">
        <v>1081</v>
      </c>
      <c r="C88" s="90" t="s">
        <v>1082</v>
      </c>
      <c r="D88" s="90" t="s">
        <v>1083</v>
      </c>
      <c r="E88" s="90" t="s">
        <v>1187</v>
      </c>
      <c r="F88" s="90" t="s">
        <v>1188</v>
      </c>
      <c r="G88" s="90" t="s">
        <v>1189</v>
      </c>
      <c r="H88" s="90" t="s">
        <v>1190</v>
      </c>
      <c r="I88" s="90"/>
      <c r="J88" s="90" t="s">
        <v>1095</v>
      </c>
      <c r="K88" s="90" t="s">
        <v>1096</v>
      </c>
      <c r="L88" s="91">
        <f>IFERROR(INDEX('Prior Multipliers'!$C$6:$C$70,MATCH(LEFT(G88,10),'Prior Multipliers'!$A$6:$A$70,0)),IFERROR(INDEX('Prior Multipliers'!$C$6:$C$70,MATCH(LEFT(G88,6),'Prior Multipliers'!$A$6:$A$70,0)),IFERROR(INDEX('Prior Multipliers'!$C$6:$C$70,MATCH(LEFT(G88,2),'Prior Multipliers'!$A$6:$A$70,0)),1)))</f>
        <v>1.18</v>
      </c>
    </row>
    <row r="89" spans="1:12" ht="51.75" customHeight="1" x14ac:dyDescent="0.35">
      <c r="A89" s="92" t="s">
        <v>629</v>
      </c>
      <c r="B89" s="92" t="s">
        <v>1081</v>
      </c>
      <c r="C89" s="92" t="s">
        <v>1082</v>
      </c>
      <c r="D89" s="92" t="s">
        <v>1083</v>
      </c>
      <c r="E89" s="92" t="s">
        <v>1191</v>
      </c>
      <c r="F89" s="92" t="s">
        <v>1192</v>
      </c>
      <c r="G89" s="92" t="s">
        <v>1193</v>
      </c>
      <c r="H89" s="92" t="s">
        <v>1194</v>
      </c>
      <c r="I89" s="92" t="s">
        <v>1126</v>
      </c>
      <c r="J89" s="92" t="s">
        <v>1095</v>
      </c>
      <c r="K89" s="92" t="s">
        <v>1096</v>
      </c>
      <c r="L89" s="93">
        <f>IFERROR(INDEX('Prior Multipliers'!$C$6:$C$70,MATCH(LEFT(G89,10),'Prior Multipliers'!$A$6:$A$70,0)),IFERROR(INDEX('Prior Multipliers'!$C$6:$C$70,MATCH(LEFT(G89,6),'Prior Multipliers'!$A$6:$A$70,0)),IFERROR(INDEX('Prior Multipliers'!$C$6:$C$70,MATCH(LEFT(G89,2),'Prior Multipliers'!$A$6:$A$70,0)),1)))</f>
        <v>0.71</v>
      </c>
    </row>
    <row r="90" spans="1:12" ht="51.75" customHeight="1" x14ac:dyDescent="0.35">
      <c r="A90" s="92" t="s">
        <v>629</v>
      </c>
      <c r="B90" s="92" t="s">
        <v>1081</v>
      </c>
      <c r="C90" s="92" t="s">
        <v>1082</v>
      </c>
      <c r="D90" s="92" t="s">
        <v>1083</v>
      </c>
      <c r="E90" s="92" t="s">
        <v>1195</v>
      </c>
      <c r="F90" s="92" t="s">
        <v>1196</v>
      </c>
      <c r="G90" s="92" t="s">
        <v>1197</v>
      </c>
      <c r="H90" s="92" t="s">
        <v>1198</v>
      </c>
      <c r="I90" s="92" t="s">
        <v>1094</v>
      </c>
      <c r="J90" s="92" t="s">
        <v>1095</v>
      </c>
      <c r="K90" s="92" t="s">
        <v>1096</v>
      </c>
      <c r="L90" s="93">
        <f>IFERROR(INDEX('Prior Multipliers'!$C$6:$C$70,MATCH(LEFT(G90,10),'Prior Multipliers'!$A$6:$A$70,0)),IFERROR(INDEX('Prior Multipliers'!$C$6:$C$70,MATCH(LEFT(G90,6),'Prior Multipliers'!$A$6:$A$70,0)),IFERROR(INDEX('Prior Multipliers'!$C$6:$C$70,MATCH(LEFT(G90,2),'Prior Multipliers'!$A$6:$A$70,0)),1)))</f>
        <v>1.21</v>
      </c>
    </row>
    <row r="91" spans="1:12" ht="51.75" customHeight="1" x14ac:dyDescent="0.35">
      <c r="A91" s="90" t="s">
        <v>629</v>
      </c>
      <c r="B91" s="90" t="s">
        <v>1081</v>
      </c>
      <c r="C91" s="90" t="s">
        <v>1082</v>
      </c>
      <c r="D91" s="90" t="s">
        <v>1083</v>
      </c>
      <c r="E91" s="90" t="s">
        <v>1199</v>
      </c>
      <c r="F91" s="90" t="s">
        <v>1200</v>
      </c>
      <c r="G91" s="90" t="s">
        <v>1201</v>
      </c>
      <c r="H91" s="90" t="s">
        <v>1202</v>
      </c>
      <c r="I91" s="90"/>
      <c r="J91" s="90"/>
      <c r="K91" s="90"/>
      <c r="L91" s="91">
        <f>IFERROR(INDEX('Prior Multipliers'!$C$6:$C$70,MATCH(LEFT(G91,10),'Prior Multipliers'!$A$6:$A$70,0)),IFERROR(INDEX('Prior Multipliers'!$C$6:$C$70,MATCH(LEFT(G91,6),'Prior Multipliers'!$A$6:$A$70,0)),IFERROR(INDEX('Prior Multipliers'!$C$6:$C$70,MATCH(LEFT(G91,2),'Prior Multipliers'!$A$6:$A$70,0)),1)))</f>
        <v>1.18</v>
      </c>
    </row>
    <row r="92" spans="1:12" ht="51.75" customHeight="1" x14ac:dyDescent="0.35">
      <c r="A92" s="90" t="s">
        <v>629</v>
      </c>
      <c r="B92" s="90" t="s">
        <v>1081</v>
      </c>
      <c r="C92" s="90" t="s">
        <v>1082</v>
      </c>
      <c r="D92" s="90" t="s">
        <v>1083</v>
      </c>
      <c r="E92" s="90" t="s">
        <v>1203</v>
      </c>
      <c r="F92" s="90" t="s">
        <v>1204</v>
      </c>
      <c r="G92" s="90" t="s">
        <v>1205</v>
      </c>
      <c r="H92" s="90" t="s">
        <v>1206</v>
      </c>
      <c r="I92" s="90"/>
      <c r="J92" s="90"/>
      <c r="K92" s="90"/>
      <c r="L92" s="91">
        <f>IFERROR(INDEX('Prior Multipliers'!$C$6:$C$70,MATCH(LEFT(G92,10),'Prior Multipliers'!$A$6:$A$70,0)),IFERROR(INDEX('Prior Multipliers'!$C$6:$C$70,MATCH(LEFT(G92,6),'Prior Multipliers'!$A$6:$A$70,0)),IFERROR(INDEX('Prior Multipliers'!$C$6:$C$70,MATCH(LEFT(G92,2),'Prior Multipliers'!$A$6:$A$70,0)),1)))</f>
        <v>0.71</v>
      </c>
    </row>
    <row r="93" spans="1:12" ht="51.75" customHeight="1" x14ac:dyDescent="0.35">
      <c r="A93" s="90" t="s">
        <v>629</v>
      </c>
      <c r="B93" s="90" t="s">
        <v>1081</v>
      </c>
      <c r="C93" s="90" t="s">
        <v>1082</v>
      </c>
      <c r="D93" s="90" t="s">
        <v>1083</v>
      </c>
      <c r="E93" s="90" t="s">
        <v>1207</v>
      </c>
      <c r="F93" s="90" t="s">
        <v>1208</v>
      </c>
      <c r="G93" s="90" t="s">
        <v>1209</v>
      </c>
      <c r="H93" s="90" t="s">
        <v>1210</v>
      </c>
      <c r="I93" s="90"/>
      <c r="J93" s="90"/>
      <c r="K93" s="90"/>
      <c r="L93" s="91">
        <f>IFERROR(INDEX('Prior Multipliers'!$C$6:$C$70,MATCH(LEFT(G93,10),'Prior Multipliers'!$A$6:$A$70,0)),IFERROR(INDEX('Prior Multipliers'!$C$6:$C$70,MATCH(LEFT(G93,6),'Prior Multipliers'!$A$6:$A$70,0)),IFERROR(INDEX('Prior Multipliers'!$C$6:$C$70,MATCH(LEFT(G93,2),'Prior Multipliers'!$A$6:$A$70,0)),1)))</f>
        <v>0.71</v>
      </c>
    </row>
    <row r="94" spans="1:12" ht="51.75" customHeight="1" x14ac:dyDescent="0.35">
      <c r="A94" s="90" t="s">
        <v>629</v>
      </c>
      <c r="B94" s="90" t="s">
        <v>1081</v>
      </c>
      <c r="C94" s="90" t="s">
        <v>1082</v>
      </c>
      <c r="D94" s="90" t="s">
        <v>1083</v>
      </c>
      <c r="E94" s="90" t="s">
        <v>1211</v>
      </c>
      <c r="F94" s="90" t="s">
        <v>1212</v>
      </c>
      <c r="G94" s="90" t="s">
        <v>1213</v>
      </c>
      <c r="H94" s="90" t="s">
        <v>1214</v>
      </c>
      <c r="I94" s="90"/>
      <c r="J94" s="90"/>
      <c r="K94" s="90"/>
      <c r="L94" s="91">
        <f>IFERROR(INDEX('Prior Multipliers'!$C$6:$C$70,MATCH(LEFT(G94,10),'Prior Multipliers'!$A$6:$A$70,0)),IFERROR(INDEX('Prior Multipliers'!$C$6:$C$70,MATCH(LEFT(G94,6),'Prior Multipliers'!$A$6:$A$70,0)),IFERROR(INDEX('Prior Multipliers'!$C$6:$C$70,MATCH(LEFT(G94,2),'Prior Multipliers'!$A$6:$A$70,0)),1)))</f>
        <v>1.04</v>
      </c>
    </row>
    <row r="95" spans="1:12" ht="51.75" customHeight="1" x14ac:dyDescent="0.35">
      <c r="A95" s="90" t="s">
        <v>629</v>
      </c>
      <c r="B95" s="90" t="s">
        <v>1081</v>
      </c>
      <c r="C95" s="90" t="s">
        <v>1082</v>
      </c>
      <c r="D95" s="90" t="s">
        <v>1083</v>
      </c>
      <c r="E95" s="90" t="s">
        <v>1215</v>
      </c>
      <c r="F95" s="90" t="s">
        <v>1216</v>
      </c>
      <c r="G95" s="90" t="s">
        <v>1217</v>
      </c>
      <c r="H95" s="90" t="s">
        <v>1218</v>
      </c>
      <c r="I95" s="90"/>
      <c r="J95" s="90" t="s">
        <v>1095</v>
      </c>
      <c r="K95" s="90" t="s">
        <v>1096</v>
      </c>
      <c r="L95" s="91">
        <f>IFERROR(INDEX('Prior Multipliers'!$C$6:$C$70,MATCH(LEFT(G95,10),'Prior Multipliers'!$A$6:$A$70,0)),IFERROR(INDEX('Prior Multipliers'!$C$6:$C$70,MATCH(LEFT(G95,6),'Prior Multipliers'!$A$6:$A$70,0)),IFERROR(INDEX('Prior Multipliers'!$C$6:$C$70,MATCH(LEFT(G95,2),'Prior Multipliers'!$A$6:$A$70,0)),1)))</f>
        <v>1.04</v>
      </c>
    </row>
    <row r="96" spans="1:12" ht="51.75" customHeight="1" x14ac:dyDescent="0.35">
      <c r="A96" s="90" t="s">
        <v>629</v>
      </c>
      <c r="B96" s="90" t="s">
        <v>1081</v>
      </c>
      <c r="C96" s="90" t="s">
        <v>1082</v>
      </c>
      <c r="D96" s="90" t="s">
        <v>1083</v>
      </c>
      <c r="E96" s="90" t="s">
        <v>1219</v>
      </c>
      <c r="F96" s="90" t="s">
        <v>1220</v>
      </c>
      <c r="G96" s="90" t="s">
        <v>1221</v>
      </c>
      <c r="H96" s="90" t="s">
        <v>1222</v>
      </c>
      <c r="I96" s="90"/>
      <c r="J96" s="90" t="s">
        <v>1095</v>
      </c>
      <c r="K96" s="90" t="s">
        <v>1096</v>
      </c>
      <c r="L96" s="91">
        <f>IFERROR(INDEX('Prior Multipliers'!$C$6:$C$70,MATCH(LEFT(G96,10),'Prior Multipliers'!$A$6:$A$70,0)),IFERROR(INDEX('Prior Multipliers'!$C$6:$C$70,MATCH(LEFT(G96,6),'Prior Multipliers'!$A$6:$A$70,0)),IFERROR(INDEX('Prior Multipliers'!$C$6:$C$70,MATCH(LEFT(G96,2),'Prior Multipliers'!$A$6:$A$70,0)),1)))</f>
        <v>0.9</v>
      </c>
    </row>
    <row r="97" spans="1:12" ht="51.75" customHeight="1" x14ac:dyDescent="0.35">
      <c r="A97" s="90" t="s">
        <v>629</v>
      </c>
      <c r="B97" s="90" t="s">
        <v>1081</v>
      </c>
      <c r="C97" s="90" t="s">
        <v>1082</v>
      </c>
      <c r="D97" s="90" t="s">
        <v>1083</v>
      </c>
      <c r="E97" s="90" t="s">
        <v>1223</v>
      </c>
      <c r="F97" s="90" t="s">
        <v>1224</v>
      </c>
      <c r="G97" s="90" t="s">
        <v>1225</v>
      </c>
      <c r="H97" s="90" t="s">
        <v>1226</v>
      </c>
      <c r="I97" s="90"/>
      <c r="J97" s="90"/>
      <c r="K97" s="90"/>
      <c r="L97" s="91">
        <f>IFERROR(INDEX('Prior Multipliers'!$C$6:$C$70,MATCH(LEFT(G97,10),'Prior Multipliers'!$A$6:$A$70,0)),IFERROR(INDEX('Prior Multipliers'!$C$6:$C$70,MATCH(LEFT(G97,6),'Prior Multipliers'!$A$6:$A$70,0)),IFERROR(INDEX('Prior Multipliers'!$C$6:$C$70,MATCH(LEFT(G97,2),'Prior Multipliers'!$A$6:$A$70,0)),1)))</f>
        <v>1.04</v>
      </c>
    </row>
    <row r="98" spans="1:12" ht="51.75" customHeight="1" x14ac:dyDescent="0.35">
      <c r="A98" s="90" t="s">
        <v>629</v>
      </c>
      <c r="B98" s="90" t="s">
        <v>1081</v>
      </c>
      <c r="C98" s="90" t="s">
        <v>1082</v>
      </c>
      <c r="D98" s="90" t="s">
        <v>1083</v>
      </c>
      <c r="E98" s="90" t="s">
        <v>1227</v>
      </c>
      <c r="F98" s="90" t="s">
        <v>1228</v>
      </c>
      <c r="G98" s="90" t="s">
        <v>1229</v>
      </c>
      <c r="H98" s="90" t="s">
        <v>1230</v>
      </c>
      <c r="I98" s="90"/>
      <c r="J98" s="90" t="s">
        <v>1095</v>
      </c>
      <c r="K98" s="90" t="s">
        <v>1096</v>
      </c>
      <c r="L98" s="91">
        <f>IFERROR(INDEX('Prior Multipliers'!$C$6:$C$70,MATCH(LEFT(G98,10),'Prior Multipliers'!$A$6:$A$70,0)),IFERROR(INDEX('Prior Multipliers'!$C$6:$C$70,MATCH(LEFT(G98,6),'Prior Multipliers'!$A$6:$A$70,0)),IFERROR(INDEX('Prior Multipliers'!$C$6:$C$70,MATCH(LEFT(G98,2),'Prior Multipliers'!$A$6:$A$70,0)),1)))</f>
        <v>1.04</v>
      </c>
    </row>
    <row r="99" spans="1:12" ht="51.75" customHeight="1" x14ac:dyDescent="0.35">
      <c r="A99" s="90" t="s">
        <v>629</v>
      </c>
      <c r="B99" s="90" t="s">
        <v>1081</v>
      </c>
      <c r="C99" s="90" t="s">
        <v>1082</v>
      </c>
      <c r="D99" s="90" t="s">
        <v>1083</v>
      </c>
      <c r="E99" s="90" t="s">
        <v>1231</v>
      </c>
      <c r="F99" s="90" t="s">
        <v>1232</v>
      </c>
      <c r="G99" s="90" t="s">
        <v>1119</v>
      </c>
      <c r="H99" s="90" t="s">
        <v>1233</v>
      </c>
      <c r="I99" s="90"/>
      <c r="J99" s="90"/>
      <c r="K99" s="90"/>
      <c r="L99" s="91">
        <f>IFERROR(INDEX('Prior Multipliers'!$C$6:$C$70,MATCH(LEFT(G99,10),'Prior Multipliers'!$A$6:$A$70,0)),IFERROR(INDEX('Prior Multipliers'!$C$6:$C$70,MATCH(LEFT(G99,6),'Prior Multipliers'!$A$6:$A$70,0)),IFERROR(INDEX('Prior Multipliers'!$C$6:$C$70,MATCH(LEFT(G99,2),'Prior Multipliers'!$A$6:$A$70,0)),1)))</f>
        <v>1.21</v>
      </c>
    </row>
    <row r="100" spans="1:12" ht="51.75" customHeight="1" x14ac:dyDescent="0.35">
      <c r="A100" s="90" t="s">
        <v>629</v>
      </c>
      <c r="B100" s="90" t="s">
        <v>1081</v>
      </c>
      <c r="C100" s="90" t="s">
        <v>1082</v>
      </c>
      <c r="D100" s="90" t="s">
        <v>1083</v>
      </c>
      <c r="E100" s="90" t="s">
        <v>1234</v>
      </c>
      <c r="F100" s="90" t="s">
        <v>1235</v>
      </c>
      <c r="G100" s="90" t="s">
        <v>1236</v>
      </c>
      <c r="H100" s="90" t="s">
        <v>1237</v>
      </c>
      <c r="I100" s="90"/>
      <c r="J100" s="90"/>
      <c r="K100" s="90"/>
      <c r="L100" s="91">
        <f>IFERROR(INDEX('Prior Multipliers'!$C$6:$C$70,MATCH(LEFT(G100,10),'Prior Multipliers'!$A$6:$A$70,0)),IFERROR(INDEX('Prior Multipliers'!$C$6:$C$70,MATCH(LEFT(G100,6),'Prior Multipliers'!$A$6:$A$70,0)),IFERROR(INDEX('Prior Multipliers'!$C$6:$C$70,MATCH(LEFT(G100,2),'Prior Multipliers'!$A$6:$A$70,0)),1)))</f>
        <v>1.18</v>
      </c>
    </row>
    <row r="101" spans="1:12" ht="51.75" customHeight="1" x14ac:dyDescent="0.35">
      <c r="A101" s="92" t="s">
        <v>629</v>
      </c>
      <c r="B101" s="92" t="s">
        <v>1081</v>
      </c>
      <c r="C101" s="92" t="s">
        <v>1082</v>
      </c>
      <c r="D101" s="92" t="s">
        <v>1083</v>
      </c>
      <c r="E101" s="92" t="s">
        <v>1238</v>
      </c>
      <c r="F101" s="92" t="s">
        <v>1239</v>
      </c>
      <c r="G101" s="92" t="s">
        <v>1240</v>
      </c>
      <c r="H101" s="92" t="s">
        <v>1241</v>
      </c>
      <c r="I101" s="92" t="s">
        <v>1242</v>
      </c>
      <c r="J101" s="92" t="s">
        <v>1095</v>
      </c>
      <c r="K101" s="92" t="s">
        <v>1096</v>
      </c>
      <c r="L101" s="93">
        <f>IFERROR(INDEX('Prior Multipliers'!$C$6:$C$70,MATCH(LEFT(G101,10),'Prior Multipliers'!$A$6:$A$70,0)),IFERROR(INDEX('Prior Multipliers'!$C$6:$C$70,MATCH(LEFT(G101,6),'Prior Multipliers'!$A$6:$A$70,0)),IFERROR(INDEX('Prior Multipliers'!$C$6:$C$70,MATCH(LEFT(G101,2),'Prior Multipliers'!$A$6:$A$70,0)),1)))</f>
        <v>1.21</v>
      </c>
    </row>
    <row r="102" spans="1:12" ht="51.75" customHeight="1" x14ac:dyDescent="0.35">
      <c r="A102" s="90" t="s">
        <v>629</v>
      </c>
      <c r="B102" s="90" t="s">
        <v>1081</v>
      </c>
      <c r="C102" s="90" t="s">
        <v>1082</v>
      </c>
      <c r="D102" s="90" t="s">
        <v>1083</v>
      </c>
      <c r="E102" s="90" t="s">
        <v>1243</v>
      </c>
      <c r="F102" s="90" t="s">
        <v>1244</v>
      </c>
      <c r="G102" s="90" t="s">
        <v>1245</v>
      </c>
      <c r="H102" s="90" t="s">
        <v>634</v>
      </c>
      <c r="I102" s="90"/>
      <c r="J102" s="90" t="s">
        <v>1095</v>
      </c>
      <c r="K102" s="90" t="s">
        <v>1096</v>
      </c>
      <c r="L102" s="91">
        <f>IFERROR(INDEX('Prior Multipliers'!$C$6:$C$70,MATCH(LEFT(G102,10),'Prior Multipliers'!$A$6:$A$70,0)),IFERROR(INDEX('Prior Multipliers'!$C$6:$C$70,MATCH(LEFT(G102,6),'Prior Multipliers'!$A$6:$A$70,0)),IFERROR(INDEX('Prior Multipliers'!$C$6:$C$70,MATCH(LEFT(G102,2),'Prior Multipliers'!$A$6:$A$70,0)),1)))</f>
        <v>1.21</v>
      </c>
    </row>
    <row r="103" spans="1:12" ht="51.75" customHeight="1" x14ac:dyDescent="0.35">
      <c r="A103" s="90" t="s">
        <v>629</v>
      </c>
      <c r="B103" s="90" t="s">
        <v>1081</v>
      </c>
      <c r="C103" s="90" t="s">
        <v>1082</v>
      </c>
      <c r="D103" s="90" t="s">
        <v>1083</v>
      </c>
      <c r="E103" s="90" t="s">
        <v>1246</v>
      </c>
      <c r="F103" s="90" t="s">
        <v>1247</v>
      </c>
      <c r="G103" s="90" t="s">
        <v>1242</v>
      </c>
      <c r="H103" s="90" t="s">
        <v>1248</v>
      </c>
      <c r="I103" s="90"/>
      <c r="J103" s="90"/>
      <c r="K103" s="90"/>
      <c r="L103" s="91">
        <f>IFERROR(INDEX('Prior Multipliers'!$C$6:$C$70,MATCH(LEFT(G103,10),'Prior Multipliers'!$A$6:$A$70,0)),IFERROR(INDEX('Prior Multipliers'!$C$6:$C$70,MATCH(LEFT(G103,6),'Prior Multipliers'!$A$6:$A$70,0)),IFERROR(INDEX('Prior Multipliers'!$C$6:$C$70,MATCH(LEFT(G103,2),'Prior Multipliers'!$A$6:$A$70,0)),1)))</f>
        <v>1.21</v>
      </c>
    </row>
    <row r="104" spans="1:12" ht="51.75" customHeight="1" x14ac:dyDescent="0.35">
      <c r="A104" s="90" t="s">
        <v>629</v>
      </c>
      <c r="B104" s="90" t="s">
        <v>1081</v>
      </c>
      <c r="C104" s="90" t="s">
        <v>1082</v>
      </c>
      <c r="D104" s="90" t="s">
        <v>1083</v>
      </c>
      <c r="E104" s="90" t="s">
        <v>1249</v>
      </c>
      <c r="F104" s="90" t="s">
        <v>630</v>
      </c>
      <c r="G104" s="90" t="s">
        <v>1250</v>
      </c>
      <c r="H104" s="90" t="s">
        <v>1251</v>
      </c>
      <c r="I104" s="90"/>
      <c r="J104" s="90"/>
      <c r="K104" s="90"/>
      <c r="L104" s="91">
        <f>IFERROR(INDEX('Prior Multipliers'!$C$6:$C$70,MATCH(LEFT(G104,10),'Prior Multipliers'!$A$6:$A$70,0)),IFERROR(INDEX('Prior Multipliers'!$C$6:$C$70,MATCH(LEFT(G104,6),'Prior Multipliers'!$A$6:$A$70,0)),IFERROR(INDEX('Prior Multipliers'!$C$6:$C$70,MATCH(LEFT(G104,2),'Prior Multipliers'!$A$6:$A$70,0)),1)))</f>
        <v>1.21</v>
      </c>
    </row>
    <row r="105" spans="1:12" ht="51.75" customHeight="1" x14ac:dyDescent="0.35">
      <c r="A105" s="90" t="s">
        <v>629</v>
      </c>
      <c r="B105" s="90" t="s">
        <v>1081</v>
      </c>
      <c r="C105" s="90" t="s">
        <v>1082</v>
      </c>
      <c r="D105" s="90" t="s">
        <v>1083</v>
      </c>
      <c r="E105" s="90" t="s">
        <v>1252</v>
      </c>
      <c r="F105" s="90" t="s">
        <v>1253</v>
      </c>
      <c r="G105" s="90" t="s">
        <v>1254</v>
      </c>
      <c r="H105" s="90" t="s">
        <v>1255</v>
      </c>
      <c r="I105" s="90"/>
      <c r="J105" s="90" t="s">
        <v>1095</v>
      </c>
      <c r="K105" s="90" t="s">
        <v>1096</v>
      </c>
      <c r="L105" s="91">
        <f>IFERROR(INDEX('Prior Multipliers'!$C$6:$C$70,MATCH(LEFT(G105,10),'Prior Multipliers'!$A$6:$A$70,0)),IFERROR(INDEX('Prior Multipliers'!$C$6:$C$70,MATCH(LEFT(G105,6),'Prior Multipliers'!$A$6:$A$70,0)),IFERROR(INDEX('Prior Multipliers'!$C$6:$C$70,MATCH(LEFT(G105,2),'Prior Multipliers'!$A$6:$A$70,0)),1)))</f>
        <v>1.21</v>
      </c>
    </row>
    <row r="106" spans="1:12" ht="25.5" customHeight="1" x14ac:dyDescent="0.35">
      <c r="A106" s="90" t="s">
        <v>582</v>
      </c>
      <c r="B106" s="90" t="s">
        <v>1256</v>
      </c>
      <c r="C106" s="90" t="s">
        <v>1257</v>
      </c>
      <c r="D106" s="90" t="s">
        <v>1258</v>
      </c>
      <c r="E106" s="90"/>
      <c r="F106" s="90" t="s">
        <v>1084</v>
      </c>
      <c r="G106" s="90" t="s">
        <v>799</v>
      </c>
      <c r="H106" s="90" t="s">
        <v>1259</v>
      </c>
      <c r="I106" s="90"/>
      <c r="J106" s="90"/>
      <c r="K106" s="90"/>
      <c r="L106" s="91">
        <f>IFERROR(INDEX('Prior Multipliers'!$C$6:$C$70,MATCH(LEFT(G106,10),'Prior Multipliers'!$A$6:$A$70,0)),IFERROR(INDEX('Prior Multipliers'!$C$6:$C$70,MATCH(LEFT(G106,6),'Prior Multipliers'!$A$6:$A$70,0)),IFERROR(INDEX('Prior Multipliers'!$C$6:$C$70,MATCH(LEFT(G106,2),'Prior Multipliers'!$A$6:$A$70,0)),1)))</f>
        <v>1.33</v>
      </c>
    </row>
    <row r="107" spans="1:12" ht="25.5" customHeight="1" x14ac:dyDescent="0.35">
      <c r="A107" s="90" t="s">
        <v>582</v>
      </c>
      <c r="B107" s="90" t="s">
        <v>1256</v>
      </c>
      <c r="C107" s="90" t="s">
        <v>1257</v>
      </c>
      <c r="D107" s="90" t="s">
        <v>1258</v>
      </c>
      <c r="E107" s="90" t="s">
        <v>1260</v>
      </c>
      <c r="F107" s="90" t="s">
        <v>1261</v>
      </c>
      <c r="G107" s="90" t="s">
        <v>1262</v>
      </c>
      <c r="H107" s="90" t="s">
        <v>1263</v>
      </c>
      <c r="I107" s="90"/>
      <c r="J107" s="90"/>
      <c r="K107" s="90"/>
      <c r="L107" s="91">
        <f>IFERROR(INDEX('Prior Multipliers'!$C$6:$C$70,MATCH(LEFT(G107,10),'Prior Multipliers'!$A$6:$A$70,0)),IFERROR(INDEX('Prior Multipliers'!$C$6:$C$70,MATCH(LEFT(G107,6),'Prior Multipliers'!$A$6:$A$70,0)),IFERROR(INDEX('Prior Multipliers'!$C$6:$C$70,MATCH(LEFT(G107,2),'Prior Multipliers'!$A$6:$A$70,0)),1)))</f>
        <v>1.33</v>
      </c>
    </row>
    <row r="108" spans="1:12" ht="25.5" customHeight="1" x14ac:dyDescent="0.35">
      <c r="A108" s="90" t="s">
        <v>582</v>
      </c>
      <c r="B108" s="90" t="s">
        <v>1256</v>
      </c>
      <c r="C108" s="90" t="s">
        <v>1257</v>
      </c>
      <c r="D108" s="90" t="s">
        <v>1258</v>
      </c>
      <c r="E108" s="90" t="s">
        <v>1264</v>
      </c>
      <c r="F108" s="90" t="s">
        <v>1265</v>
      </c>
      <c r="G108" s="90" t="s">
        <v>1266</v>
      </c>
      <c r="H108" s="90" t="s">
        <v>1267</v>
      </c>
      <c r="I108" s="90"/>
      <c r="J108" s="90"/>
      <c r="K108" s="90"/>
      <c r="L108" s="91">
        <f>IFERROR(INDEX('Prior Multipliers'!$C$6:$C$70,MATCH(LEFT(G108,10),'Prior Multipliers'!$A$6:$A$70,0)),IFERROR(INDEX('Prior Multipliers'!$C$6:$C$70,MATCH(LEFT(G108,6),'Prior Multipliers'!$A$6:$A$70,0)),IFERROR(INDEX('Prior Multipliers'!$C$6:$C$70,MATCH(LEFT(G108,2),'Prior Multipliers'!$A$6:$A$70,0)),1)))</f>
        <v>1.23</v>
      </c>
    </row>
    <row r="109" spans="1:12" ht="25.5" customHeight="1" x14ac:dyDescent="0.35">
      <c r="A109" s="90" t="s">
        <v>582</v>
      </c>
      <c r="B109" s="90" t="s">
        <v>1256</v>
      </c>
      <c r="C109" s="90" t="s">
        <v>1257</v>
      </c>
      <c r="D109" s="90" t="s">
        <v>1258</v>
      </c>
      <c r="E109" s="90" t="s">
        <v>1268</v>
      </c>
      <c r="F109" s="90" t="s">
        <v>1269</v>
      </c>
      <c r="G109" s="90" t="s">
        <v>1270</v>
      </c>
      <c r="H109" s="90" t="s">
        <v>1271</v>
      </c>
      <c r="I109" s="90"/>
      <c r="J109" s="90"/>
      <c r="K109" s="90"/>
      <c r="L109" s="91">
        <f>IFERROR(INDEX('Prior Multipliers'!$C$6:$C$70,MATCH(LEFT(G109,10),'Prior Multipliers'!$A$6:$A$70,0)),IFERROR(INDEX('Prior Multipliers'!$C$6:$C$70,MATCH(LEFT(G109,6),'Prior Multipliers'!$A$6:$A$70,0)),IFERROR(INDEX('Prior Multipliers'!$C$6:$C$70,MATCH(LEFT(G109,2),'Prior Multipliers'!$A$6:$A$70,0)),1)))</f>
        <v>1.33</v>
      </c>
    </row>
    <row r="110" spans="1:12" ht="39" customHeight="1" x14ac:dyDescent="0.35">
      <c r="A110" s="92" t="s">
        <v>582</v>
      </c>
      <c r="B110" s="92" t="s">
        <v>1256</v>
      </c>
      <c r="C110" s="92" t="s">
        <v>1257</v>
      </c>
      <c r="D110" s="92" t="s">
        <v>1258</v>
      </c>
      <c r="E110" s="92" t="s">
        <v>1272</v>
      </c>
      <c r="F110" s="92" t="s">
        <v>1273</v>
      </c>
      <c r="G110" s="92" t="s">
        <v>1274</v>
      </c>
      <c r="H110" s="92" t="s">
        <v>1275</v>
      </c>
      <c r="I110" s="92" t="s">
        <v>1262</v>
      </c>
      <c r="J110" s="92" t="s">
        <v>1276</v>
      </c>
      <c r="K110" s="92" t="s">
        <v>1277</v>
      </c>
      <c r="L110" s="93">
        <f>IFERROR(INDEX('Prior Multipliers'!$C$6:$C$70,MATCH(LEFT(G110,10),'Prior Multipliers'!$A$6:$A$70,0)),IFERROR(INDEX('Prior Multipliers'!$C$6:$C$70,MATCH(LEFT(G110,6),'Prior Multipliers'!$A$6:$A$70,0)),IFERROR(INDEX('Prior Multipliers'!$C$6:$C$70,MATCH(LEFT(G110,2),'Prior Multipliers'!$A$6:$A$70,0)),1)))</f>
        <v>1.33</v>
      </c>
    </row>
    <row r="111" spans="1:12" ht="25.5" customHeight="1" x14ac:dyDescent="0.35">
      <c r="A111" s="90" t="s">
        <v>582</v>
      </c>
      <c r="B111" s="90" t="s">
        <v>1256</v>
      </c>
      <c r="C111" s="90" t="s">
        <v>1257</v>
      </c>
      <c r="D111" s="90" t="s">
        <v>1258</v>
      </c>
      <c r="E111" s="90" t="s">
        <v>1136</v>
      </c>
      <c r="F111" s="90" t="s">
        <v>1278</v>
      </c>
      <c r="G111" s="90" t="s">
        <v>1140</v>
      </c>
      <c r="H111" s="90" t="s">
        <v>1279</v>
      </c>
      <c r="I111" s="90"/>
      <c r="J111" s="90"/>
      <c r="K111" s="90"/>
      <c r="L111" s="91">
        <f>IFERROR(INDEX('Prior Multipliers'!$C$6:$C$70,MATCH(LEFT(G111,10),'Prior Multipliers'!$A$6:$A$70,0)),IFERROR(INDEX('Prior Multipliers'!$C$6:$C$70,MATCH(LEFT(G111,6),'Prior Multipliers'!$A$6:$A$70,0)),IFERROR(INDEX('Prior Multipliers'!$C$6:$C$70,MATCH(LEFT(G111,2),'Prior Multipliers'!$A$6:$A$70,0)),1)))</f>
        <v>1.02</v>
      </c>
    </row>
    <row r="112" spans="1:12" ht="39" customHeight="1" x14ac:dyDescent="0.35">
      <c r="A112" s="92" t="s">
        <v>582</v>
      </c>
      <c r="B112" s="92" t="s">
        <v>1256</v>
      </c>
      <c r="C112" s="92" t="s">
        <v>1257</v>
      </c>
      <c r="D112" s="92" t="s">
        <v>1258</v>
      </c>
      <c r="E112" s="92" t="s">
        <v>1280</v>
      </c>
      <c r="F112" s="92" t="s">
        <v>1281</v>
      </c>
      <c r="G112" s="92" t="s">
        <v>1282</v>
      </c>
      <c r="H112" s="92" t="s">
        <v>1283</v>
      </c>
      <c r="I112" s="92" t="s">
        <v>1270</v>
      </c>
      <c r="J112" s="92" t="s">
        <v>1276</v>
      </c>
      <c r="K112" s="92" t="s">
        <v>1277</v>
      </c>
      <c r="L112" s="93">
        <f>IFERROR(INDEX('Prior Multipliers'!$C$6:$C$70,MATCH(LEFT(G112,10),'Prior Multipliers'!$A$6:$A$70,0)),IFERROR(INDEX('Prior Multipliers'!$C$6:$C$70,MATCH(LEFT(G112,6),'Prior Multipliers'!$A$6:$A$70,0)),IFERROR(INDEX('Prior Multipliers'!$C$6:$C$70,MATCH(LEFT(G112,2),'Prior Multipliers'!$A$6:$A$70,0)),1)))</f>
        <v>1.23</v>
      </c>
    </row>
    <row r="113" spans="1:12" ht="39" customHeight="1" x14ac:dyDescent="0.35">
      <c r="A113" s="92" t="s">
        <v>582</v>
      </c>
      <c r="B113" s="92" t="s">
        <v>1256</v>
      </c>
      <c r="C113" s="92" t="s">
        <v>1257</v>
      </c>
      <c r="D113" s="92" t="s">
        <v>1258</v>
      </c>
      <c r="E113" s="92" t="s">
        <v>1284</v>
      </c>
      <c r="F113" s="92" t="s">
        <v>1285</v>
      </c>
      <c r="G113" s="92" t="s">
        <v>1286</v>
      </c>
      <c r="H113" s="92" t="s">
        <v>1287</v>
      </c>
      <c r="I113" s="92" t="s">
        <v>1140</v>
      </c>
      <c r="J113" s="92" t="s">
        <v>1276</v>
      </c>
      <c r="K113" s="92" t="s">
        <v>1277</v>
      </c>
      <c r="L113" s="93">
        <f>IFERROR(INDEX('Prior Multipliers'!$C$6:$C$70,MATCH(LEFT(G113,10),'Prior Multipliers'!$A$6:$A$70,0)),IFERROR(INDEX('Prior Multipliers'!$C$6:$C$70,MATCH(LEFT(G113,6),'Prior Multipliers'!$A$6:$A$70,0)),IFERROR(INDEX('Prior Multipliers'!$C$6:$C$70,MATCH(LEFT(G113,2),'Prior Multipliers'!$A$6:$A$70,0)),1)))</f>
        <v>1.23</v>
      </c>
    </row>
    <row r="114" spans="1:12" ht="39" customHeight="1" x14ac:dyDescent="0.35">
      <c r="A114" s="92" t="s">
        <v>582</v>
      </c>
      <c r="B114" s="92" t="s">
        <v>1256</v>
      </c>
      <c r="C114" s="92" t="s">
        <v>1257</v>
      </c>
      <c r="D114" s="92" t="s">
        <v>1258</v>
      </c>
      <c r="E114" s="92" t="s">
        <v>1288</v>
      </c>
      <c r="F114" s="92" t="s">
        <v>1289</v>
      </c>
      <c r="G114" s="92" t="s">
        <v>1290</v>
      </c>
      <c r="H114" s="92" t="s">
        <v>1291</v>
      </c>
      <c r="I114" s="92" t="s">
        <v>1292</v>
      </c>
      <c r="J114" s="92" t="s">
        <v>1276</v>
      </c>
      <c r="K114" s="92" t="s">
        <v>1277</v>
      </c>
      <c r="L114" s="93">
        <f>IFERROR(INDEX('Prior Multipliers'!$C$6:$C$70,MATCH(LEFT(G114,10),'Prior Multipliers'!$A$6:$A$70,0)),IFERROR(INDEX('Prior Multipliers'!$C$6:$C$70,MATCH(LEFT(G114,6),'Prior Multipliers'!$A$6:$A$70,0)),IFERROR(INDEX('Prior Multipliers'!$C$6:$C$70,MATCH(LEFT(G114,2),'Prior Multipliers'!$A$6:$A$70,0)),1)))</f>
        <v>1.23</v>
      </c>
    </row>
    <row r="115" spans="1:12" ht="25.5" customHeight="1" x14ac:dyDescent="0.35">
      <c r="A115" s="90" t="s">
        <v>582</v>
      </c>
      <c r="B115" s="90" t="s">
        <v>1256</v>
      </c>
      <c r="C115" s="90" t="s">
        <v>1257</v>
      </c>
      <c r="D115" s="90" t="s">
        <v>1258</v>
      </c>
      <c r="E115" s="90" t="s">
        <v>1293</v>
      </c>
      <c r="F115" s="90" t="s">
        <v>1294</v>
      </c>
      <c r="G115" s="90" t="s">
        <v>1295</v>
      </c>
      <c r="H115" s="90" t="s">
        <v>1296</v>
      </c>
      <c r="I115" s="90"/>
      <c r="J115" s="90"/>
      <c r="K115" s="90"/>
      <c r="L115" s="91">
        <f>IFERROR(INDEX('Prior Multipliers'!$C$6:$C$70,MATCH(LEFT(G115,10),'Prior Multipliers'!$A$6:$A$70,0)),IFERROR(INDEX('Prior Multipliers'!$C$6:$C$70,MATCH(LEFT(G115,6),'Prior Multipliers'!$A$6:$A$70,0)),IFERROR(INDEX('Prior Multipliers'!$C$6:$C$70,MATCH(LEFT(G115,2),'Prior Multipliers'!$A$6:$A$70,0)),1)))</f>
        <v>1.23</v>
      </c>
    </row>
    <row r="116" spans="1:12" ht="25.5" customHeight="1" x14ac:dyDescent="0.35">
      <c r="A116" s="90" t="s">
        <v>582</v>
      </c>
      <c r="B116" s="90" t="s">
        <v>1256</v>
      </c>
      <c r="C116" s="90" t="s">
        <v>1257</v>
      </c>
      <c r="D116" s="90" t="s">
        <v>1258</v>
      </c>
      <c r="E116" s="90" t="s">
        <v>1297</v>
      </c>
      <c r="F116" s="90" t="s">
        <v>1298</v>
      </c>
      <c r="G116" s="90" t="s">
        <v>1292</v>
      </c>
      <c r="H116" s="90" t="s">
        <v>1299</v>
      </c>
      <c r="I116" s="90"/>
      <c r="J116" s="90"/>
      <c r="K116" s="90"/>
      <c r="L116" s="91">
        <f>IFERROR(INDEX('Prior Multipliers'!$C$6:$C$70,MATCH(LEFT(G116,10),'Prior Multipliers'!$A$6:$A$70,0)),IFERROR(INDEX('Prior Multipliers'!$C$6:$C$70,MATCH(LEFT(G116,6),'Prior Multipliers'!$A$6:$A$70,0)),IFERROR(INDEX('Prior Multipliers'!$C$6:$C$70,MATCH(LEFT(G116,2),'Prior Multipliers'!$A$6:$A$70,0)),1)))</f>
        <v>1.33</v>
      </c>
    </row>
    <row r="117" spans="1:12" ht="39" customHeight="1" x14ac:dyDescent="0.35">
      <c r="A117" s="90" t="s">
        <v>582</v>
      </c>
      <c r="B117" s="90" t="s">
        <v>1256</v>
      </c>
      <c r="C117" s="90" t="s">
        <v>1257</v>
      </c>
      <c r="D117" s="90" t="s">
        <v>1258</v>
      </c>
      <c r="E117" s="90" t="s">
        <v>1300</v>
      </c>
      <c r="F117" s="90" t="s">
        <v>1301</v>
      </c>
      <c r="G117" s="90" t="s">
        <v>1302</v>
      </c>
      <c r="H117" s="90" t="s">
        <v>1303</v>
      </c>
      <c r="I117" s="90"/>
      <c r="J117" s="90" t="s">
        <v>1276</v>
      </c>
      <c r="K117" s="90" t="s">
        <v>1277</v>
      </c>
      <c r="L117" s="91">
        <f>IFERROR(INDEX('Prior Multipliers'!$C$6:$C$70,MATCH(LEFT(G117,10),'Prior Multipliers'!$A$6:$A$70,0)),IFERROR(INDEX('Prior Multipliers'!$C$6:$C$70,MATCH(LEFT(G117,6),'Prior Multipliers'!$A$6:$A$70,0)),IFERROR(INDEX('Prior Multipliers'!$C$6:$C$70,MATCH(LEFT(G117,2),'Prior Multipliers'!$A$6:$A$70,0)),1)))</f>
        <v>1.23</v>
      </c>
    </row>
    <row r="118" spans="1:12" ht="39" customHeight="1" x14ac:dyDescent="0.35">
      <c r="A118" s="92" t="s">
        <v>582</v>
      </c>
      <c r="B118" s="92" t="s">
        <v>1256</v>
      </c>
      <c r="C118" s="92" t="s">
        <v>1257</v>
      </c>
      <c r="D118" s="92" t="s">
        <v>1258</v>
      </c>
      <c r="E118" s="92" t="s">
        <v>1304</v>
      </c>
      <c r="F118" s="92" t="s">
        <v>1305</v>
      </c>
      <c r="G118" s="92" t="s">
        <v>1306</v>
      </c>
      <c r="H118" s="92" t="s">
        <v>1307</v>
      </c>
      <c r="I118" s="92" t="s">
        <v>1266</v>
      </c>
      <c r="J118" s="92" t="s">
        <v>1276</v>
      </c>
      <c r="K118" s="92" t="s">
        <v>1277</v>
      </c>
      <c r="L118" s="93">
        <f>IFERROR(INDEX('Prior Multipliers'!$C$6:$C$70,MATCH(LEFT(G118,10),'Prior Multipliers'!$A$6:$A$70,0)),IFERROR(INDEX('Prior Multipliers'!$C$6:$C$70,MATCH(LEFT(G118,6),'Prior Multipliers'!$A$6:$A$70,0)),IFERROR(INDEX('Prior Multipliers'!$C$6:$C$70,MATCH(LEFT(G118,2),'Prior Multipliers'!$A$6:$A$70,0)),1)))</f>
        <v>1.23</v>
      </c>
    </row>
    <row r="119" spans="1:12" ht="25.5" customHeight="1" x14ac:dyDescent="0.35">
      <c r="A119" s="90" t="s">
        <v>582</v>
      </c>
      <c r="B119" s="90" t="s">
        <v>1256</v>
      </c>
      <c r="C119" s="90" t="s">
        <v>1257</v>
      </c>
      <c r="D119" s="90" t="s">
        <v>1258</v>
      </c>
      <c r="E119" s="90" t="s">
        <v>904</v>
      </c>
      <c r="F119" s="90" t="s">
        <v>1047</v>
      </c>
      <c r="G119" s="90" t="s">
        <v>1308</v>
      </c>
      <c r="H119" s="90" t="s">
        <v>1309</v>
      </c>
      <c r="I119" s="90"/>
      <c r="J119" s="90"/>
      <c r="K119" s="90"/>
      <c r="L119" s="91">
        <f>IFERROR(INDEX('Prior Multipliers'!$C$6:$C$70,MATCH(LEFT(G119,10),'Prior Multipliers'!$A$6:$A$70,0)),IFERROR(INDEX('Prior Multipliers'!$C$6:$C$70,MATCH(LEFT(G119,6),'Prior Multipliers'!$A$6:$A$70,0)),IFERROR(INDEX('Prior Multipliers'!$C$6:$C$70,MATCH(LEFT(G119,2),'Prior Multipliers'!$A$6:$A$70,0)),1)))</f>
        <v>1.33</v>
      </c>
    </row>
    <row r="120" spans="1:12" ht="25.5" customHeight="1" x14ac:dyDescent="0.35">
      <c r="A120" s="90" t="s">
        <v>582</v>
      </c>
      <c r="B120" s="90" t="s">
        <v>1256</v>
      </c>
      <c r="C120" s="90" t="s">
        <v>1257</v>
      </c>
      <c r="D120" s="90" t="s">
        <v>1258</v>
      </c>
      <c r="E120" s="90" t="s">
        <v>1310</v>
      </c>
      <c r="F120" s="90" t="s">
        <v>1311</v>
      </c>
      <c r="G120" s="90" t="s">
        <v>1312</v>
      </c>
      <c r="H120" s="90" t="s">
        <v>1313</v>
      </c>
      <c r="I120" s="90"/>
      <c r="J120" s="90"/>
      <c r="K120" s="90"/>
      <c r="L120" s="91">
        <f>IFERROR(INDEX('Prior Multipliers'!$C$6:$C$70,MATCH(LEFT(G120,10),'Prior Multipliers'!$A$6:$A$70,0)),IFERROR(INDEX('Prior Multipliers'!$C$6:$C$70,MATCH(LEFT(G120,6),'Prior Multipliers'!$A$6:$A$70,0)),IFERROR(INDEX('Prior Multipliers'!$C$6:$C$70,MATCH(LEFT(G120,2),'Prior Multipliers'!$A$6:$A$70,0)),1)))</f>
        <v>1.33</v>
      </c>
    </row>
    <row r="121" spans="1:12" ht="39" customHeight="1" x14ac:dyDescent="0.35">
      <c r="A121" s="92" t="s">
        <v>582</v>
      </c>
      <c r="B121" s="92" t="s">
        <v>1256</v>
      </c>
      <c r="C121" s="92" t="s">
        <v>1257</v>
      </c>
      <c r="D121" s="92" t="s">
        <v>1258</v>
      </c>
      <c r="E121" s="92" t="s">
        <v>1314</v>
      </c>
      <c r="F121" s="92" t="s">
        <v>1315</v>
      </c>
      <c r="G121" s="92" t="s">
        <v>1316</v>
      </c>
      <c r="H121" s="92" t="s">
        <v>1317</v>
      </c>
      <c r="I121" s="92" t="s">
        <v>1270</v>
      </c>
      <c r="J121" s="92" t="s">
        <v>1276</v>
      </c>
      <c r="K121" s="92" t="s">
        <v>1277</v>
      </c>
      <c r="L121" s="93">
        <f>IFERROR(INDEX('Prior Multipliers'!$C$6:$C$70,MATCH(LEFT(G121,10),'Prior Multipliers'!$A$6:$A$70,0)),IFERROR(INDEX('Prior Multipliers'!$C$6:$C$70,MATCH(LEFT(G121,6),'Prior Multipliers'!$A$6:$A$70,0)),IFERROR(INDEX('Prior Multipliers'!$C$6:$C$70,MATCH(LEFT(G121,2),'Prior Multipliers'!$A$6:$A$70,0)),1)))</f>
        <v>1.33</v>
      </c>
    </row>
    <row r="122" spans="1:12" ht="25.5" customHeight="1" x14ac:dyDescent="0.35">
      <c r="A122" s="90" t="s">
        <v>582</v>
      </c>
      <c r="B122" s="90" t="s">
        <v>1256</v>
      </c>
      <c r="C122" s="90" t="s">
        <v>1257</v>
      </c>
      <c r="D122" s="90" t="s">
        <v>1258</v>
      </c>
      <c r="E122" s="90" t="s">
        <v>1318</v>
      </c>
      <c r="F122" s="90" t="s">
        <v>1319</v>
      </c>
      <c r="G122" s="90" t="s">
        <v>1320</v>
      </c>
      <c r="H122" s="90" t="s">
        <v>1321</v>
      </c>
      <c r="I122" s="90"/>
      <c r="J122" s="90"/>
      <c r="K122" s="90"/>
      <c r="L122" s="91">
        <f>IFERROR(INDEX('Prior Multipliers'!$C$6:$C$70,MATCH(LEFT(G122,10),'Prior Multipliers'!$A$6:$A$70,0)),IFERROR(INDEX('Prior Multipliers'!$C$6:$C$70,MATCH(LEFT(G122,6),'Prior Multipliers'!$A$6:$A$70,0)),IFERROR(INDEX('Prior Multipliers'!$C$6:$C$70,MATCH(LEFT(G122,2),'Prior Multipliers'!$A$6:$A$70,0)),1)))</f>
        <v>1.33</v>
      </c>
    </row>
    <row r="123" spans="1:12" ht="39" customHeight="1" x14ac:dyDescent="0.35">
      <c r="A123" s="92" t="s">
        <v>582</v>
      </c>
      <c r="B123" s="92" t="s">
        <v>1256</v>
      </c>
      <c r="C123" s="92" t="s">
        <v>1257</v>
      </c>
      <c r="D123" s="92" t="s">
        <v>1258</v>
      </c>
      <c r="E123" s="92" t="s">
        <v>1322</v>
      </c>
      <c r="F123" s="92" t="s">
        <v>1323</v>
      </c>
      <c r="G123" s="92" t="s">
        <v>1324</v>
      </c>
      <c r="H123" s="92" t="s">
        <v>1325</v>
      </c>
      <c r="I123" s="92" t="s">
        <v>1262</v>
      </c>
      <c r="J123" s="92" t="s">
        <v>1276</v>
      </c>
      <c r="K123" s="92" t="s">
        <v>1277</v>
      </c>
      <c r="L123" s="93">
        <f>IFERROR(INDEX('Prior Multipliers'!$C$6:$C$70,MATCH(LEFT(G123,10),'Prior Multipliers'!$A$6:$A$70,0)),IFERROR(INDEX('Prior Multipliers'!$C$6:$C$70,MATCH(LEFT(G123,6),'Prior Multipliers'!$A$6:$A$70,0)),IFERROR(INDEX('Prior Multipliers'!$C$6:$C$70,MATCH(LEFT(G123,2),'Prior Multipliers'!$A$6:$A$70,0)),1)))</f>
        <v>1.33</v>
      </c>
    </row>
    <row r="124" spans="1:12" ht="39" customHeight="1" x14ac:dyDescent="0.35">
      <c r="A124" s="92" t="s">
        <v>582</v>
      </c>
      <c r="B124" s="92" t="s">
        <v>1256</v>
      </c>
      <c r="C124" s="92" t="s">
        <v>1257</v>
      </c>
      <c r="D124" s="92" t="s">
        <v>1258</v>
      </c>
      <c r="E124" s="92" t="s">
        <v>1326</v>
      </c>
      <c r="F124" s="92" t="s">
        <v>1327</v>
      </c>
      <c r="G124" s="92" t="s">
        <v>1328</v>
      </c>
      <c r="H124" s="92" t="s">
        <v>1329</v>
      </c>
      <c r="I124" s="92" t="s">
        <v>1292</v>
      </c>
      <c r="J124" s="92" t="s">
        <v>1276</v>
      </c>
      <c r="K124" s="92" t="s">
        <v>1277</v>
      </c>
      <c r="L124" s="93">
        <f>IFERROR(INDEX('Prior Multipliers'!$C$6:$C$70,MATCH(LEFT(G124,10),'Prior Multipliers'!$A$6:$A$70,0)),IFERROR(INDEX('Prior Multipliers'!$C$6:$C$70,MATCH(LEFT(G124,6),'Prior Multipliers'!$A$6:$A$70,0)),IFERROR(INDEX('Prior Multipliers'!$C$6:$C$70,MATCH(LEFT(G124,2),'Prior Multipliers'!$A$6:$A$70,0)),1)))</f>
        <v>1.33</v>
      </c>
    </row>
    <row r="125" spans="1:12" ht="39" customHeight="1" x14ac:dyDescent="0.35">
      <c r="A125" s="90" t="s">
        <v>582</v>
      </c>
      <c r="B125" s="90" t="s">
        <v>1256</v>
      </c>
      <c r="C125" s="90" t="s">
        <v>1257</v>
      </c>
      <c r="D125" s="90" t="s">
        <v>1258</v>
      </c>
      <c r="E125" s="90" t="s">
        <v>1330</v>
      </c>
      <c r="F125" s="90" t="s">
        <v>1331</v>
      </c>
      <c r="G125" s="90" t="s">
        <v>1332</v>
      </c>
      <c r="H125" s="90" t="s">
        <v>1333</v>
      </c>
      <c r="I125" s="90"/>
      <c r="J125" s="90" t="s">
        <v>1276</v>
      </c>
      <c r="K125" s="90" t="s">
        <v>1277</v>
      </c>
      <c r="L125" s="91">
        <f>IFERROR(INDEX('Prior Multipliers'!$C$6:$C$70,MATCH(LEFT(G125,10),'Prior Multipliers'!$A$6:$A$70,0)),IFERROR(INDEX('Prior Multipliers'!$C$6:$C$70,MATCH(LEFT(G125,6),'Prior Multipliers'!$A$6:$A$70,0)),IFERROR(INDEX('Prior Multipliers'!$C$6:$C$70,MATCH(LEFT(G125,2),'Prior Multipliers'!$A$6:$A$70,0)),1)))</f>
        <v>1.02</v>
      </c>
    </row>
    <row r="126" spans="1:12" ht="39" customHeight="1" x14ac:dyDescent="0.35">
      <c r="A126" s="90" t="s">
        <v>582</v>
      </c>
      <c r="B126" s="90" t="s">
        <v>1256</v>
      </c>
      <c r="C126" s="90" t="s">
        <v>1257</v>
      </c>
      <c r="D126" s="90" t="s">
        <v>1258</v>
      </c>
      <c r="E126" s="90" t="s">
        <v>1334</v>
      </c>
      <c r="F126" s="90" t="s">
        <v>1335</v>
      </c>
      <c r="G126" s="90" t="s">
        <v>1336</v>
      </c>
      <c r="H126" s="90" t="s">
        <v>584</v>
      </c>
      <c r="I126" s="90"/>
      <c r="J126" s="90" t="s">
        <v>1276</v>
      </c>
      <c r="K126" s="90" t="s">
        <v>1277</v>
      </c>
      <c r="L126" s="91">
        <f>IFERROR(INDEX('Prior Multipliers'!$C$6:$C$70,MATCH(LEFT(G126,10),'Prior Multipliers'!$A$6:$A$70,0)),IFERROR(INDEX('Prior Multipliers'!$C$6:$C$70,MATCH(LEFT(G126,6),'Prior Multipliers'!$A$6:$A$70,0)),IFERROR(INDEX('Prior Multipliers'!$C$6:$C$70,MATCH(LEFT(G126,2),'Prior Multipliers'!$A$6:$A$70,0)),1)))</f>
        <v>1.33</v>
      </c>
    </row>
    <row r="127" spans="1:12" ht="39" customHeight="1" x14ac:dyDescent="0.35">
      <c r="A127" s="90" t="s">
        <v>582</v>
      </c>
      <c r="B127" s="90" t="s">
        <v>1256</v>
      </c>
      <c r="C127" s="90" t="s">
        <v>1257</v>
      </c>
      <c r="D127" s="90" t="s">
        <v>1258</v>
      </c>
      <c r="E127" s="90" t="s">
        <v>1337</v>
      </c>
      <c r="F127" s="90" t="s">
        <v>637</v>
      </c>
      <c r="G127" s="90" t="s">
        <v>1338</v>
      </c>
      <c r="H127" s="90" t="s">
        <v>1339</v>
      </c>
      <c r="I127" s="90"/>
      <c r="J127" s="90" t="s">
        <v>1276</v>
      </c>
      <c r="K127" s="90" t="s">
        <v>1277</v>
      </c>
      <c r="L127" s="91">
        <f>IFERROR(INDEX('Prior Multipliers'!$C$6:$C$70,MATCH(LEFT(G127,10),'Prior Multipliers'!$A$6:$A$70,0)),IFERROR(INDEX('Prior Multipliers'!$C$6:$C$70,MATCH(LEFT(G127,6),'Prior Multipliers'!$A$6:$A$70,0)),IFERROR(INDEX('Prior Multipliers'!$C$6:$C$70,MATCH(LEFT(G127,2),'Prior Multipliers'!$A$6:$A$70,0)),1)))</f>
        <v>1.33</v>
      </c>
    </row>
    <row r="128" spans="1:12" ht="39" customHeight="1" x14ac:dyDescent="0.35">
      <c r="A128" s="90" t="s">
        <v>582</v>
      </c>
      <c r="B128" s="90" t="s">
        <v>1256</v>
      </c>
      <c r="C128" s="90" t="s">
        <v>1257</v>
      </c>
      <c r="D128" s="90" t="s">
        <v>1258</v>
      </c>
      <c r="E128" s="90" t="s">
        <v>1211</v>
      </c>
      <c r="F128" s="90" t="s">
        <v>1340</v>
      </c>
      <c r="G128" s="90" t="s">
        <v>1341</v>
      </c>
      <c r="H128" s="90" t="s">
        <v>1342</v>
      </c>
      <c r="I128" s="90"/>
      <c r="J128" s="90" t="s">
        <v>1276</v>
      </c>
      <c r="K128" s="90" t="s">
        <v>1277</v>
      </c>
      <c r="L128" s="91">
        <f>IFERROR(INDEX('Prior Multipliers'!$C$6:$C$70,MATCH(LEFT(G128,10),'Prior Multipliers'!$A$6:$A$70,0)),IFERROR(INDEX('Prior Multipliers'!$C$6:$C$70,MATCH(LEFT(G128,6),'Prior Multipliers'!$A$6:$A$70,0)),IFERROR(INDEX('Prior Multipliers'!$C$6:$C$70,MATCH(LEFT(G128,2),'Prior Multipliers'!$A$6:$A$70,0)),1)))</f>
        <v>1.02</v>
      </c>
    </row>
    <row r="129" spans="1:12" x14ac:dyDescent="0.35">
      <c r="A129" s="90" t="s">
        <v>585</v>
      </c>
      <c r="B129" s="90" t="s">
        <v>1343</v>
      </c>
      <c r="C129" s="90" t="s">
        <v>1344</v>
      </c>
      <c r="D129" s="90" t="s">
        <v>1345</v>
      </c>
      <c r="E129" s="90"/>
      <c r="F129" s="90" t="s">
        <v>1084</v>
      </c>
      <c r="G129" s="90" t="s">
        <v>801</v>
      </c>
      <c r="H129" s="90" t="s">
        <v>1346</v>
      </c>
      <c r="I129" s="90"/>
      <c r="J129" s="90"/>
      <c r="K129" s="90"/>
      <c r="L129" s="91">
        <f>IFERROR(INDEX('Prior Multipliers'!$C$6:$C$70,MATCH(LEFT(G129,10),'Prior Multipliers'!$A$6:$A$70,0)),IFERROR(INDEX('Prior Multipliers'!$C$6:$C$70,MATCH(LEFT(G129,6),'Prior Multipliers'!$A$6:$A$70,0)),IFERROR(INDEX('Prior Multipliers'!$C$6:$C$70,MATCH(LEFT(G129,2),'Prior Multipliers'!$A$6:$A$70,0)),1)))</f>
        <v>0.76</v>
      </c>
    </row>
    <row r="130" spans="1:12" x14ac:dyDescent="0.35">
      <c r="A130" s="90" t="s">
        <v>585</v>
      </c>
      <c r="B130" s="90" t="s">
        <v>1343</v>
      </c>
      <c r="C130" s="90" t="s">
        <v>1344</v>
      </c>
      <c r="D130" s="90" t="s">
        <v>1345</v>
      </c>
      <c r="E130" s="90" t="s">
        <v>1268</v>
      </c>
      <c r="F130" s="90" t="s">
        <v>1347</v>
      </c>
      <c r="G130" s="90" t="s">
        <v>1348</v>
      </c>
      <c r="H130" s="90" t="s">
        <v>1349</v>
      </c>
      <c r="I130" s="90"/>
      <c r="J130" s="90"/>
      <c r="K130" s="90"/>
      <c r="L130" s="91">
        <f>IFERROR(INDEX('Prior Multipliers'!$C$6:$C$70,MATCH(LEFT(G130,10),'Prior Multipliers'!$A$6:$A$70,0)),IFERROR(INDEX('Prior Multipliers'!$C$6:$C$70,MATCH(LEFT(G130,6),'Prior Multipliers'!$A$6:$A$70,0)),IFERROR(INDEX('Prior Multipliers'!$C$6:$C$70,MATCH(LEFT(G130,2),'Prior Multipliers'!$A$6:$A$70,0)),1)))</f>
        <v>0.76</v>
      </c>
    </row>
    <row r="131" spans="1:12" x14ac:dyDescent="0.35">
      <c r="A131" s="90" t="s">
        <v>585</v>
      </c>
      <c r="B131" s="90" t="s">
        <v>1343</v>
      </c>
      <c r="C131" s="90" t="s">
        <v>1344</v>
      </c>
      <c r="D131" s="90" t="s">
        <v>1345</v>
      </c>
      <c r="E131" s="90" t="s">
        <v>863</v>
      </c>
      <c r="F131" s="90" t="s">
        <v>1350</v>
      </c>
      <c r="G131" s="90" t="s">
        <v>1351</v>
      </c>
      <c r="H131" s="90" t="s">
        <v>1352</v>
      </c>
      <c r="I131" s="90"/>
      <c r="J131" s="90"/>
      <c r="K131" s="90"/>
      <c r="L131" s="91">
        <f>IFERROR(INDEX('Prior Multipliers'!$C$6:$C$70,MATCH(LEFT(G131,10),'Prior Multipliers'!$A$6:$A$70,0)),IFERROR(INDEX('Prior Multipliers'!$C$6:$C$70,MATCH(LEFT(G131,6),'Prior Multipliers'!$A$6:$A$70,0)),IFERROR(INDEX('Prior Multipliers'!$C$6:$C$70,MATCH(LEFT(G131,2),'Prior Multipliers'!$A$6:$A$70,0)),1)))</f>
        <v>0.76</v>
      </c>
    </row>
    <row r="132" spans="1:12" x14ac:dyDescent="0.35">
      <c r="A132" s="90" t="s">
        <v>585</v>
      </c>
      <c r="B132" s="90" t="s">
        <v>1343</v>
      </c>
      <c r="C132" s="90" t="s">
        <v>1344</v>
      </c>
      <c r="D132" s="90" t="s">
        <v>1345</v>
      </c>
      <c r="E132" s="90" t="s">
        <v>1353</v>
      </c>
      <c r="F132" s="90" t="s">
        <v>1354</v>
      </c>
      <c r="G132" s="90" t="s">
        <v>1355</v>
      </c>
      <c r="H132" s="90" t="s">
        <v>1356</v>
      </c>
      <c r="I132" s="90"/>
      <c r="J132" s="90"/>
      <c r="K132" s="90"/>
      <c r="L132" s="91">
        <f>IFERROR(INDEX('Prior Multipliers'!$C$6:$C$70,MATCH(LEFT(G132,10),'Prior Multipliers'!$A$6:$A$70,0)),IFERROR(INDEX('Prior Multipliers'!$C$6:$C$70,MATCH(LEFT(G132,6),'Prior Multipliers'!$A$6:$A$70,0)),IFERROR(INDEX('Prior Multipliers'!$C$6:$C$70,MATCH(LEFT(G132,2),'Prior Multipliers'!$A$6:$A$70,0)),1)))</f>
        <v>0.76</v>
      </c>
    </row>
    <row r="133" spans="1:12" x14ac:dyDescent="0.35">
      <c r="A133" s="90" t="s">
        <v>585</v>
      </c>
      <c r="B133" s="90" t="s">
        <v>1343</v>
      </c>
      <c r="C133" s="90" t="s">
        <v>1344</v>
      </c>
      <c r="D133" s="90" t="s">
        <v>1345</v>
      </c>
      <c r="E133" s="90" t="s">
        <v>1357</v>
      </c>
      <c r="F133" s="90" t="s">
        <v>1358</v>
      </c>
      <c r="G133" s="90" t="s">
        <v>1359</v>
      </c>
      <c r="H133" s="90" t="s">
        <v>1360</v>
      </c>
      <c r="I133" s="90"/>
      <c r="J133" s="90"/>
      <c r="K133" s="90"/>
      <c r="L133" s="91">
        <f>IFERROR(INDEX('Prior Multipliers'!$C$6:$C$70,MATCH(LEFT(G133,10),'Prior Multipliers'!$A$6:$A$70,0)),IFERROR(INDEX('Prior Multipliers'!$C$6:$C$70,MATCH(LEFT(G133,6),'Prior Multipliers'!$A$6:$A$70,0)),IFERROR(INDEX('Prior Multipliers'!$C$6:$C$70,MATCH(LEFT(G133,2),'Prior Multipliers'!$A$6:$A$70,0)),1)))</f>
        <v>0.76</v>
      </c>
    </row>
    <row r="134" spans="1:12" ht="39" customHeight="1" x14ac:dyDescent="0.35">
      <c r="A134" s="90" t="s">
        <v>585</v>
      </c>
      <c r="B134" s="90" t="s">
        <v>1343</v>
      </c>
      <c r="C134" s="90" t="s">
        <v>1344</v>
      </c>
      <c r="D134" s="90" t="s">
        <v>1345</v>
      </c>
      <c r="E134" s="90" t="s">
        <v>1361</v>
      </c>
      <c r="F134" s="90" t="s">
        <v>1362</v>
      </c>
      <c r="G134" s="90" t="s">
        <v>1363</v>
      </c>
      <c r="H134" s="90" t="s">
        <v>1364</v>
      </c>
      <c r="I134" s="90"/>
      <c r="J134" s="90" t="s">
        <v>1365</v>
      </c>
      <c r="K134" s="90" t="s">
        <v>1366</v>
      </c>
      <c r="L134" s="91">
        <f>IFERROR(INDEX('Prior Multipliers'!$C$6:$C$70,MATCH(LEFT(G134,10),'Prior Multipliers'!$A$6:$A$70,0)),IFERROR(INDEX('Prior Multipliers'!$C$6:$C$70,MATCH(LEFT(G134,6),'Prior Multipliers'!$A$6:$A$70,0)),IFERROR(INDEX('Prior Multipliers'!$C$6:$C$70,MATCH(LEFT(G134,2),'Prior Multipliers'!$A$6:$A$70,0)),1)))</f>
        <v>0.76</v>
      </c>
    </row>
    <row r="135" spans="1:12" ht="25.5" customHeight="1" x14ac:dyDescent="0.35">
      <c r="A135" s="90" t="s">
        <v>585</v>
      </c>
      <c r="B135" s="90" t="s">
        <v>1343</v>
      </c>
      <c r="C135" s="90" t="s">
        <v>1344</v>
      </c>
      <c r="D135" s="90" t="s">
        <v>1345</v>
      </c>
      <c r="E135" s="90" t="s">
        <v>1367</v>
      </c>
      <c r="F135" s="90" t="s">
        <v>1368</v>
      </c>
      <c r="G135" s="90" t="s">
        <v>1369</v>
      </c>
      <c r="H135" s="90" t="s">
        <v>587</v>
      </c>
      <c r="I135" s="90"/>
      <c r="J135" s="90"/>
      <c r="K135" s="90"/>
      <c r="L135" s="91">
        <f>IFERROR(INDEX('Prior Multipliers'!$C$6:$C$70,MATCH(LEFT(G135,10),'Prior Multipliers'!$A$6:$A$70,0)),IFERROR(INDEX('Prior Multipliers'!$C$6:$C$70,MATCH(LEFT(G135,6),'Prior Multipliers'!$A$6:$A$70,0)),IFERROR(INDEX('Prior Multipliers'!$C$6:$C$70,MATCH(LEFT(G135,2),'Prior Multipliers'!$A$6:$A$70,0)),1)))</f>
        <v>0.76</v>
      </c>
    </row>
    <row r="136" spans="1:12" x14ac:dyDescent="0.35">
      <c r="A136" s="90" t="s">
        <v>585</v>
      </c>
      <c r="B136" s="90" t="s">
        <v>1343</v>
      </c>
      <c r="C136" s="90" t="s">
        <v>1344</v>
      </c>
      <c r="D136" s="90" t="s">
        <v>1345</v>
      </c>
      <c r="E136" s="90" t="s">
        <v>904</v>
      </c>
      <c r="F136" s="90" t="s">
        <v>1047</v>
      </c>
      <c r="G136" s="90" t="s">
        <v>1370</v>
      </c>
      <c r="H136" s="90" t="s">
        <v>1371</v>
      </c>
      <c r="I136" s="90"/>
      <c r="J136" s="90"/>
      <c r="K136" s="90"/>
      <c r="L136" s="91">
        <f>IFERROR(INDEX('Prior Multipliers'!$C$6:$C$70,MATCH(LEFT(G136,10),'Prior Multipliers'!$A$6:$A$70,0)),IFERROR(INDEX('Prior Multipliers'!$C$6:$C$70,MATCH(LEFT(G136,6),'Prior Multipliers'!$A$6:$A$70,0)),IFERROR(INDEX('Prior Multipliers'!$C$6:$C$70,MATCH(LEFT(G136,2),'Prior Multipliers'!$A$6:$A$70,0)),1)))</f>
        <v>0.76</v>
      </c>
    </row>
    <row r="137" spans="1:12" ht="39" customHeight="1" x14ac:dyDescent="0.35">
      <c r="A137" s="92" t="s">
        <v>585</v>
      </c>
      <c r="B137" s="92" t="s">
        <v>1343</v>
      </c>
      <c r="C137" s="92" t="s">
        <v>1344</v>
      </c>
      <c r="D137" s="92" t="s">
        <v>1345</v>
      </c>
      <c r="E137" s="92" t="s">
        <v>1372</v>
      </c>
      <c r="F137" s="92" t="s">
        <v>1373</v>
      </c>
      <c r="G137" s="92" t="s">
        <v>1374</v>
      </c>
      <c r="H137" s="92" t="s">
        <v>1375</v>
      </c>
      <c r="I137" s="92" t="s">
        <v>1351</v>
      </c>
      <c r="J137" s="92" t="s">
        <v>1365</v>
      </c>
      <c r="K137" s="92" t="s">
        <v>1366</v>
      </c>
      <c r="L137" s="93">
        <f>IFERROR(INDEX('Prior Multipliers'!$C$6:$C$70,MATCH(LEFT(G137,10),'Prior Multipliers'!$A$6:$A$70,0)),IFERROR(INDEX('Prior Multipliers'!$C$6:$C$70,MATCH(LEFT(G137,6),'Prior Multipliers'!$A$6:$A$70,0)),IFERROR(INDEX('Prior Multipliers'!$C$6:$C$70,MATCH(LEFT(G137,2),'Prior Multipliers'!$A$6:$A$70,0)),1)))</f>
        <v>0.76</v>
      </c>
    </row>
    <row r="138" spans="1:12" ht="39" customHeight="1" x14ac:dyDescent="0.35">
      <c r="A138" s="90" t="s">
        <v>585</v>
      </c>
      <c r="B138" s="90" t="s">
        <v>1343</v>
      </c>
      <c r="C138" s="90" t="s">
        <v>1344</v>
      </c>
      <c r="D138" s="90" t="s">
        <v>1345</v>
      </c>
      <c r="E138" s="90" t="s">
        <v>1062</v>
      </c>
      <c r="F138" s="90" t="s">
        <v>1376</v>
      </c>
      <c r="G138" s="90" t="s">
        <v>1377</v>
      </c>
      <c r="H138" s="90" t="s">
        <v>1378</v>
      </c>
      <c r="I138" s="90" t="s">
        <v>1351</v>
      </c>
      <c r="J138" s="90" t="s">
        <v>1365</v>
      </c>
      <c r="K138" s="90" t="s">
        <v>1366</v>
      </c>
      <c r="L138" s="91">
        <f>IFERROR(INDEX('Prior Multipliers'!$C$6:$C$70,MATCH(LEFT(G138,10),'Prior Multipliers'!$A$6:$A$70,0)),IFERROR(INDEX('Prior Multipliers'!$C$6:$C$70,MATCH(LEFT(G138,6),'Prior Multipliers'!$A$6:$A$70,0)),IFERROR(INDEX('Prior Multipliers'!$C$6:$C$70,MATCH(LEFT(G138,2),'Prior Multipliers'!$A$6:$A$70,0)),1)))</f>
        <v>0.76</v>
      </c>
    </row>
    <row r="139" spans="1:12" x14ac:dyDescent="0.35">
      <c r="A139" s="90" t="s">
        <v>585</v>
      </c>
      <c r="B139" s="90" t="s">
        <v>1343</v>
      </c>
      <c r="C139" s="90" t="s">
        <v>1344</v>
      </c>
      <c r="D139" s="90" t="s">
        <v>1345</v>
      </c>
      <c r="E139" s="90" t="s">
        <v>1379</v>
      </c>
      <c r="F139" s="90" t="s">
        <v>1380</v>
      </c>
      <c r="G139" s="90" t="s">
        <v>1381</v>
      </c>
      <c r="H139" s="90" t="s">
        <v>1382</v>
      </c>
      <c r="I139" s="90"/>
      <c r="J139" s="90"/>
      <c r="K139" s="90"/>
      <c r="L139" s="91">
        <f>IFERROR(INDEX('Prior Multipliers'!$C$6:$C$70,MATCH(LEFT(G139,10),'Prior Multipliers'!$A$6:$A$70,0)),IFERROR(INDEX('Prior Multipliers'!$C$6:$C$70,MATCH(LEFT(G139,6),'Prior Multipliers'!$A$6:$A$70,0)),IFERROR(INDEX('Prior Multipliers'!$C$6:$C$70,MATCH(LEFT(G139,2),'Prior Multipliers'!$A$6:$A$70,0)),1)))</f>
        <v>0.76</v>
      </c>
    </row>
    <row r="140" spans="1:12" ht="39" customHeight="1" x14ac:dyDescent="0.35">
      <c r="A140" s="90" t="s">
        <v>585</v>
      </c>
      <c r="B140" s="90" t="s">
        <v>1343</v>
      </c>
      <c r="C140" s="90" t="s">
        <v>1344</v>
      </c>
      <c r="D140" s="90" t="s">
        <v>1345</v>
      </c>
      <c r="E140" s="90" t="s">
        <v>1383</v>
      </c>
      <c r="F140" s="90" t="s">
        <v>1384</v>
      </c>
      <c r="G140" s="90" t="s">
        <v>1385</v>
      </c>
      <c r="H140" s="90" t="s">
        <v>1386</v>
      </c>
      <c r="I140" s="90"/>
      <c r="J140" s="90" t="s">
        <v>1365</v>
      </c>
      <c r="K140" s="90" t="s">
        <v>1366</v>
      </c>
      <c r="L140" s="91">
        <f>IFERROR(INDEX('Prior Multipliers'!$C$6:$C$70,MATCH(LEFT(G140,10),'Prior Multipliers'!$A$6:$A$70,0)),IFERROR(INDEX('Prior Multipliers'!$C$6:$C$70,MATCH(LEFT(G140,6),'Prior Multipliers'!$A$6:$A$70,0)),IFERROR(INDEX('Prior Multipliers'!$C$6:$C$70,MATCH(LEFT(G140,2),'Prior Multipliers'!$A$6:$A$70,0)),1)))</f>
        <v>0.76</v>
      </c>
    </row>
    <row r="141" spans="1:12" ht="39" customHeight="1" x14ac:dyDescent="0.35">
      <c r="A141" s="90" t="s">
        <v>585</v>
      </c>
      <c r="B141" s="90" t="s">
        <v>1343</v>
      </c>
      <c r="C141" s="90" t="s">
        <v>1344</v>
      </c>
      <c r="D141" s="90" t="s">
        <v>1345</v>
      </c>
      <c r="E141" s="90" t="s">
        <v>1387</v>
      </c>
      <c r="F141" s="90" t="s">
        <v>1388</v>
      </c>
      <c r="G141" s="90" t="s">
        <v>1389</v>
      </c>
      <c r="H141" s="90" t="s">
        <v>1390</v>
      </c>
      <c r="I141" s="90"/>
      <c r="J141" s="90" t="s">
        <v>1365</v>
      </c>
      <c r="K141" s="90" t="s">
        <v>1366</v>
      </c>
      <c r="L141" s="91">
        <f>IFERROR(INDEX('Prior Multipliers'!$C$6:$C$70,MATCH(LEFT(G141,10),'Prior Multipliers'!$A$6:$A$70,0)),IFERROR(INDEX('Prior Multipliers'!$C$6:$C$70,MATCH(LEFT(G141,6),'Prior Multipliers'!$A$6:$A$70,0)),IFERROR(INDEX('Prior Multipliers'!$C$6:$C$70,MATCH(LEFT(G141,2),'Prior Multipliers'!$A$6:$A$70,0)),1)))</f>
        <v>0.76</v>
      </c>
    </row>
    <row r="142" spans="1:12" x14ac:dyDescent="0.35">
      <c r="A142" s="90" t="s">
        <v>585</v>
      </c>
      <c r="B142" s="90" t="s">
        <v>1343</v>
      </c>
      <c r="C142" s="90" t="s">
        <v>1344</v>
      </c>
      <c r="D142" s="90" t="s">
        <v>1345</v>
      </c>
      <c r="E142" s="90" t="s">
        <v>1391</v>
      </c>
      <c r="F142" s="90" t="s">
        <v>1392</v>
      </c>
      <c r="G142" s="90" t="s">
        <v>1393</v>
      </c>
      <c r="H142" s="90" t="s">
        <v>1394</v>
      </c>
      <c r="I142" s="90"/>
      <c r="J142" s="90"/>
      <c r="K142" s="90"/>
      <c r="L142" s="91">
        <f>IFERROR(INDEX('Prior Multipliers'!$C$6:$C$70,MATCH(LEFT(G142,10),'Prior Multipliers'!$A$6:$A$70,0)),IFERROR(INDEX('Prior Multipliers'!$C$6:$C$70,MATCH(LEFT(G142,6),'Prior Multipliers'!$A$6:$A$70,0)),IFERROR(INDEX('Prior Multipliers'!$C$6:$C$70,MATCH(LEFT(G142,2),'Prior Multipliers'!$A$6:$A$70,0)),1)))</f>
        <v>0.76</v>
      </c>
    </row>
    <row r="143" spans="1:12" ht="39" customHeight="1" x14ac:dyDescent="0.35">
      <c r="A143" s="92" t="s">
        <v>585</v>
      </c>
      <c r="B143" s="92" t="s">
        <v>1343</v>
      </c>
      <c r="C143" s="92" t="s">
        <v>1344</v>
      </c>
      <c r="D143" s="92" t="s">
        <v>1345</v>
      </c>
      <c r="E143" s="92" t="s">
        <v>1395</v>
      </c>
      <c r="F143" s="92" t="s">
        <v>1396</v>
      </c>
      <c r="G143" s="92" t="s">
        <v>1397</v>
      </c>
      <c r="H143" s="92" t="s">
        <v>1398</v>
      </c>
      <c r="I143" s="92" t="s">
        <v>1348</v>
      </c>
      <c r="J143" s="92" t="s">
        <v>1365</v>
      </c>
      <c r="K143" s="92" t="s">
        <v>1366</v>
      </c>
      <c r="L143" s="93">
        <f>IFERROR(INDEX('Prior Multipliers'!$C$6:$C$70,MATCH(LEFT(G143,10),'Prior Multipliers'!$A$6:$A$70,0)),IFERROR(INDEX('Prior Multipliers'!$C$6:$C$70,MATCH(LEFT(G143,6),'Prior Multipliers'!$A$6:$A$70,0)),IFERROR(INDEX('Prior Multipliers'!$C$6:$C$70,MATCH(LEFT(G143,2),'Prior Multipliers'!$A$6:$A$70,0)),1)))</f>
        <v>0.76</v>
      </c>
    </row>
    <row r="144" spans="1:12" ht="39" customHeight="1" x14ac:dyDescent="0.35">
      <c r="A144" s="92" t="s">
        <v>585</v>
      </c>
      <c r="B144" s="92" t="s">
        <v>1343</v>
      </c>
      <c r="C144" s="92" t="s">
        <v>1344</v>
      </c>
      <c r="D144" s="92" t="s">
        <v>1345</v>
      </c>
      <c r="E144" s="92" t="s">
        <v>1399</v>
      </c>
      <c r="F144" s="92" t="s">
        <v>1400</v>
      </c>
      <c r="G144" s="92" t="s">
        <v>1401</v>
      </c>
      <c r="H144" s="92" t="s">
        <v>1402</v>
      </c>
      <c r="I144" s="92" t="s">
        <v>1369</v>
      </c>
      <c r="J144" s="92" t="s">
        <v>1365</v>
      </c>
      <c r="K144" s="92" t="s">
        <v>1366</v>
      </c>
      <c r="L144" s="93">
        <f>IFERROR(INDEX('Prior Multipliers'!$C$6:$C$70,MATCH(LEFT(G144,10),'Prior Multipliers'!$A$6:$A$70,0)),IFERROR(INDEX('Prior Multipliers'!$C$6:$C$70,MATCH(LEFT(G144,6),'Prior Multipliers'!$A$6:$A$70,0)),IFERROR(INDEX('Prior Multipliers'!$C$6:$C$70,MATCH(LEFT(G144,2),'Prior Multipliers'!$A$6:$A$70,0)),1)))</f>
        <v>0.76</v>
      </c>
    </row>
    <row r="145" spans="1:12" ht="39" customHeight="1" x14ac:dyDescent="0.35">
      <c r="A145" s="92" t="s">
        <v>585</v>
      </c>
      <c r="B145" s="92" t="s">
        <v>1343</v>
      </c>
      <c r="C145" s="92" t="s">
        <v>1344</v>
      </c>
      <c r="D145" s="92" t="s">
        <v>1345</v>
      </c>
      <c r="E145" s="92" t="s">
        <v>1403</v>
      </c>
      <c r="F145" s="92" t="s">
        <v>1404</v>
      </c>
      <c r="G145" s="92" t="s">
        <v>1405</v>
      </c>
      <c r="H145" s="92" t="s">
        <v>1406</v>
      </c>
      <c r="I145" s="92" t="s">
        <v>1407</v>
      </c>
      <c r="J145" s="92" t="s">
        <v>1365</v>
      </c>
      <c r="K145" s="92" t="s">
        <v>1366</v>
      </c>
      <c r="L145" s="93">
        <f>IFERROR(INDEX('Prior Multipliers'!$C$6:$C$70,MATCH(LEFT(G145,10),'Prior Multipliers'!$A$6:$A$70,0)),IFERROR(INDEX('Prior Multipliers'!$C$6:$C$70,MATCH(LEFT(G145,6),'Prior Multipliers'!$A$6:$A$70,0)),IFERROR(INDEX('Prior Multipliers'!$C$6:$C$70,MATCH(LEFT(G145,2),'Prior Multipliers'!$A$6:$A$70,0)),1)))</f>
        <v>0.76</v>
      </c>
    </row>
    <row r="146" spans="1:12" x14ac:dyDescent="0.35">
      <c r="A146" s="90" t="s">
        <v>585</v>
      </c>
      <c r="B146" s="90" t="s">
        <v>1343</v>
      </c>
      <c r="C146" s="90" t="s">
        <v>1344</v>
      </c>
      <c r="D146" s="90" t="s">
        <v>1345</v>
      </c>
      <c r="E146" s="90" t="s">
        <v>1408</v>
      </c>
      <c r="F146" s="90" t="s">
        <v>1409</v>
      </c>
      <c r="G146" s="90" t="s">
        <v>1407</v>
      </c>
      <c r="H146" s="90" t="s">
        <v>1410</v>
      </c>
      <c r="I146" s="90"/>
      <c r="J146" s="90"/>
      <c r="K146" s="90"/>
      <c r="L146" s="91">
        <f>IFERROR(INDEX('Prior Multipliers'!$C$6:$C$70,MATCH(LEFT(G146,10),'Prior Multipliers'!$A$6:$A$70,0)),IFERROR(INDEX('Prior Multipliers'!$C$6:$C$70,MATCH(LEFT(G146,6),'Prior Multipliers'!$A$6:$A$70,0)),IFERROR(INDEX('Prior Multipliers'!$C$6:$C$70,MATCH(LEFT(G146,2),'Prior Multipliers'!$A$6:$A$70,0)),1)))</f>
        <v>0.76</v>
      </c>
    </row>
    <row r="147" spans="1:12" ht="25.5" customHeight="1" x14ac:dyDescent="0.35">
      <c r="A147" s="90" t="s">
        <v>664</v>
      </c>
      <c r="B147" s="90" t="s">
        <v>1411</v>
      </c>
      <c r="C147" s="90" t="s">
        <v>1412</v>
      </c>
      <c r="D147" s="90" t="s">
        <v>1413</v>
      </c>
      <c r="E147" s="90"/>
      <c r="F147" s="90" t="s">
        <v>1084</v>
      </c>
      <c r="G147" s="90" t="s">
        <v>803</v>
      </c>
      <c r="H147" s="90" t="s">
        <v>1414</v>
      </c>
      <c r="I147" s="90"/>
      <c r="J147" s="90"/>
      <c r="K147" s="90"/>
      <c r="L147" s="91">
        <f>IFERROR(INDEX('Prior Multipliers'!$C$6:$C$70,MATCH(LEFT(G147,10),'Prior Multipliers'!$A$6:$A$70,0)),IFERROR(INDEX('Prior Multipliers'!$C$6:$C$70,MATCH(LEFT(G147,6),'Prior Multipliers'!$A$6:$A$70,0)),IFERROR(INDEX('Prior Multipliers'!$C$6:$C$70,MATCH(LEFT(G147,2),'Prior Multipliers'!$A$6:$A$70,0)),1)))</f>
        <v>0.66</v>
      </c>
    </row>
    <row r="148" spans="1:12" ht="39" customHeight="1" x14ac:dyDescent="0.35">
      <c r="A148" s="90" t="s">
        <v>664</v>
      </c>
      <c r="B148" s="90" t="s">
        <v>1411</v>
      </c>
      <c r="C148" s="90" t="s">
        <v>1412</v>
      </c>
      <c r="D148" s="90" t="s">
        <v>1413</v>
      </c>
      <c r="E148" s="90" t="s">
        <v>1415</v>
      </c>
      <c r="F148" s="90" t="s">
        <v>1416</v>
      </c>
      <c r="G148" s="90" t="s">
        <v>1417</v>
      </c>
      <c r="H148" s="90" t="s">
        <v>1418</v>
      </c>
      <c r="I148" s="90"/>
      <c r="J148" s="90" t="s">
        <v>1419</v>
      </c>
      <c r="K148" s="90" t="s">
        <v>1420</v>
      </c>
      <c r="L148" s="91">
        <f>IFERROR(INDEX('Prior Multipliers'!$C$6:$C$70,MATCH(LEFT(G148,10),'Prior Multipliers'!$A$6:$A$70,0)),IFERROR(INDEX('Prior Multipliers'!$C$6:$C$70,MATCH(LEFT(G148,6),'Prior Multipliers'!$A$6:$A$70,0)),IFERROR(INDEX('Prior Multipliers'!$C$6:$C$70,MATCH(LEFT(G148,2),'Prior Multipliers'!$A$6:$A$70,0)),1)))</f>
        <v>0.66</v>
      </c>
    </row>
    <row r="149" spans="1:12" ht="39" customHeight="1" x14ac:dyDescent="0.35">
      <c r="A149" s="90" t="s">
        <v>664</v>
      </c>
      <c r="B149" s="90" t="s">
        <v>1411</v>
      </c>
      <c r="C149" s="90" t="s">
        <v>1412</v>
      </c>
      <c r="D149" s="90" t="s">
        <v>1413</v>
      </c>
      <c r="E149" s="90" t="s">
        <v>1421</v>
      </c>
      <c r="F149" s="90" t="s">
        <v>1422</v>
      </c>
      <c r="G149" s="90" t="s">
        <v>1423</v>
      </c>
      <c r="H149" s="90" t="s">
        <v>1424</v>
      </c>
      <c r="I149" s="90"/>
      <c r="J149" s="90" t="s">
        <v>1419</v>
      </c>
      <c r="K149" s="90" t="s">
        <v>1420</v>
      </c>
      <c r="L149" s="91">
        <f>IFERROR(INDEX('Prior Multipliers'!$C$6:$C$70,MATCH(LEFT(G149,10),'Prior Multipliers'!$A$6:$A$70,0)),IFERROR(INDEX('Prior Multipliers'!$C$6:$C$70,MATCH(LEFT(G149,6),'Prior Multipliers'!$A$6:$A$70,0)),IFERROR(INDEX('Prior Multipliers'!$C$6:$C$70,MATCH(LEFT(G149,2),'Prior Multipliers'!$A$6:$A$70,0)),1)))</f>
        <v>0.66</v>
      </c>
    </row>
    <row r="150" spans="1:12" ht="39" customHeight="1" x14ac:dyDescent="0.35">
      <c r="A150" s="90" t="s">
        <v>664</v>
      </c>
      <c r="B150" s="90" t="s">
        <v>1411</v>
      </c>
      <c r="C150" s="90" t="s">
        <v>1412</v>
      </c>
      <c r="D150" s="90" t="s">
        <v>1413</v>
      </c>
      <c r="E150" s="90" t="s">
        <v>1425</v>
      </c>
      <c r="F150" s="90" t="s">
        <v>1426</v>
      </c>
      <c r="G150" s="90" t="s">
        <v>1427</v>
      </c>
      <c r="H150" s="90" t="s">
        <v>667</v>
      </c>
      <c r="I150" s="90"/>
      <c r="J150" s="90" t="s">
        <v>1419</v>
      </c>
      <c r="K150" s="90" t="s">
        <v>1420</v>
      </c>
      <c r="L150" s="91">
        <f>IFERROR(INDEX('Prior Multipliers'!$C$6:$C$70,MATCH(LEFT(G150,10),'Prior Multipliers'!$A$6:$A$70,0)),IFERROR(INDEX('Prior Multipliers'!$C$6:$C$70,MATCH(LEFT(G150,6),'Prior Multipliers'!$A$6:$A$70,0)),IFERROR(INDEX('Prior Multipliers'!$C$6:$C$70,MATCH(LEFT(G150,2),'Prior Multipliers'!$A$6:$A$70,0)),1)))</f>
        <v>0.66</v>
      </c>
    </row>
    <row r="151" spans="1:12" ht="39" customHeight="1" x14ac:dyDescent="0.35">
      <c r="A151" s="90" t="s">
        <v>664</v>
      </c>
      <c r="B151" s="90" t="s">
        <v>1411</v>
      </c>
      <c r="C151" s="90" t="s">
        <v>1412</v>
      </c>
      <c r="D151" s="90" t="s">
        <v>1413</v>
      </c>
      <c r="E151" s="90" t="s">
        <v>1428</v>
      </c>
      <c r="F151" s="90" t="s">
        <v>1429</v>
      </c>
      <c r="G151" s="90" t="s">
        <v>1430</v>
      </c>
      <c r="H151" s="90" t="s">
        <v>1431</v>
      </c>
      <c r="I151" s="90"/>
      <c r="J151" s="90" t="s">
        <v>1419</v>
      </c>
      <c r="K151" s="90" t="s">
        <v>1420</v>
      </c>
      <c r="L151" s="91">
        <f>IFERROR(INDEX('Prior Multipliers'!$C$6:$C$70,MATCH(LEFT(G151,10),'Prior Multipliers'!$A$6:$A$70,0)),IFERROR(INDEX('Prior Multipliers'!$C$6:$C$70,MATCH(LEFT(G151,6),'Prior Multipliers'!$A$6:$A$70,0)),IFERROR(INDEX('Prior Multipliers'!$C$6:$C$70,MATCH(LEFT(G151,2),'Prior Multipliers'!$A$6:$A$70,0)),1)))</f>
        <v>0.66</v>
      </c>
    </row>
    <row r="152" spans="1:12" ht="39" customHeight="1" x14ac:dyDescent="0.35">
      <c r="A152" s="90" t="s">
        <v>664</v>
      </c>
      <c r="B152" s="90" t="s">
        <v>1411</v>
      </c>
      <c r="C152" s="90" t="s">
        <v>1412</v>
      </c>
      <c r="D152" s="90" t="s">
        <v>1413</v>
      </c>
      <c r="E152" s="90" t="s">
        <v>1018</v>
      </c>
      <c r="F152" s="90" t="s">
        <v>1432</v>
      </c>
      <c r="G152" s="90" t="s">
        <v>1433</v>
      </c>
      <c r="H152" s="90" t="s">
        <v>1434</v>
      </c>
      <c r="I152" s="90"/>
      <c r="J152" s="90" t="s">
        <v>1419</v>
      </c>
      <c r="K152" s="90" t="s">
        <v>1420</v>
      </c>
      <c r="L152" s="91">
        <f>IFERROR(INDEX('Prior Multipliers'!$C$6:$C$70,MATCH(LEFT(G152,10),'Prior Multipliers'!$A$6:$A$70,0)),IFERROR(INDEX('Prior Multipliers'!$C$6:$C$70,MATCH(LEFT(G152,6),'Prior Multipliers'!$A$6:$A$70,0)),IFERROR(INDEX('Prior Multipliers'!$C$6:$C$70,MATCH(LEFT(G152,2),'Prior Multipliers'!$A$6:$A$70,0)),1)))</f>
        <v>0.66</v>
      </c>
    </row>
    <row r="153" spans="1:12" ht="25.5" customHeight="1" x14ac:dyDescent="0.35">
      <c r="A153" s="90" t="s">
        <v>664</v>
      </c>
      <c r="B153" s="90" t="s">
        <v>1411</v>
      </c>
      <c r="C153" s="90" t="s">
        <v>1412</v>
      </c>
      <c r="D153" s="90" t="s">
        <v>1413</v>
      </c>
      <c r="E153" s="90" t="s">
        <v>904</v>
      </c>
      <c r="F153" s="90" t="s">
        <v>1047</v>
      </c>
      <c r="G153" s="90" t="s">
        <v>1435</v>
      </c>
      <c r="H153" s="90" t="s">
        <v>1436</v>
      </c>
      <c r="I153" s="90"/>
      <c r="J153" s="90"/>
      <c r="K153" s="90"/>
      <c r="L153" s="91">
        <f>IFERROR(INDEX('Prior Multipliers'!$C$6:$C$70,MATCH(LEFT(G153,10),'Prior Multipliers'!$A$6:$A$70,0)),IFERROR(INDEX('Prior Multipliers'!$C$6:$C$70,MATCH(LEFT(G153,6),'Prior Multipliers'!$A$6:$A$70,0)),IFERROR(INDEX('Prior Multipliers'!$C$6:$C$70,MATCH(LEFT(G153,2),'Prior Multipliers'!$A$6:$A$70,0)),1)))</f>
        <v>0.66</v>
      </c>
    </row>
    <row r="154" spans="1:12" ht="39" customHeight="1" x14ac:dyDescent="0.35">
      <c r="A154" s="90" t="s">
        <v>664</v>
      </c>
      <c r="B154" s="90" t="s">
        <v>1411</v>
      </c>
      <c r="C154" s="90" t="s">
        <v>1412</v>
      </c>
      <c r="D154" s="90" t="s">
        <v>1413</v>
      </c>
      <c r="E154" s="90" t="s">
        <v>1437</v>
      </c>
      <c r="F154" s="90" t="s">
        <v>1438</v>
      </c>
      <c r="G154" s="90" t="s">
        <v>1439</v>
      </c>
      <c r="H154" s="90" t="s">
        <v>1440</v>
      </c>
      <c r="I154" s="90"/>
      <c r="J154" s="90" t="s">
        <v>1419</v>
      </c>
      <c r="K154" s="90" t="s">
        <v>1420</v>
      </c>
      <c r="L154" s="91">
        <f>IFERROR(INDEX('Prior Multipliers'!$C$6:$C$70,MATCH(LEFT(G154,10),'Prior Multipliers'!$A$6:$A$70,0)),IFERROR(INDEX('Prior Multipliers'!$C$6:$C$70,MATCH(LEFT(G154,6),'Prior Multipliers'!$A$6:$A$70,0)),IFERROR(INDEX('Prior Multipliers'!$C$6:$C$70,MATCH(LEFT(G154,2),'Prior Multipliers'!$A$6:$A$70,0)),1)))</f>
        <v>0.66</v>
      </c>
    </row>
    <row r="155" spans="1:12" ht="39" customHeight="1" x14ac:dyDescent="0.35">
      <c r="A155" s="90" t="s">
        <v>664</v>
      </c>
      <c r="B155" s="90" t="s">
        <v>1411</v>
      </c>
      <c r="C155" s="90" t="s">
        <v>1412</v>
      </c>
      <c r="D155" s="90" t="s">
        <v>1413</v>
      </c>
      <c r="E155" s="90" t="s">
        <v>1441</v>
      </c>
      <c r="F155" s="90" t="s">
        <v>1442</v>
      </c>
      <c r="G155" s="90" t="s">
        <v>1443</v>
      </c>
      <c r="H155" s="90" t="s">
        <v>1444</v>
      </c>
      <c r="I155" s="90"/>
      <c r="J155" s="90" t="s">
        <v>1419</v>
      </c>
      <c r="K155" s="90" t="s">
        <v>1420</v>
      </c>
      <c r="L155" s="91">
        <f>IFERROR(INDEX('Prior Multipliers'!$C$6:$C$70,MATCH(LEFT(G155,10),'Prior Multipliers'!$A$6:$A$70,0)),IFERROR(INDEX('Prior Multipliers'!$C$6:$C$70,MATCH(LEFT(G155,6),'Prior Multipliers'!$A$6:$A$70,0)),IFERROR(INDEX('Prior Multipliers'!$C$6:$C$70,MATCH(LEFT(G155,2),'Prior Multipliers'!$A$6:$A$70,0)),1)))</f>
        <v>0.66</v>
      </c>
    </row>
    <row r="156" spans="1:12" ht="39" customHeight="1" x14ac:dyDescent="0.35">
      <c r="A156" s="90" t="s">
        <v>657</v>
      </c>
      <c r="B156" s="90" t="s">
        <v>1445</v>
      </c>
      <c r="C156" s="90" t="s">
        <v>1446</v>
      </c>
      <c r="D156" s="90" t="s">
        <v>1447</v>
      </c>
      <c r="E156" s="90"/>
      <c r="F156" s="90" t="s">
        <v>1084</v>
      </c>
      <c r="G156" s="90" t="s">
        <v>805</v>
      </c>
      <c r="H156" s="90" t="s">
        <v>1448</v>
      </c>
      <c r="I156" s="90"/>
      <c r="J156" s="90"/>
      <c r="K156" s="90"/>
      <c r="L156" s="91">
        <f>IFERROR(INDEX('Prior Multipliers'!$C$6:$C$70,MATCH(LEFT(G156,10),'Prior Multipliers'!$A$6:$A$70,0)),IFERROR(INDEX('Prior Multipliers'!$C$6:$C$70,MATCH(LEFT(G156,6),'Prior Multipliers'!$A$6:$A$70,0)),IFERROR(INDEX('Prior Multipliers'!$C$6:$C$70,MATCH(LEFT(G156,2),'Prior Multipliers'!$A$6:$A$70,0)),1)))</f>
        <v>0.55000000000000004</v>
      </c>
    </row>
    <row r="157" spans="1:12" ht="51.75" customHeight="1" x14ac:dyDescent="0.35">
      <c r="A157" s="90" t="s">
        <v>657</v>
      </c>
      <c r="B157" s="90" t="s">
        <v>1445</v>
      </c>
      <c r="C157" s="90" t="s">
        <v>1446</v>
      </c>
      <c r="D157" s="90" t="s">
        <v>1447</v>
      </c>
      <c r="E157" s="90" t="s">
        <v>1449</v>
      </c>
      <c r="F157" s="90" t="s">
        <v>1450</v>
      </c>
      <c r="G157" s="90" t="s">
        <v>1451</v>
      </c>
      <c r="H157" s="90" t="s">
        <v>1452</v>
      </c>
      <c r="I157" s="90"/>
      <c r="J157" s="90" t="s">
        <v>1453</v>
      </c>
      <c r="K157" s="90" t="s">
        <v>1454</v>
      </c>
      <c r="L157" s="91">
        <f>IFERROR(INDEX('Prior Multipliers'!$C$6:$C$70,MATCH(LEFT(G157,10),'Prior Multipliers'!$A$6:$A$70,0)),IFERROR(INDEX('Prior Multipliers'!$C$6:$C$70,MATCH(LEFT(G157,6),'Prior Multipliers'!$A$6:$A$70,0)),IFERROR(INDEX('Prior Multipliers'!$C$6:$C$70,MATCH(LEFT(G157,2),'Prior Multipliers'!$A$6:$A$70,0)),1)))</f>
        <v>0.55000000000000004</v>
      </c>
    </row>
    <row r="158" spans="1:12" ht="51.75" customHeight="1" x14ac:dyDescent="0.35">
      <c r="A158" s="92" t="s">
        <v>657</v>
      </c>
      <c r="B158" s="92" t="s">
        <v>1445</v>
      </c>
      <c r="C158" s="92" t="s">
        <v>1446</v>
      </c>
      <c r="D158" s="92" t="s">
        <v>1447</v>
      </c>
      <c r="E158" s="92" t="s">
        <v>1455</v>
      </c>
      <c r="F158" s="92" t="s">
        <v>1456</v>
      </c>
      <c r="G158" s="92" t="s">
        <v>1457</v>
      </c>
      <c r="H158" s="92" t="s">
        <v>1458</v>
      </c>
      <c r="I158" s="92" t="s">
        <v>1459</v>
      </c>
      <c r="J158" s="92" t="s">
        <v>1453</v>
      </c>
      <c r="K158" s="92" t="s">
        <v>1454</v>
      </c>
      <c r="L158" s="93">
        <f>IFERROR(INDEX('Prior Multipliers'!$C$6:$C$70,MATCH(LEFT(G158,10),'Prior Multipliers'!$A$6:$A$70,0)),IFERROR(INDEX('Prior Multipliers'!$C$6:$C$70,MATCH(LEFT(G158,6),'Prior Multipliers'!$A$6:$A$70,0)),IFERROR(INDEX('Prior Multipliers'!$C$6:$C$70,MATCH(LEFT(G158,2),'Prior Multipliers'!$A$6:$A$70,0)),1)))</f>
        <v>0.55000000000000004</v>
      </c>
    </row>
    <row r="159" spans="1:12" ht="39" customHeight="1" x14ac:dyDescent="0.35">
      <c r="A159" s="90" t="s">
        <v>657</v>
      </c>
      <c r="B159" s="90" t="s">
        <v>1445</v>
      </c>
      <c r="C159" s="90" t="s">
        <v>1446</v>
      </c>
      <c r="D159" s="90" t="s">
        <v>1447</v>
      </c>
      <c r="E159" s="90" t="s">
        <v>1460</v>
      </c>
      <c r="F159" s="90" t="s">
        <v>1461</v>
      </c>
      <c r="G159" s="90" t="s">
        <v>1462</v>
      </c>
      <c r="H159" s="90" t="s">
        <v>1463</v>
      </c>
      <c r="I159" s="90"/>
      <c r="J159" s="90"/>
      <c r="K159" s="90"/>
      <c r="L159" s="91">
        <f>IFERROR(INDEX('Prior Multipliers'!$C$6:$C$70,MATCH(LEFT(G159,10),'Prior Multipliers'!$A$6:$A$70,0)),IFERROR(INDEX('Prior Multipliers'!$C$6:$C$70,MATCH(LEFT(G159,6),'Prior Multipliers'!$A$6:$A$70,0)),IFERROR(INDEX('Prior Multipliers'!$C$6:$C$70,MATCH(LEFT(G159,2),'Prior Multipliers'!$A$6:$A$70,0)),1)))</f>
        <v>0.55000000000000004</v>
      </c>
    </row>
    <row r="160" spans="1:12" ht="39" customHeight="1" x14ac:dyDescent="0.35">
      <c r="A160" s="90" t="s">
        <v>657</v>
      </c>
      <c r="B160" s="90" t="s">
        <v>1445</v>
      </c>
      <c r="C160" s="90" t="s">
        <v>1446</v>
      </c>
      <c r="D160" s="90" t="s">
        <v>1447</v>
      </c>
      <c r="E160" s="90" t="s">
        <v>1141</v>
      </c>
      <c r="F160" s="90" t="s">
        <v>1464</v>
      </c>
      <c r="G160" s="90" t="s">
        <v>1465</v>
      </c>
      <c r="H160" s="90" t="s">
        <v>1466</v>
      </c>
      <c r="I160" s="90"/>
      <c r="J160" s="90"/>
      <c r="K160" s="90"/>
      <c r="L160" s="91">
        <f>IFERROR(INDEX('Prior Multipliers'!$C$6:$C$70,MATCH(LEFT(G160,10),'Prior Multipliers'!$A$6:$A$70,0)),IFERROR(INDEX('Prior Multipliers'!$C$6:$C$70,MATCH(LEFT(G160,6),'Prior Multipliers'!$A$6:$A$70,0)),IFERROR(INDEX('Prior Multipliers'!$C$6:$C$70,MATCH(LEFT(G160,2),'Prior Multipliers'!$A$6:$A$70,0)),1)))</f>
        <v>0.55000000000000004</v>
      </c>
    </row>
    <row r="161" spans="1:12" ht="39" customHeight="1" x14ac:dyDescent="0.35">
      <c r="A161" s="90" t="s">
        <v>657</v>
      </c>
      <c r="B161" s="90" t="s">
        <v>1445</v>
      </c>
      <c r="C161" s="90" t="s">
        <v>1446</v>
      </c>
      <c r="D161" s="90" t="s">
        <v>1447</v>
      </c>
      <c r="E161" s="90" t="s">
        <v>904</v>
      </c>
      <c r="F161" s="90" t="s">
        <v>1047</v>
      </c>
      <c r="G161" s="90" t="s">
        <v>1467</v>
      </c>
      <c r="H161" s="90" t="s">
        <v>1468</v>
      </c>
      <c r="I161" s="90"/>
      <c r="J161" s="90"/>
      <c r="K161" s="90"/>
      <c r="L161" s="91">
        <f>IFERROR(INDEX('Prior Multipliers'!$C$6:$C$70,MATCH(LEFT(G161,10),'Prior Multipliers'!$A$6:$A$70,0)),IFERROR(INDEX('Prior Multipliers'!$C$6:$C$70,MATCH(LEFT(G161,6),'Prior Multipliers'!$A$6:$A$70,0)),IFERROR(INDEX('Prior Multipliers'!$C$6:$C$70,MATCH(LEFT(G161,2),'Prior Multipliers'!$A$6:$A$70,0)),1)))</f>
        <v>0.55000000000000004</v>
      </c>
    </row>
    <row r="162" spans="1:12" ht="51.75" customHeight="1" x14ac:dyDescent="0.35">
      <c r="A162" s="90" t="s">
        <v>657</v>
      </c>
      <c r="B162" s="90" t="s">
        <v>1445</v>
      </c>
      <c r="C162" s="90" t="s">
        <v>1446</v>
      </c>
      <c r="D162" s="90" t="s">
        <v>1447</v>
      </c>
      <c r="E162" s="90" t="s">
        <v>1469</v>
      </c>
      <c r="F162" s="90" t="s">
        <v>1470</v>
      </c>
      <c r="G162" s="90" t="s">
        <v>1471</v>
      </c>
      <c r="H162" s="90" t="s">
        <v>661</v>
      </c>
      <c r="I162" s="90"/>
      <c r="J162" s="90" t="s">
        <v>1453</v>
      </c>
      <c r="K162" s="90" t="s">
        <v>1454</v>
      </c>
      <c r="L162" s="91">
        <f>IFERROR(INDEX('Prior Multipliers'!$C$6:$C$70,MATCH(LEFT(G162,10),'Prior Multipliers'!$A$6:$A$70,0)),IFERROR(INDEX('Prior Multipliers'!$C$6:$C$70,MATCH(LEFT(G162,6),'Prior Multipliers'!$A$6:$A$70,0)),IFERROR(INDEX('Prior Multipliers'!$C$6:$C$70,MATCH(LEFT(G162,2),'Prior Multipliers'!$A$6:$A$70,0)),1)))</f>
        <v>0.55000000000000004</v>
      </c>
    </row>
    <row r="163" spans="1:12" ht="51.75" customHeight="1" x14ac:dyDescent="0.35">
      <c r="A163" s="90" t="s">
        <v>657</v>
      </c>
      <c r="B163" s="90" t="s">
        <v>1445</v>
      </c>
      <c r="C163" s="90" t="s">
        <v>1446</v>
      </c>
      <c r="D163" s="90" t="s">
        <v>1447</v>
      </c>
      <c r="E163" s="90" t="s">
        <v>1472</v>
      </c>
      <c r="F163" s="90" t="s">
        <v>1473</v>
      </c>
      <c r="G163" s="90" t="s">
        <v>1474</v>
      </c>
      <c r="H163" s="90" t="s">
        <v>1475</v>
      </c>
      <c r="I163" s="90"/>
      <c r="J163" s="90" t="s">
        <v>1453</v>
      </c>
      <c r="K163" s="90" t="s">
        <v>1454</v>
      </c>
      <c r="L163" s="91">
        <f>IFERROR(INDEX('Prior Multipliers'!$C$6:$C$70,MATCH(LEFT(G163,10),'Prior Multipliers'!$A$6:$A$70,0)),IFERROR(INDEX('Prior Multipliers'!$C$6:$C$70,MATCH(LEFT(G163,6),'Prior Multipliers'!$A$6:$A$70,0)),IFERROR(INDEX('Prior Multipliers'!$C$6:$C$70,MATCH(LEFT(G163,2),'Prior Multipliers'!$A$6:$A$70,0)),1)))</f>
        <v>0.55000000000000004</v>
      </c>
    </row>
    <row r="164" spans="1:12" ht="51.75" customHeight="1" x14ac:dyDescent="0.35">
      <c r="A164" s="90" t="s">
        <v>657</v>
      </c>
      <c r="B164" s="90" t="s">
        <v>1445</v>
      </c>
      <c r="C164" s="90" t="s">
        <v>1446</v>
      </c>
      <c r="D164" s="90" t="s">
        <v>1447</v>
      </c>
      <c r="E164" s="90" t="s">
        <v>1476</v>
      </c>
      <c r="F164" s="90" t="s">
        <v>1477</v>
      </c>
      <c r="G164" s="90" t="s">
        <v>1478</v>
      </c>
      <c r="H164" s="90" t="s">
        <v>1479</v>
      </c>
      <c r="I164" s="90"/>
      <c r="J164" s="90" t="s">
        <v>1480</v>
      </c>
      <c r="K164" s="90" t="s">
        <v>1454</v>
      </c>
      <c r="L164" s="91">
        <f>IFERROR(INDEX('Prior Multipliers'!$C$6:$C$70,MATCH(LEFT(G164,10),'Prior Multipliers'!$A$6:$A$70,0)),IFERROR(INDEX('Prior Multipliers'!$C$6:$C$70,MATCH(LEFT(G164,6),'Prior Multipliers'!$A$6:$A$70,0)),IFERROR(INDEX('Prior Multipliers'!$C$6:$C$70,MATCH(LEFT(G164,2),'Prior Multipliers'!$A$6:$A$70,0)),1)))</f>
        <v>0.55000000000000004</v>
      </c>
    </row>
    <row r="165" spans="1:12" ht="39" customHeight="1" x14ac:dyDescent="0.35">
      <c r="A165" s="90" t="s">
        <v>657</v>
      </c>
      <c r="B165" s="90" t="s">
        <v>1445</v>
      </c>
      <c r="C165" s="90" t="s">
        <v>1446</v>
      </c>
      <c r="D165" s="90" t="s">
        <v>1447</v>
      </c>
      <c r="E165" s="90" t="s">
        <v>1223</v>
      </c>
      <c r="F165" s="90" t="s">
        <v>1481</v>
      </c>
      <c r="G165" s="90" t="s">
        <v>1459</v>
      </c>
      <c r="H165" s="90" t="s">
        <v>1482</v>
      </c>
      <c r="I165" s="90"/>
      <c r="J165" s="90"/>
      <c r="K165" s="90"/>
      <c r="L165" s="91">
        <f>IFERROR(INDEX('Prior Multipliers'!$C$6:$C$70,MATCH(LEFT(G165,10),'Prior Multipliers'!$A$6:$A$70,0)),IFERROR(INDEX('Prior Multipliers'!$C$6:$C$70,MATCH(LEFT(G165,6),'Prior Multipliers'!$A$6:$A$70,0)),IFERROR(INDEX('Prior Multipliers'!$C$6:$C$70,MATCH(LEFT(G165,2),'Prior Multipliers'!$A$6:$A$70,0)),1)))</f>
        <v>0.55000000000000004</v>
      </c>
    </row>
    <row r="166" spans="1:12" ht="26" x14ac:dyDescent="0.35">
      <c r="A166" s="90" t="s">
        <v>565</v>
      </c>
      <c r="B166" s="90" t="s">
        <v>857</v>
      </c>
      <c r="C166" s="90" t="s">
        <v>858</v>
      </c>
      <c r="D166" s="90" t="s">
        <v>794</v>
      </c>
      <c r="E166" s="90" t="s">
        <v>1483</v>
      </c>
      <c r="F166" s="90" t="s">
        <v>1484</v>
      </c>
      <c r="G166" s="90" t="s">
        <v>1485</v>
      </c>
      <c r="H166" s="90" t="s">
        <v>1486</v>
      </c>
      <c r="I166" s="90"/>
      <c r="J166" s="90" t="s">
        <v>1487</v>
      </c>
      <c r="K166" s="90" t="s">
        <v>1488</v>
      </c>
      <c r="L166" s="91">
        <f>IFERROR(INDEX('Prior Multipliers'!$C$6:$C$70,MATCH(LEFT(G166,10),'Prior Multipliers'!$A$6:$A$70,0)),IFERROR(INDEX('Prior Multipliers'!$C$6:$C$70,MATCH(LEFT(G166,6),'Prior Multipliers'!$A$6:$A$70,0)),IFERROR(INDEX('Prior Multipliers'!$C$6:$C$70,MATCH(LEFT(G166,2),'Prior Multipliers'!$A$6:$A$70,0)),1)))</f>
        <v>1.35</v>
      </c>
    </row>
    <row r="167" spans="1:12" ht="26" x14ac:dyDescent="0.35">
      <c r="A167" s="90" t="s">
        <v>565</v>
      </c>
      <c r="B167" s="90" t="s">
        <v>857</v>
      </c>
      <c r="C167" s="90" t="s">
        <v>858</v>
      </c>
      <c r="D167" s="90" t="s">
        <v>794</v>
      </c>
      <c r="E167" s="90" t="s">
        <v>1489</v>
      </c>
      <c r="F167" s="90" t="s">
        <v>1490</v>
      </c>
      <c r="G167" s="90" t="s">
        <v>1491</v>
      </c>
      <c r="H167" s="90" t="s">
        <v>1492</v>
      </c>
      <c r="I167" s="90"/>
      <c r="J167" s="90" t="s">
        <v>1493</v>
      </c>
      <c r="K167" s="90" t="s">
        <v>1488</v>
      </c>
      <c r="L167" s="91">
        <f>IFERROR(INDEX('Prior Multipliers'!$C$6:$C$70,MATCH(LEFT(G167,10),'Prior Multipliers'!$A$6:$A$70,0)),IFERROR(INDEX('Prior Multipliers'!$C$6:$C$70,MATCH(LEFT(G167,6),'Prior Multipliers'!$A$6:$A$70,0)),IFERROR(INDEX('Prior Multipliers'!$C$6:$C$70,MATCH(LEFT(G167,2),'Prior Multipliers'!$A$6:$A$70,0)),1)))</f>
        <v>1.35</v>
      </c>
    </row>
    <row r="169" spans="1:12" x14ac:dyDescent="0.35">
      <c r="A169" s="94" t="s">
        <v>1494</v>
      </c>
    </row>
  </sheetData>
  <autoFilter ref="A5:L165" xr:uid="{00000000-0009-0000-0000-000005000000}"/>
  <mergeCells count="1">
    <mergeCell ref="A2:J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3"/>
  <sheetViews>
    <sheetView zoomScaleNormal="100" workbookViewId="0">
      <pane ySplit="5" topLeftCell="A6" activePane="bottomLeft" state="frozen"/>
      <selection pane="bottomLeft"/>
    </sheetView>
  </sheetViews>
  <sheetFormatPr defaultColWidth="8.6328125" defaultRowHeight="14.5" x14ac:dyDescent="0.35"/>
  <cols>
    <col min="1" max="1" width="14" customWidth="1"/>
    <col min="2" max="2" width="34" customWidth="1"/>
    <col min="3" max="3" width="12" customWidth="1"/>
    <col min="4" max="4" width="11" customWidth="1"/>
    <col min="5" max="5" width="80" customWidth="1"/>
  </cols>
  <sheetData>
    <row r="1" spans="1:5" ht="18" customHeight="1" x14ac:dyDescent="0.45">
      <c r="A1" s="88" t="s">
        <v>1495</v>
      </c>
    </row>
    <row r="2" spans="1:5" ht="45" customHeight="1" x14ac:dyDescent="0.35">
      <c r="A2" s="12" t="s">
        <v>1496</v>
      </c>
      <c r="B2" s="12"/>
      <c r="C2" s="12"/>
      <c r="D2" s="12"/>
      <c r="E2" s="12"/>
    </row>
    <row r="3" spans="1:5" ht="30" customHeight="1" x14ac:dyDescent="0.35">
      <c r="A3" s="12"/>
      <c r="B3" s="12"/>
      <c r="C3" s="12"/>
      <c r="D3" s="12"/>
      <c r="E3" s="12"/>
    </row>
    <row r="5" spans="1:5" x14ac:dyDescent="0.35">
      <c r="A5" s="22" t="s">
        <v>1497</v>
      </c>
      <c r="B5" s="22" t="s">
        <v>1498</v>
      </c>
      <c r="C5" s="22" t="s">
        <v>1499</v>
      </c>
      <c r="D5" s="22" t="s">
        <v>1500</v>
      </c>
      <c r="E5" s="22" t="s">
        <v>1501</v>
      </c>
    </row>
    <row r="6" spans="1:5" ht="26" x14ac:dyDescent="0.35">
      <c r="A6" s="90" t="s">
        <v>1338</v>
      </c>
      <c r="B6" s="90" t="s">
        <v>1502</v>
      </c>
      <c r="C6" s="91">
        <v>1.33</v>
      </c>
      <c r="D6" s="90">
        <v>2.8</v>
      </c>
      <c r="E6" s="90" t="s">
        <v>1503</v>
      </c>
    </row>
    <row r="7" spans="1:5" ht="26" x14ac:dyDescent="0.35">
      <c r="A7" s="90" t="s">
        <v>1336</v>
      </c>
      <c r="B7" s="90" t="s">
        <v>1502</v>
      </c>
      <c r="C7" s="91">
        <v>1.33</v>
      </c>
      <c r="D7" s="90">
        <v>2.8</v>
      </c>
      <c r="E7" s="90" t="s">
        <v>1503</v>
      </c>
    </row>
    <row r="8" spans="1:5" ht="26" x14ac:dyDescent="0.35">
      <c r="A8" s="90" t="s">
        <v>1262</v>
      </c>
      <c r="B8" s="90" t="s">
        <v>1502</v>
      </c>
      <c r="C8" s="91">
        <v>1.33</v>
      </c>
      <c r="D8" s="90">
        <v>2.8</v>
      </c>
      <c r="E8" s="90" t="s">
        <v>1503</v>
      </c>
    </row>
    <row r="9" spans="1:5" ht="26" x14ac:dyDescent="0.35">
      <c r="A9" s="90" t="s">
        <v>1316</v>
      </c>
      <c r="B9" s="90" t="s">
        <v>1502</v>
      </c>
      <c r="C9" s="91">
        <v>1.33</v>
      </c>
      <c r="D9" s="90">
        <v>2.8</v>
      </c>
      <c r="E9" s="90" t="s">
        <v>1503</v>
      </c>
    </row>
    <row r="10" spans="1:5" ht="26" x14ac:dyDescent="0.35">
      <c r="A10" s="90" t="s">
        <v>1328</v>
      </c>
      <c r="B10" s="90" t="s">
        <v>1502</v>
      </c>
      <c r="C10" s="91">
        <v>1.33</v>
      </c>
      <c r="D10" s="90">
        <v>2.8</v>
      </c>
      <c r="E10" s="90" t="s">
        <v>1503</v>
      </c>
    </row>
    <row r="11" spans="1:5" ht="26" x14ac:dyDescent="0.35">
      <c r="A11" s="90" t="s">
        <v>1274</v>
      </c>
      <c r="B11" s="90" t="s">
        <v>1502</v>
      </c>
      <c r="C11" s="91">
        <v>1.33</v>
      </c>
      <c r="D11" s="90">
        <v>2.8</v>
      </c>
      <c r="E11" s="90" t="s">
        <v>1503</v>
      </c>
    </row>
    <row r="12" spans="1:5" ht="26" x14ac:dyDescent="0.35">
      <c r="A12" s="90" t="s">
        <v>1295</v>
      </c>
      <c r="B12" s="90" t="s">
        <v>1504</v>
      </c>
      <c r="C12" s="91">
        <v>1.23</v>
      </c>
      <c r="D12" s="90">
        <v>2.59</v>
      </c>
      <c r="E12" s="90" t="s">
        <v>1505</v>
      </c>
    </row>
    <row r="13" spans="1:5" ht="26" x14ac:dyDescent="0.35">
      <c r="A13" s="90" t="s">
        <v>1302</v>
      </c>
      <c r="B13" s="90" t="s">
        <v>1504</v>
      </c>
      <c r="C13" s="91">
        <v>1.23</v>
      </c>
      <c r="D13" s="90">
        <v>2.59</v>
      </c>
      <c r="E13" s="90" t="s">
        <v>1505</v>
      </c>
    </row>
    <row r="14" spans="1:5" ht="26" x14ac:dyDescent="0.35">
      <c r="A14" s="90" t="s">
        <v>1306</v>
      </c>
      <c r="B14" s="90" t="s">
        <v>1504</v>
      </c>
      <c r="C14" s="91">
        <v>1.23</v>
      </c>
      <c r="D14" s="90">
        <v>2.59</v>
      </c>
      <c r="E14" s="90" t="s">
        <v>1505</v>
      </c>
    </row>
    <row r="15" spans="1:5" ht="26" x14ac:dyDescent="0.35">
      <c r="A15" s="90" t="s">
        <v>1266</v>
      </c>
      <c r="B15" s="90" t="s">
        <v>1504</v>
      </c>
      <c r="C15" s="91">
        <v>1.23</v>
      </c>
      <c r="D15" s="90">
        <v>2.59</v>
      </c>
      <c r="E15" s="90" t="s">
        <v>1505</v>
      </c>
    </row>
    <row r="16" spans="1:5" ht="26" x14ac:dyDescent="0.35">
      <c r="A16" s="90" t="s">
        <v>1286</v>
      </c>
      <c r="B16" s="90" t="s">
        <v>1504</v>
      </c>
      <c r="C16" s="91">
        <v>1.23</v>
      </c>
      <c r="D16" s="90">
        <v>2.59</v>
      </c>
      <c r="E16" s="90" t="s">
        <v>1505</v>
      </c>
    </row>
    <row r="17" spans="1:5" ht="26" x14ac:dyDescent="0.35">
      <c r="A17" s="90" t="s">
        <v>1282</v>
      </c>
      <c r="B17" s="90" t="s">
        <v>1504</v>
      </c>
      <c r="C17" s="91">
        <v>1.23</v>
      </c>
      <c r="D17" s="90">
        <v>2.59</v>
      </c>
      <c r="E17" s="90" t="s">
        <v>1505</v>
      </c>
    </row>
    <row r="18" spans="1:5" ht="26" x14ac:dyDescent="0.35">
      <c r="A18" s="90" t="s">
        <v>1290</v>
      </c>
      <c r="B18" s="90" t="s">
        <v>1504</v>
      </c>
      <c r="C18" s="91">
        <v>1.23</v>
      </c>
      <c r="D18" s="90">
        <v>2.59</v>
      </c>
      <c r="E18" s="90" t="s">
        <v>1505</v>
      </c>
    </row>
    <row r="19" spans="1:5" ht="26" x14ac:dyDescent="0.35">
      <c r="A19" s="90" t="s">
        <v>1341</v>
      </c>
      <c r="B19" s="90" t="s">
        <v>1506</v>
      </c>
      <c r="C19" s="91">
        <v>1.02</v>
      </c>
      <c r="D19" s="90">
        <v>2.15</v>
      </c>
      <c r="E19" s="90" t="s">
        <v>1507</v>
      </c>
    </row>
    <row r="20" spans="1:5" ht="26" x14ac:dyDescent="0.35">
      <c r="A20" s="90" t="s">
        <v>1332</v>
      </c>
      <c r="B20" s="90" t="s">
        <v>1506</v>
      </c>
      <c r="C20" s="91">
        <v>1.02</v>
      </c>
      <c r="D20" s="90">
        <v>2.15</v>
      </c>
      <c r="E20" s="90" t="s">
        <v>1507</v>
      </c>
    </row>
    <row r="21" spans="1:5" ht="26" x14ac:dyDescent="0.35">
      <c r="A21" s="90" t="s">
        <v>1140</v>
      </c>
      <c r="B21" s="90" t="s">
        <v>1506</v>
      </c>
      <c r="C21" s="91">
        <v>1.02</v>
      </c>
      <c r="D21" s="90">
        <v>2.15</v>
      </c>
      <c r="E21" s="90" t="s">
        <v>1507</v>
      </c>
    </row>
    <row r="22" spans="1:5" ht="26" x14ac:dyDescent="0.35">
      <c r="A22" s="90" t="s">
        <v>1250</v>
      </c>
      <c r="B22" s="90" t="s">
        <v>1508</v>
      </c>
      <c r="C22" s="91">
        <v>1.21</v>
      </c>
      <c r="D22" s="90">
        <v>2.5499999999999998</v>
      </c>
      <c r="E22" s="90" t="s">
        <v>1509</v>
      </c>
    </row>
    <row r="23" spans="1:5" ht="26" x14ac:dyDescent="0.35">
      <c r="A23" s="90" t="s">
        <v>1245</v>
      </c>
      <c r="B23" s="90" t="s">
        <v>1508</v>
      </c>
      <c r="C23" s="91">
        <v>1.21</v>
      </c>
      <c r="D23" s="90">
        <v>2.5499999999999998</v>
      </c>
      <c r="E23" s="90" t="s">
        <v>1509</v>
      </c>
    </row>
    <row r="24" spans="1:5" ht="26" x14ac:dyDescent="0.35">
      <c r="A24" s="90" t="s">
        <v>1254</v>
      </c>
      <c r="B24" s="90" t="s">
        <v>1508</v>
      </c>
      <c r="C24" s="91">
        <v>1.21</v>
      </c>
      <c r="D24" s="90">
        <v>2.5499999999999998</v>
      </c>
      <c r="E24" s="90" t="s">
        <v>1509</v>
      </c>
    </row>
    <row r="25" spans="1:5" ht="26" x14ac:dyDescent="0.35">
      <c r="A25" s="90" t="s">
        <v>1242</v>
      </c>
      <c r="B25" s="90" t="s">
        <v>1508</v>
      </c>
      <c r="C25" s="91">
        <v>1.21</v>
      </c>
      <c r="D25" s="90">
        <v>2.5499999999999998</v>
      </c>
      <c r="E25" s="90" t="s">
        <v>1509</v>
      </c>
    </row>
    <row r="26" spans="1:5" ht="26" x14ac:dyDescent="0.35">
      <c r="A26" s="90" t="s">
        <v>1240</v>
      </c>
      <c r="B26" s="90" t="s">
        <v>1508</v>
      </c>
      <c r="C26" s="91">
        <v>1.21</v>
      </c>
      <c r="D26" s="90">
        <v>2.5499999999999998</v>
      </c>
      <c r="E26" s="90" t="s">
        <v>1509</v>
      </c>
    </row>
    <row r="27" spans="1:5" ht="26" x14ac:dyDescent="0.35">
      <c r="A27" s="90" t="s">
        <v>1108</v>
      </c>
      <c r="B27" s="90" t="s">
        <v>1510</v>
      </c>
      <c r="C27" s="91">
        <v>1.21</v>
      </c>
      <c r="D27" s="90">
        <v>2.5499999999999998</v>
      </c>
      <c r="E27" s="90" t="s">
        <v>1511</v>
      </c>
    </row>
    <row r="28" spans="1:5" ht="26" x14ac:dyDescent="0.35">
      <c r="A28" s="90" t="s">
        <v>1094</v>
      </c>
      <c r="B28" s="90" t="s">
        <v>1510</v>
      </c>
      <c r="C28" s="91">
        <v>1.21</v>
      </c>
      <c r="D28" s="90">
        <v>2.5499999999999998</v>
      </c>
      <c r="E28" s="90" t="s">
        <v>1511</v>
      </c>
    </row>
    <row r="29" spans="1:5" ht="26" x14ac:dyDescent="0.35">
      <c r="A29" s="90" t="s">
        <v>1101</v>
      </c>
      <c r="B29" s="90" t="s">
        <v>1510</v>
      </c>
      <c r="C29" s="91">
        <v>1.21</v>
      </c>
      <c r="D29" s="90">
        <v>2.5499999999999998</v>
      </c>
      <c r="E29" s="90" t="s">
        <v>1511</v>
      </c>
    </row>
    <row r="30" spans="1:5" ht="26" x14ac:dyDescent="0.35">
      <c r="A30" s="90" t="s">
        <v>1119</v>
      </c>
      <c r="B30" s="90" t="s">
        <v>1510</v>
      </c>
      <c r="C30" s="91">
        <v>1.21</v>
      </c>
      <c r="D30" s="90">
        <v>2.5499999999999998</v>
      </c>
      <c r="E30" s="90" t="s">
        <v>1511</v>
      </c>
    </row>
    <row r="31" spans="1:5" ht="26" x14ac:dyDescent="0.35">
      <c r="A31" s="90" t="s">
        <v>1092</v>
      </c>
      <c r="B31" s="90" t="s">
        <v>1510</v>
      </c>
      <c r="C31" s="91">
        <v>1.21</v>
      </c>
      <c r="D31" s="90">
        <v>2.5499999999999998</v>
      </c>
      <c r="E31" s="90" t="s">
        <v>1511</v>
      </c>
    </row>
    <row r="32" spans="1:5" ht="26" x14ac:dyDescent="0.35">
      <c r="A32" s="90" t="s">
        <v>1099</v>
      </c>
      <c r="B32" s="90" t="s">
        <v>1510</v>
      </c>
      <c r="C32" s="91">
        <v>1.21</v>
      </c>
      <c r="D32" s="90">
        <v>2.5499999999999998</v>
      </c>
      <c r="E32" s="90" t="s">
        <v>1511</v>
      </c>
    </row>
    <row r="33" spans="1:5" ht="26" x14ac:dyDescent="0.35">
      <c r="A33" s="90" t="s">
        <v>1117</v>
      </c>
      <c r="B33" s="90" t="s">
        <v>1510</v>
      </c>
      <c r="C33" s="91">
        <v>1.21</v>
      </c>
      <c r="D33" s="90">
        <v>2.5499999999999998</v>
      </c>
      <c r="E33" s="90" t="s">
        <v>1511</v>
      </c>
    </row>
    <row r="34" spans="1:5" ht="26" x14ac:dyDescent="0.35">
      <c r="A34" s="90" t="s">
        <v>1104</v>
      </c>
      <c r="B34" s="90" t="s">
        <v>1510</v>
      </c>
      <c r="C34" s="91">
        <v>1.21</v>
      </c>
      <c r="D34" s="90">
        <v>2.5499999999999998</v>
      </c>
      <c r="E34" s="90" t="s">
        <v>1511</v>
      </c>
    </row>
    <row r="35" spans="1:5" ht="26" x14ac:dyDescent="0.35">
      <c r="A35" s="90" t="s">
        <v>1197</v>
      </c>
      <c r="B35" s="90" t="s">
        <v>1510</v>
      </c>
      <c r="C35" s="91">
        <v>1.21</v>
      </c>
      <c r="D35" s="90">
        <v>2.5499999999999998</v>
      </c>
      <c r="E35" s="90" t="s">
        <v>1511</v>
      </c>
    </row>
    <row r="36" spans="1:5" ht="26" x14ac:dyDescent="0.35">
      <c r="A36" s="90" t="s">
        <v>1225</v>
      </c>
      <c r="B36" s="90" t="s">
        <v>1512</v>
      </c>
      <c r="C36" s="91">
        <v>1.04</v>
      </c>
      <c r="D36" s="90">
        <v>2.2000000000000002</v>
      </c>
      <c r="E36" s="90" t="s">
        <v>1513</v>
      </c>
    </row>
    <row r="37" spans="1:5" ht="26" x14ac:dyDescent="0.35">
      <c r="A37" s="90" t="s">
        <v>1217</v>
      </c>
      <c r="B37" s="90" t="s">
        <v>1512</v>
      </c>
      <c r="C37" s="91">
        <v>1.04</v>
      </c>
      <c r="D37" s="90">
        <v>2.2000000000000002</v>
      </c>
      <c r="E37" s="90" t="s">
        <v>1513</v>
      </c>
    </row>
    <row r="38" spans="1:5" ht="26" x14ac:dyDescent="0.35">
      <c r="A38" s="90" t="s">
        <v>1229</v>
      </c>
      <c r="B38" s="90" t="s">
        <v>1512</v>
      </c>
      <c r="C38" s="91">
        <v>1.04</v>
      </c>
      <c r="D38" s="90">
        <v>2.2000000000000002</v>
      </c>
      <c r="E38" s="90" t="s">
        <v>1513</v>
      </c>
    </row>
    <row r="39" spans="1:5" ht="26" x14ac:dyDescent="0.35">
      <c r="A39" s="90" t="s">
        <v>1213</v>
      </c>
      <c r="B39" s="90" t="s">
        <v>1512</v>
      </c>
      <c r="C39" s="91">
        <v>1.04</v>
      </c>
      <c r="D39" s="90">
        <v>2.2000000000000002</v>
      </c>
      <c r="E39" s="90" t="s">
        <v>1513</v>
      </c>
    </row>
    <row r="40" spans="1:5" ht="39" x14ac:dyDescent="0.35">
      <c r="A40" s="90" t="s">
        <v>1221</v>
      </c>
      <c r="B40" s="90" t="s">
        <v>1514</v>
      </c>
      <c r="C40" s="91">
        <v>0.9</v>
      </c>
      <c r="D40" s="90">
        <v>1.9</v>
      </c>
      <c r="E40" s="90" t="s">
        <v>1515</v>
      </c>
    </row>
    <row r="41" spans="1:5" ht="39" x14ac:dyDescent="0.35">
      <c r="A41" s="90" t="s">
        <v>1147</v>
      </c>
      <c r="B41" s="90" t="s">
        <v>1514</v>
      </c>
      <c r="C41" s="91">
        <v>0.9</v>
      </c>
      <c r="D41" s="90">
        <v>1.9</v>
      </c>
      <c r="E41" s="90" t="s">
        <v>1515</v>
      </c>
    </row>
    <row r="42" spans="1:5" ht="39" x14ac:dyDescent="0.35">
      <c r="A42" s="90" t="s">
        <v>1155</v>
      </c>
      <c r="B42" s="90" t="s">
        <v>1516</v>
      </c>
      <c r="C42" s="91">
        <v>0.81</v>
      </c>
      <c r="D42" s="90">
        <v>1.7</v>
      </c>
      <c r="E42" s="90" t="s">
        <v>1517</v>
      </c>
    </row>
    <row r="43" spans="1:5" ht="39" x14ac:dyDescent="0.35">
      <c r="A43" s="90" t="s">
        <v>1173</v>
      </c>
      <c r="B43" s="90" t="s">
        <v>1516</v>
      </c>
      <c r="C43" s="91">
        <v>0.81</v>
      </c>
      <c r="D43" s="90">
        <v>1.7</v>
      </c>
      <c r="E43" s="90" t="s">
        <v>1517</v>
      </c>
    </row>
    <row r="44" spans="1:5" ht="39" x14ac:dyDescent="0.35">
      <c r="A44" s="90" t="s">
        <v>1209</v>
      </c>
      <c r="B44" s="90" t="s">
        <v>1518</v>
      </c>
      <c r="C44" s="91">
        <v>0.71</v>
      </c>
      <c r="D44" s="90">
        <v>1.5</v>
      </c>
      <c r="E44" s="90" t="s">
        <v>1519</v>
      </c>
    </row>
    <row r="45" spans="1:5" ht="39" x14ac:dyDescent="0.35">
      <c r="A45" s="90" t="s">
        <v>1122</v>
      </c>
      <c r="B45" s="90" t="s">
        <v>1518</v>
      </c>
      <c r="C45" s="91">
        <v>0.71</v>
      </c>
      <c r="D45" s="90">
        <v>1.5</v>
      </c>
      <c r="E45" s="90" t="s">
        <v>1519</v>
      </c>
    </row>
    <row r="46" spans="1:5" ht="39" x14ac:dyDescent="0.35">
      <c r="A46" s="90" t="s">
        <v>1205</v>
      </c>
      <c r="B46" s="90" t="s">
        <v>1518</v>
      </c>
      <c r="C46" s="91">
        <v>0.71</v>
      </c>
      <c r="D46" s="90">
        <v>1.5</v>
      </c>
      <c r="E46" s="90" t="s">
        <v>1519</v>
      </c>
    </row>
    <row r="47" spans="1:5" ht="39" x14ac:dyDescent="0.35">
      <c r="A47" s="90" t="s">
        <v>1126</v>
      </c>
      <c r="B47" s="90" t="s">
        <v>1518</v>
      </c>
      <c r="C47" s="91">
        <v>0.71</v>
      </c>
      <c r="D47" s="90">
        <v>1.5</v>
      </c>
      <c r="E47" s="90" t="s">
        <v>1519</v>
      </c>
    </row>
    <row r="48" spans="1:5" ht="39" x14ac:dyDescent="0.35">
      <c r="A48" s="90" t="s">
        <v>1193</v>
      </c>
      <c r="B48" s="90" t="s">
        <v>1518</v>
      </c>
      <c r="C48" s="91">
        <v>0.71</v>
      </c>
      <c r="D48" s="90">
        <v>1.5</v>
      </c>
      <c r="E48" s="90" t="s">
        <v>1519</v>
      </c>
    </row>
    <row r="49" spans="1:5" ht="39" x14ac:dyDescent="0.35">
      <c r="A49" s="90" t="s">
        <v>1132</v>
      </c>
      <c r="B49" s="90" t="s">
        <v>1518</v>
      </c>
      <c r="C49" s="91">
        <v>0.71</v>
      </c>
      <c r="D49" s="90">
        <v>1.5</v>
      </c>
      <c r="E49" s="90" t="s">
        <v>1519</v>
      </c>
    </row>
    <row r="50" spans="1:5" ht="39" x14ac:dyDescent="0.35">
      <c r="A50" s="90" t="s">
        <v>1130</v>
      </c>
      <c r="B50" s="90" t="s">
        <v>1518</v>
      </c>
      <c r="C50" s="91">
        <v>0.71</v>
      </c>
      <c r="D50" s="90">
        <v>1.5</v>
      </c>
      <c r="E50" s="90" t="s">
        <v>1519</v>
      </c>
    </row>
    <row r="51" spans="1:5" ht="39" x14ac:dyDescent="0.35">
      <c r="A51" s="90" t="s">
        <v>801</v>
      </c>
      <c r="B51" s="90" t="s">
        <v>1520</v>
      </c>
      <c r="C51" s="91">
        <v>0.76</v>
      </c>
      <c r="D51" s="90">
        <v>1.6</v>
      </c>
      <c r="E51" s="90" t="s">
        <v>1521</v>
      </c>
    </row>
    <row r="52" spans="1:5" ht="25.5" customHeight="1" x14ac:dyDescent="0.35">
      <c r="A52" s="90" t="s">
        <v>793</v>
      </c>
      <c r="B52" s="90" t="s">
        <v>1522</v>
      </c>
      <c r="C52" s="91">
        <v>1.35</v>
      </c>
      <c r="D52" s="90">
        <v>2.85</v>
      </c>
      <c r="E52" s="90" t="s">
        <v>1523</v>
      </c>
    </row>
    <row r="53" spans="1:5" ht="25.5" customHeight="1" x14ac:dyDescent="0.35">
      <c r="A53" s="90" t="s">
        <v>795</v>
      </c>
      <c r="B53" s="90" t="s">
        <v>1524</v>
      </c>
      <c r="C53" s="91">
        <v>1.21</v>
      </c>
      <c r="D53" s="90">
        <v>2.5499999999999998</v>
      </c>
      <c r="E53" s="90" t="s">
        <v>1525</v>
      </c>
    </row>
    <row r="54" spans="1:5" ht="25.5" customHeight="1" x14ac:dyDescent="0.35">
      <c r="A54" s="90" t="s">
        <v>803</v>
      </c>
      <c r="B54" s="90" t="s">
        <v>1526</v>
      </c>
      <c r="C54" s="91">
        <v>0.66</v>
      </c>
      <c r="D54" s="90">
        <v>1.4</v>
      </c>
      <c r="E54" s="90" t="s">
        <v>1527</v>
      </c>
    </row>
    <row r="55" spans="1:5" ht="25.5" customHeight="1" x14ac:dyDescent="0.35">
      <c r="A55" s="90" t="s">
        <v>805</v>
      </c>
      <c r="B55" s="90" t="s">
        <v>1528</v>
      </c>
      <c r="C55" s="91">
        <v>0.55000000000000004</v>
      </c>
      <c r="D55" s="90">
        <v>1.1499999999999999</v>
      </c>
      <c r="E55" s="90" t="s">
        <v>1529</v>
      </c>
    </row>
    <row r="56" spans="1:5" ht="25.5" customHeight="1" x14ac:dyDescent="0.35">
      <c r="A56" s="90" t="s">
        <v>565</v>
      </c>
      <c r="B56" s="90" t="s">
        <v>1530</v>
      </c>
      <c r="C56" s="91">
        <v>1.28</v>
      </c>
      <c r="D56" s="90">
        <v>2.7</v>
      </c>
      <c r="E56" s="90" t="s">
        <v>1531</v>
      </c>
    </row>
    <row r="57" spans="1:5" ht="25.5" customHeight="1" x14ac:dyDescent="0.35">
      <c r="A57" s="90" t="s">
        <v>629</v>
      </c>
      <c r="B57" s="90" t="s">
        <v>1532</v>
      </c>
      <c r="C57" s="91">
        <v>1.18</v>
      </c>
      <c r="D57" s="90">
        <v>2.4900000000000002</v>
      </c>
      <c r="E57" s="90" t="s">
        <v>1533</v>
      </c>
    </row>
    <row r="58" spans="1:5" ht="25.5" customHeight="1" x14ac:dyDescent="0.35">
      <c r="A58" s="90" t="s">
        <v>582</v>
      </c>
      <c r="B58" s="90" t="s">
        <v>1534</v>
      </c>
      <c r="C58" s="91">
        <v>1.33</v>
      </c>
      <c r="D58" s="90">
        <v>2.8</v>
      </c>
      <c r="E58" s="90" t="s">
        <v>1535</v>
      </c>
    </row>
    <row r="59" spans="1:5" ht="25.5" customHeight="1" x14ac:dyDescent="0.35">
      <c r="A59" s="90" t="s">
        <v>585</v>
      </c>
      <c r="B59" s="90" t="s">
        <v>1536</v>
      </c>
      <c r="C59" s="91">
        <v>0.76</v>
      </c>
      <c r="D59" s="90">
        <v>1.6</v>
      </c>
      <c r="E59" s="90" t="s">
        <v>1521</v>
      </c>
    </row>
    <row r="60" spans="1:5" ht="25.5" customHeight="1" x14ac:dyDescent="0.35">
      <c r="A60" s="90" t="s">
        <v>664</v>
      </c>
      <c r="B60" s="90" t="s">
        <v>1537</v>
      </c>
      <c r="C60" s="91">
        <v>0.66</v>
      </c>
      <c r="D60" s="90">
        <v>1.4</v>
      </c>
      <c r="E60" s="90" t="s">
        <v>1538</v>
      </c>
    </row>
    <row r="61" spans="1:5" ht="25.5" customHeight="1" x14ac:dyDescent="0.35">
      <c r="A61" s="90" t="s">
        <v>657</v>
      </c>
      <c r="B61" s="90" t="s">
        <v>1539</v>
      </c>
      <c r="C61" s="91">
        <v>0.55000000000000004</v>
      </c>
      <c r="D61" s="90">
        <v>1.1499999999999999</v>
      </c>
      <c r="E61" s="90" t="s">
        <v>1540</v>
      </c>
    </row>
    <row r="63" spans="1:5" x14ac:dyDescent="0.35">
      <c r="A63" s="95" t="s">
        <v>1541</v>
      </c>
    </row>
  </sheetData>
  <mergeCells count="1">
    <mergeCell ref="A2:E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0"/>
  <sheetViews>
    <sheetView zoomScaleNormal="100" workbookViewId="0"/>
  </sheetViews>
  <sheetFormatPr defaultColWidth="8.6328125" defaultRowHeight="14.5" x14ac:dyDescent="0.35"/>
  <cols>
    <col min="1" max="1" width="6" customWidth="1"/>
    <col min="2" max="2" width="34" customWidth="1"/>
    <col min="3" max="3" width="22" customWidth="1"/>
    <col min="4" max="4" width="12" customWidth="1"/>
    <col min="5" max="5" width="11" customWidth="1"/>
    <col min="6" max="6" width="60" customWidth="1"/>
    <col min="7" max="16" width="11" customWidth="1"/>
  </cols>
  <sheetData>
    <row r="1" spans="1:16" ht="18.5" x14ac:dyDescent="0.35">
      <c r="A1" s="81" t="s">
        <v>1542</v>
      </c>
    </row>
    <row r="2" spans="1:16" ht="15" customHeight="1" x14ac:dyDescent="0.35">
      <c r="A2" s="115" t="s">
        <v>1543</v>
      </c>
      <c r="B2" s="115"/>
      <c r="C2" s="115"/>
      <c r="D2" s="115"/>
      <c r="E2" s="115"/>
      <c r="F2" s="115"/>
      <c r="G2" s="115"/>
      <c r="H2" s="115"/>
      <c r="I2" s="115"/>
      <c r="J2" s="115"/>
      <c r="K2" s="115"/>
      <c r="L2" s="115"/>
      <c r="M2" s="115"/>
      <c r="N2" s="115"/>
      <c r="O2" s="115"/>
      <c r="P2" s="115"/>
    </row>
    <row r="3" spans="1:16" x14ac:dyDescent="0.35">
      <c r="A3" s="115"/>
      <c r="B3" s="115"/>
      <c r="C3" s="115"/>
      <c r="D3" s="115"/>
      <c r="E3" s="115"/>
      <c r="F3" s="115"/>
      <c r="G3" s="115"/>
      <c r="H3" s="115"/>
      <c r="I3" s="115"/>
      <c r="J3" s="115"/>
      <c r="K3" s="115"/>
      <c r="L3" s="115"/>
      <c r="M3" s="115"/>
      <c r="N3" s="115"/>
      <c r="O3" s="115"/>
      <c r="P3" s="115"/>
    </row>
    <row r="5" spans="1:16" x14ac:dyDescent="0.35">
      <c r="A5" s="83" t="s">
        <v>1544</v>
      </c>
    </row>
    <row r="6" spans="1:16" x14ac:dyDescent="0.35">
      <c r="A6" s="25" t="s">
        <v>103</v>
      </c>
      <c r="B6" s="25" t="s">
        <v>1545</v>
      </c>
      <c r="C6" s="25" t="s">
        <v>1546</v>
      </c>
      <c r="D6" s="25" t="s">
        <v>1547</v>
      </c>
      <c r="E6" s="25" t="s">
        <v>1548</v>
      </c>
      <c r="F6" s="25" t="s">
        <v>1549</v>
      </c>
    </row>
    <row r="7" spans="1:16" ht="26" x14ac:dyDescent="0.35">
      <c r="A7" s="21">
        <v>1</v>
      </c>
      <c r="B7" s="21" t="s">
        <v>1550</v>
      </c>
      <c r="C7" s="21" t="s">
        <v>1551</v>
      </c>
      <c r="D7" s="77">
        <v>25</v>
      </c>
      <c r="E7" s="76">
        <f t="shared" ref="E7:E14" si="0">IFERROR(D7/$D$15,0)</f>
        <v>0.25</v>
      </c>
      <c r="F7" s="21" t="s">
        <v>1552</v>
      </c>
    </row>
    <row r="8" spans="1:16" x14ac:dyDescent="0.35">
      <c r="A8" s="21">
        <v>2</v>
      </c>
      <c r="B8" s="21" t="s">
        <v>1553</v>
      </c>
      <c r="C8" s="21" t="s">
        <v>349</v>
      </c>
      <c r="D8" s="77">
        <v>15</v>
      </c>
      <c r="E8" s="76">
        <f t="shared" si="0"/>
        <v>0.15</v>
      </c>
      <c r="F8" s="21" t="s">
        <v>1554</v>
      </c>
    </row>
    <row r="9" spans="1:16" ht="26" x14ac:dyDescent="0.35">
      <c r="A9" s="21">
        <v>3</v>
      </c>
      <c r="B9" s="21" t="s">
        <v>1555</v>
      </c>
      <c r="C9" s="21" t="s">
        <v>163</v>
      </c>
      <c r="D9" s="77">
        <v>15</v>
      </c>
      <c r="E9" s="76">
        <f t="shared" si="0"/>
        <v>0.15</v>
      </c>
      <c r="F9" s="21" t="s">
        <v>1556</v>
      </c>
    </row>
    <row r="10" spans="1:16" ht="26" x14ac:dyDescent="0.35">
      <c r="A10" s="21">
        <v>4</v>
      </c>
      <c r="B10" s="21" t="s">
        <v>1557</v>
      </c>
      <c r="C10" s="21" t="s">
        <v>263</v>
      </c>
      <c r="D10" s="77">
        <v>10</v>
      </c>
      <c r="E10" s="76">
        <f t="shared" si="0"/>
        <v>0.1</v>
      </c>
      <c r="F10" s="21" t="s">
        <v>1558</v>
      </c>
    </row>
    <row r="11" spans="1:16" x14ac:dyDescent="0.35">
      <c r="A11" s="21">
        <v>5</v>
      </c>
      <c r="B11" s="21" t="s">
        <v>1559</v>
      </c>
      <c r="C11" s="21" t="s">
        <v>366</v>
      </c>
      <c r="D11" s="77">
        <v>10</v>
      </c>
      <c r="E11" s="76">
        <f t="shared" si="0"/>
        <v>0.1</v>
      </c>
      <c r="F11" s="21" t="s">
        <v>1560</v>
      </c>
    </row>
    <row r="12" spans="1:16" ht="39" x14ac:dyDescent="0.35">
      <c r="A12" s="21">
        <v>6</v>
      </c>
      <c r="B12" s="21" t="s">
        <v>1561</v>
      </c>
      <c r="C12" s="21" t="s">
        <v>399</v>
      </c>
      <c r="D12" s="77">
        <v>10</v>
      </c>
      <c r="E12" s="76">
        <f t="shared" si="0"/>
        <v>0.1</v>
      </c>
      <c r="F12" s="21" t="s">
        <v>1562</v>
      </c>
    </row>
    <row r="13" spans="1:16" x14ac:dyDescent="0.35">
      <c r="A13" s="21">
        <v>7</v>
      </c>
      <c r="B13" s="21" t="s">
        <v>1563</v>
      </c>
      <c r="C13" s="21" t="s">
        <v>344</v>
      </c>
      <c r="D13" s="77">
        <v>5</v>
      </c>
      <c r="E13" s="76">
        <f t="shared" si="0"/>
        <v>0.05</v>
      </c>
      <c r="F13" s="21" t="s">
        <v>1564</v>
      </c>
    </row>
    <row r="14" spans="1:16" x14ac:dyDescent="0.35">
      <c r="A14" s="21">
        <v>8</v>
      </c>
      <c r="B14" s="21" t="s">
        <v>1565</v>
      </c>
      <c r="C14" s="21" t="s">
        <v>232</v>
      </c>
      <c r="D14" s="77">
        <v>10</v>
      </c>
      <c r="E14" s="76">
        <f t="shared" si="0"/>
        <v>0.1</v>
      </c>
      <c r="F14" s="21" t="s">
        <v>1566</v>
      </c>
    </row>
    <row r="15" spans="1:16" ht="26" x14ac:dyDescent="0.35">
      <c r="B15" s="20" t="s">
        <v>695</v>
      </c>
      <c r="D15" s="20">
        <f>SUM(D7:D14)</f>
        <v>100</v>
      </c>
      <c r="E15" s="96">
        <f>SUM(E7:E14)</f>
        <v>1</v>
      </c>
      <c r="F15" s="21" t="s">
        <v>1567</v>
      </c>
    </row>
    <row r="17" spans="1:16" x14ac:dyDescent="0.35">
      <c r="A17" s="83" t="s">
        <v>1568</v>
      </c>
    </row>
    <row r="18" spans="1:16" ht="30" customHeight="1" x14ac:dyDescent="0.35">
      <c r="A18" s="115" t="s">
        <v>1569</v>
      </c>
      <c r="B18" s="115"/>
      <c r="C18" s="115"/>
      <c r="D18" s="115"/>
      <c r="E18" s="115"/>
      <c r="F18" s="115"/>
      <c r="G18" s="115"/>
      <c r="H18" s="115"/>
      <c r="I18" s="115"/>
      <c r="J18" s="115"/>
      <c r="K18" s="115"/>
      <c r="L18" s="115"/>
      <c r="M18" s="115"/>
      <c r="N18" s="115"/>
      <c r="O18" s="115"/>
      <c r="P18" s="115"/>
    </row>
    <row r="19" spans="1:16" ht="26" x14ac:dyDescent="0.35">
      <c r="A19" s="25" t="s">
        <v>1570</v>
      </c>
      <c r="B19" s="25" t="s">
        <v>1571</v>
      </c>
      <c r="C19" s="25" t="s">
        <v>1572</v>
      </c>
      <c r="D19" s="25" t="s">
        <v>1573</v>
      </c>
    </row>
    <row r="20" spans="1:16" ht="39" x14ac:dyDescent="0.35">
      <c r="A20" s="21">
        <v>1</v>
      </c>
      <c r="B20" s="21" t="s">
        <v>1574</v>
      </c>
      <c r="C20" s="21" t="s">
        <v>1575</v>
      </c>
      <c r="D20" s="97">
        <v>1.5</v>
      </c>
    </row>
    <row r="21" spans="1:16" ht="39" x14ac:dyDescent="0.35">
      <c r="A21" s="21">
        <v>2</v>
      </c>
      <c r="B21" s="21" t="s">
        <v>1576</v>
      </c>
      <c r="C21" s="21" t="s">
        <v>1577</v>
      </c>
      <c r="D21" s="97">
        <v>1.5</v>
      </c>
    </row>
    <row r="22" spans="1:16" x14ac:dyDescent="0.35">
      <c r="A22" s="21">
        <v>3</v>
      </c>
      <c r="B22" s="21" t="s">
        <v>1578</v>
      </c>
      <c r="C22" s="21" t="s">
        <v>1579</v>
      </c>
      <c r="D22" s="97">
        <v>1</v>
      </c>
    </row>
    <row r="23" spans="1:16" ht="26" x14ac:dyDescent="0.35">
      <c r="A23" s="21">
        <v>4</v>
      </c>
      <c r="B23" s="21" t="s">
        <v>1580</v>
      </c>
      <c r="C23" s="21" t="s">
        <v>1581</v>
      </c>
      <c r="D23" s="97">
        <v>1.25</v>
      </c>
    </row>
    <row r="24" spans="1:16" x14ac:dyDescent="0.35">
      <c r="A24" s="21">
        <v>5</v>
      </c>
      <c r="B24" s="21" t="s">
        <v>1582</v>
      </c>
      <c r="C24" s="21" t="s">
        <v>1583</v>
      </c>
      <c r="D24" s="97">
        <v>1</v>
      </c>
    </row>
    <row r="25" spans="1:16" ht="39" x14ac:dyDescent="0.35">
      <c r="A25" s="21">
        <v>6</v>
      </c>
      <c r="B25" s="21" t="s">
        <v>1584</v>
      </c>
      <c r="C25" s="21" t="s">
        <v>1585</v>
      </c>
      <c r="D25" s="97">
        <v>1.25</v>
      </c>
    </row>
    <row r="26" spans="1:16" x14ac:dyDescent="0.35">
      <c r="A26" s="21">
        <v>7</v>
      </c>
      <c r="B26" s="21" t="s">
        <v>1586</v>
      </c>
      <c r="C26" s="21"/>
      <c r="D26" s="97">
        <v>1</v>
      </c>
    </row>
    <row r="27" spans="1:16" x14ac:dyDescent="0.35">
      <c r="A27" s="21">
        <v>8</v>
      </c>
      <c r="B27" s="21" t="s">
        <v>1587</v>
      </c>
      <c r="C27" s="21" t="s">
        <v>1588</v>
      </c>
      <c r="D27" s="97">
        <v>1</v>
      </c>
    </row>
    <row r="30" spans="1:16" x14ac:dyDescent="0.35">
      <c r="A30" s="83" t="s">
        <v>1589</v>
      </c>
    </row>
    <row r="31" spans="1:16" x14ac:dyDescent="0.35">
      <c r="A31" s="25" t="s">
        <v>103</v>
      </c>
      <c r="B31" s="25" t="s">
        <v>1590</v>
      </c>
      <c r="C31" s="25" t="s">
        <v>1591</v>
      </c>
      <c r="D31" s="25" t="s">
        <v>1592</v>
      </c>
      <c r="E31" s="25" t="s">
        <v>1593</v>
      </c>
      <c r="F31" s="25" t="s">
        <v>1594</v>
      </c>
    </row>
    <row r="32" spans="1:16" ht="42" customHeight="1" x14ac:dyDescent="0.35">
      <c r="A32" s="21">
        <v>1</v>
      </c>
      <c r="B32" s="21" t="s">
        <v>1595</v>
      </c>
      <c r="C32" s="21" t="s">
        <v>1596</v>
      </c>
      <c r="D32" s="77">
        <v>3</v>
      </c>
      <c r="E32" s="21" t="s">
        <v>1597</v>
      </c>
      <c r="F32" s="21" t="s">
        <v>1598</v>
      </c>
    </row>
    <row r="33" spans="1:15" ht="42" customHeight="1" x14ac:dyDescent="0.35">
      <c r="A33" s="21">
        <v>2</v>
      </c>
      <c r="B33" s="21" t="s">
        <v>1599</v>
      </c>
      <c r="C33" s="21" t="s">
        <v>1600</v>
      </c>
      <c r="D33" s="77">
        <v>3</v>
      </c>
      <c r="E33" s="21" t="s">
        <v>1597</v>
      </c>
      <c r="F33" s="21" t="s">
        <v>1601</v>
      </c>
    </row>
    <row r="34" spans="1:15" ht="42" customHeight="1" x14ac:dyDescent="0.35">
      <c r="A34" s="21">
        <v>3</v>
      </c>
      <c r="B34" s="21" t="s">
        <v>1602</v>
      </c>
      <c r="C34" s="21" t="s">
        <v>1603</v>
      </c>
      <c r="D34" s="77">
        <v>3</v>
      </c>
      <c r="E34" s="21" t="s">
        <v>1604</v>
      </c>
      <c r="F34" s="21" t="s">
        <v>1605</v>
      </c>
    </row>
    <row r="35" spans="1:15" ht="42" customHeight="1" x14ac:dyDescent="0.35">
      <c r="A35" s="21">
        <v>4</v>
      </c>
      <c r="B35" s="21" t="s">
        <v>1606</v>
      </c>
      <c r="C35" s="21" t="s">
        <v>1607</v>
      </c>
      <c r="D35" s="77">
        <v>2</v>
      </c>
      <c r="E35" s="21" t="s">
        <v>1608</v>
      </c>
      <c r="F35" s="21" t="s">
        <v>1609</v>
      </c>
    </row>
    <row r="36" spans="1:15" ht="42" customHeight="1" x14ac:dyDescent="0.35">
      <c r="A36" s="21">
        <v>5</v>
      </c>
      <c r="B36" s="21" t="s">
        <v>1610</v>
      </c>
      <c r="C36" s="21" t="s">
        <v>1611</v>
      </c>
      <c r="D36" s="77">
        <v>2</v>
      </c>
      <c r="E36" s="21" t="s">
        <v>1608</v>
      </c>
      <c r="F36" s="21" t="s">
        <v>1612</v>
      </c>
    </row>
    <row r="37" spans="1:15" ht="42" customHeight="1" x14ac:dyDescent="0.35">
      <c r="A37" s="21">
        <v>6</v>
      </c>
      <c r="B37" s="21" t="s">
        <v>1613</v>
      </c>
      <c r="C37" s="21" t="s">
        <v>1614</v>
      </c>
      <c r="D37" s="77">
        <v>2</v>
      </c>
      <c r="E37" s="21" t="s">
        <v>1597</v>
      </c>
      <c r="F37" s="21" t="s">
        <v>1615</v>
      </c>
    </row>
    <row r="38" spans="1:15" ht="42" customHeight="1" x14ac:dyDescent="0.35">
      <c r="A38" s="21">
        <v>7</v>
      </c>
      <c r="B38" s="21" t="s">
        <v>1616</v>
      </c>
      <c r="C38" s="21" t="s">
        <v>1617</v>
      </c>
      <c r="D38" s="77">
        <v>1</v>
      </c>
      <c r="E38" s="21" t="s">
        <v>1618</v>
      </c>
      <c r="F38" s="21" t="s">
        <v>1619</v>
      </c>
    </row>
    <row r="39" spans="1:15" ht="42" customHeight="1" x14ac:dyDescent="0.35">
      <c r="A39" s="21">
        <v>8</v>
      </c>
      <c r="B39" s="21" t="s">
        <v>1620</v>
      </c>
      <c r="C39" s="21" t="s">
        <v>1621</v>
      </c>
      <c r="D39" s="77">
        <v>1</v>
      </c>
      <c r="E39" s="21" t="s">
        <v>1622</v>
      </c>
      <c r="F39" s="21" t="s">
        <v>1623</v>
      </c>
    </row>
    <row r="42" spans="1:15" x14ac:dyDescent="0.35">
      <c r="A42" s="83" t="s">
        <v>1624</v>
      </c>
    </row>
    <row r="43" spans="1:15" ht="26" x14ac:dyDescent="0.35">
      <c r="A43" s="25" t="s">
        <v>103</v>
      </c>
      <c r="B43" s="25" t="s">
        <v>1625</v>
      </c>
      <c r="C43" s="25" t="s">
        <v>1626</v>
      </c>
      <c r="D43" s="25" t="s">
        <v>1627</v>
      </c>
      <c r="E43" s="25" t="s">
        <v>1628</v>
      </c>
      <c r="F43" s="25" t="s">
        <v>1629</v>
      </c>
      <c r="G43" s="25" t="s">
        <v>1630</v>
      </c>
      <c r="H43" s="25" t="s">
        <v>1631</v>
      </c>
      <c r="I43" s="25" t="s">
        <v>1632</v>
      </c>
      <c r="J43" s="25" t="s">
        <v>1633</v>
      </c>
      <c r="K43" s="25" t="s">
        <v>816</v>
      </c>
      <c r="L43" s="25" t="s">
        <v>1634</v>
      </c>
      <c r="M43" s="25" t="s">
        <v>1635</v>
      </c>
      <c r="N43" s="25" t="s">
        <v>1636</v>
      </c>
      <c r="O43" s="25" t="s">
        <v>1637</v>
      </c>
    </row>
    <row r="44" spans="1:15" ht="26" x14ac:dyDescent="0.35">
      <c r="A44" s="21">
        <v>1</v>
      </c>
      <c r="B44" s="21" t="s">
        <v>1638</v>
      </c>
      <c r="C44" s="77">
        <v>3</v>
      </c>
      <c r="D44" s="77">
        <v>3</v>
      </c>
      <c r="E44" s="77">
        <v>4</v>
      </c>
      <c r="F44" s="77">
        <v>3</v>
      </c>
      <c r="G44" s="77">
        <v>2</v>
      </c>
      <c r="H44" s="76">
        <f t="shared" ref="H44:H49" si="1">IF(F44=0,"",G44/F44)</f>
        <v>0.66666666666666663</v>
      </c>
      <c r="I44" s="77">
        <v>3</v>
      </c>
      <c r="J44" s="77">
        <v>2</v>
      </c>
      <c r="K44" s="21" t="str">
        <f t="shared" ref="K44:K49" si="2">IF(F44&gt;=3,"Hit-rate-based","Rating-based")</f>
        <v>Hit-rate-based</v>
      </c>
      <c r="L44" s="21">
        <f t="shared" ref="L44:L49" si="3">IF(K44="Hit-rate-based",MIN(IF(E44&lt;2,2,3),IF(H44&gt;=0.7,3,IF(H44&gt;=0.4,2,1))),IF(D44=0,"",MIN(IF(E44&lt;2,2,3),D44)))</f>
        <v>2</v>
      </c>
      <c r="M44" s="21">
        <f t="shared" ref="M44:M49" si="4">IF(L44="","",L44*IF(I44=0,1,I44))</f>
        <v>6</v>
      </c>
      <c r="N44" s="98">
        <f t="shared" ref="N44:N49" si="5">IFERROR(INDEX($D$20:$D$27,J44),1)</f>
        <v>1.5</v>
      </c>
      <c r="O44" s="75">
        <f t="shared" ref="O44:O49" si="6">IF(M44="","",M44*N44)</f>
        <v>9</v>
      </c>
    </row>
    <row r="45" spans="1:15" ht="26" x14ac:dyDescent="0.35">
      <c r="A45" s="21">
        <v>2</v>
      </c>
      <c r="B45" s="21" t="s">
        <v>1639</v>
      </c>
      <c r="C45" s="77">
        <v>3</v>
      </c>
      <c r="D45" s="77">
        <v>2</v>
      </c>
      <c r="E45" s="77">
        <v>4</v>
      </c>
      <c r="F45" s="77">
        <v>3</v>
      </c>
      <c r="G45" s="77">
        <v>3</v>
      </c>
      <c r="H45" s="76">
        <f t="shared" si="1"/>
        <v>1</v>
      </c>
      <c r="I45" s="77">
        <v>3</v>
      </c>
      <c r="J45" s="77">
        <v>2</v>
      </c>
      <c r="K45" s="21" t="str">
        <f t="shared" si="2"/>
        <v>Hit-rate-based</v>
      </c>
      <c r="L45" s="21">
        <f t="shared" si="3"/>
        <v>3</v>
      </c>
      <c r="M45" s="21">
        <f t="shared" si="4"/>
        <v>9</v>
      </c>
      <c r="N45" s="98">
        <f t="shared" si="5"/>
        <v>1.5</v>
      </c>
      <c r="O45" s="75">
        <f t="shared" si="6"/>
        <v>13.5</v>
      </c>
    </row>
    <row r="46" spans="1:15" x14ac:dyDescent="0.35">
      <c r="A46" s="21">
        <v>3</v>
      </c>
      <c r="B46" s="21" t="s">
        <v>1640</v>
      </c>
      <c r="C46" s="77">
        <v>2</v>
      </c>
      <c r="D46" s="77">
        <v>2</v>
      </c>
      <c r="E46" s="77">
        <v>1</v>
      </c>
      <c r="F46" s="77">
        <v>0</v>
      </c>
      <c r="G46" s="77">
        <v>0</v>
      </c>
      <c r="H46" s="76" t="str">
        <f t="shared" si="1"/>
        <v/>
      </c>
      <c r="I46" s="77">
        <v>2</v>
      </c>
      <c r="J46" s="77">
        <v>8</v>
      </c>
      <c r="K46" s="21" t="str">
        <f t="shared" si="2"/>
        <v>Rating-based</v>
      </c>
      <c r="L46" s="21">
        <f t="shared" si="3"/>
        <v>2</v>
      </c>
      <c r="M46" s="21">
        <f t="shared" si="4"/>
        <v>4</v>
      </c>
      <c r="N46" s="98">
        <f t="shared" si="5"/>
        <v>1</v>
      </c>
      <c r="O46" s="75">
        <f t="shared" si="6"/>
        <v>4</v>
      </c>
    </row>
    <row r="47" spans="1:15" ht="26" x14ac:dyDescent="0.35">
      <c r="A47" s="21">
        <v>4</v>
      </c>
      <c r="B47" s="21" t="s">
        <v>1641</v>
      </c>
      <c r="C47" s="77">
        <v>1</v>
      </c>
      <c r="D47" s="77">
        <v>3</v>
      </c>
      <c r="E47" s="77">
        <v>4</v>
      </c>
      <c r="F47" s="77">
        <v>3</v>
      </c>
      <c r="G47" s="77">
        <v>1</v>
      </c>
      <c r="H47" s="76">
        <f t="shared" si="1"/>
        <v>0.33333333333333331</v>
      </c>
      <c r="I47" s="77">
        <v>3</v>
      </c>
      <c r="J47" s="77">
        <v>1</v>
      </c>
      <c r="K47" s="21" t="str">
        <f t="shared" si="2"/>
        <v>Hit-rate-based</v>
      </c>
      <c r="L47" s="21">
        <f t="shared" si="3"/>
        <v>1</v>
      </c>
      <c r="M47" s="21">
        <f t="shared" si="4"/>
        <v>3</v>
      </c>
      <c r="N47" s="98">
        <f t="shared" si="5"/>
        <v>1.5</v>
      </c>
      <c r="O47" s="75">
        <f t="shared" si="6"/>
        <v>4.5</v>
      </c>
    </row>
    <row r="48" spans="1:15" x14ac:dyDescent="0.35">
      <c r="A48" s="21">
        <v>5</v>
      </c>
      <c r="B48" s="21" t="s">
        <v>1642</v>
      </c>
      <c r="C48" s="77">
        <v>1</v>
      </c>
      <c r="D48" s="77">
        <v>2</v>
      </c>
      <c r="E48" s="77">
        <v>2</v>
      </c>
      <c r="F48" s="77">
        <v>0</v>
      </c>
      <c r="G48" s="77">
        <v>0</v>
      </c>
      <c r="H48" s="76" t="str">
        <f t="shared" si="1"/>
        <v/>
      </c>
      <c r="I48" s="77">
        <v>3</v>
      </c>
      <c r="J48" s="77">
        <v>1</v>
      </c>
      <c r="K48" s="21" t="str">
        <f t="shared" si="2"/>
        <v>Rating-based</v>
      </c>
      <c r="L48" s="21">
        <f t="shared" si="3"/>
        <v>2</v>
      </c>
      <c r="M48" s="21">
        <f t="shared" si="4"/>
        <v>6</v>
      </c>
      <c r="N48" s="98">
        <f t="shared" si="5"/>
        <v>1.5</v>
      </c>
      <c r="O48" s="75">
        <f t="shared" si="6"/>
        <v>9</v>
      </c>
    </row>
    <row r="49" spans="1:16" x14ac:dyDescent="0.35">
      <c r="A49" s="21">
        <v>6</v>
      </c>
      <c r="B49" s="21" t="s">
        <v>1643</v>
      </c>
      <c r="C49" s="77">
        <v>3</v>
      </c>
      <c r="D49" s="77">
        <v>1</v>
      </c>
      <c r="E49" s="77">
        <v>1</v>
      </c>
      <c r="F49" s="77">
        <v>0</v>
      </c>
      <c r="G49" s="77">
        <v>0</v>
      </c>
      <c r="H49" s="76" t="str">
        <f t="shared" si="1"/>
        <v/>
      </c>
      <c r="I49" s="77">
        <v>1</v>
      </c>
      <c r="J49" s="77">
        <v>2</v>
      </c>
      <c r="K49" s="21" t="str">
        <f t="shared" si="2"/>
        <v>Rating-based</v>
      </c>
      <c r="L49" s="21">
        <f t="shared" si="3"/>
        <v>1</v>
      </c>
      <c r="M49" s="21">
        <f t="shared" si="4"/>
        <v>1</v>
      </c>
      <c r="N49" s="98">
        <f t="shared" si="5"/>
        <v>1.5</v>
      </c>
      <c r="O49" s="75">
        <f t="shared" si="6"/>
        <v>1.5</v>
      </c>
    </row>
    <row r="51" spans="1:16" ht="39" x14ac:dyDescent="0.35">
      <c r="A51" s="25"/>
      <c r="B51" s="25" t="s">
        <v>687</v>
      </c>
      <c r="C51" s="25" t="s">
        <v>688</v>
      </c>
      <c r="D51" s="25" t="s">
        <v>689</v>
      </c>
      <c r="E51" s="25" t="s">
        <v>1644</v>
      </c>
      <c r="F51" s="25" t="s">
        <v>691</v>
      </c>
      <c r="G51" s="25" t="s">
        <v>1645</v>
      </c>
      <c r="H51" s="25" t="s">
        <v>1646</v>
      </c>
    </row>
    <row r="52" spans="1:16" x14ac:dyDescent="0.35">
      <c r="B52" s="20" t="s">
        <v>1647</v>
      </c>
      <c r="C52" s="21">
        <f>COUNTIF($C$44:$C$49,3)</f>
        <v>3</v>
      </c>
      <c r="D52" s="76">
        <f>IFERROR(C52/SUM($C$52:$C$54),"")</f>
        <v>0.5</v>
      </c>
      <c r="E52" s="75">
        <f>SUMIF($C$44:$C$49,3,$M$44:$M$49)</f>
        <v>16</v>
      </c>
      <c r="F52" s="76">
        <f>IFERROR(E52/SUM($E$52:$E$54),"")</f>
        <v>0.55172413793103448</v>
      </c>
      <c r="G52" s="75">
        <f>SUMIF($C$44:$C$49,3,$O$44:$O$49)</f>
        <v>24</v>
      </c>
      <c r="H52" s="76">
        <f>IFERROR(G52/SUM($G$52:$G$54),"")</f>
        <v>0.57831325301204817</v>
      </c>
    </row>
    <row r="53" spans="1:16" x14ac:dyDescent="0.35">
      <c r="B53" s="20" t="s">
        <v>613</v>
      </c>
      <c r="C53" s="21">
        <f>COUNTIF($C$44:$C$49,2)</f>
        <v>1</v>
      </c>
      <c r="D53" s="76">
        <f>IFERROR(C53/SUM($C$52:$C$54),"")</f>
        <v>0.16666666666666666</v>
      </c>
      <c r="E53" s="75">
        <f>SUMIF($C$44:$C$49,2,$M$44:$M$49)</f>
        <v>4</v>
      </c>
      <c r="F53" s="76">
        <f>IFERROR(E53/SUM($E$52:$E$54),"")</f>
        <v>0.13793103448275862</v>
      </c>
      <c r="G53" s="75">
        <f>SUMIF($C$44:$C$49,2,$O$44:$O$49)</f>
        <v>4</v>
      </c>
      <c r="H53" s="76">
        <f>IFERROR(G53/SUM($G$52:$G$54),"")</f>
        <v>9.6385542168674704E-2</v>
      </c>
    </row>
    <row r="54" spans="1:16" x14ac:dyDescent="0.35">
      <c r="B54" s="20" t="s">
        <v>1648</v>
      </c>
      <c r="C54" s="21">
        <f>COUNTIF($C$44:$C$49,1)</f>
        <v>2</v>
      </c>
      <c r="D54" s="76">
        <f>IFERROR(C54/SUM($C$52:$C$54),"")</f>
        <v>0.33333333333333331</v>
      </c>
      <c r="E54" s="75">
        <f>SUMIF($C$44:$C$49,1,$M$44:$M$49)</f>
        <v>9</v>
      </c>
      <c r="F54" s="76">
        <f>IFERROR(E54/SUM($E$52:$E$54),"")</f>
        <v>0.31034482758620691</v>
      </c>
      <c r="G54" s="75">
        <f>SUMIF($C$44:$C$49,1,$O$44:$O$49)</f>
        <v>13.5</v>
      </c>
      <c r="H54" s="76">
        <f>IFERROR(G54/SUM($G$52:$G$54),"")</f>
        <v>0.3253012048192771</v>
      </c>
    </row>
    <row r="55" spans="1:16" x14ac:dyDescent="0.35">
      <c r="B55" s="20" t="s">
        <v>695</v>
      </c>
      <c r="C55" s="99">
        <f>SUM(C52:C54)</f>
        <v>6</v>
      </c>
      <c r="E55" s="99">
        <f>SUM(E52:E54)</f>
        <v>29</v>
      </c>
      <c r="G55" s="99">
        <f>SUM(G52:G54)</f>
        <v>41.5</v>
      </c>
    </row>
    <row r="57" spans="1:16" ht="39.75" customHeight="1" x14ac:dyDescent="0.35">
      <c r="B57" s="20" t="s">
        <v>1649</v>
      </c>
      <c r="C57" s="115" t="s">
        <v>1650</v>
      </c>
      <c r="D57" s="115"/>
      <c r="E57" s="115"/>
      <c r="F57" s="115"/>
      <c r="G57" s="115"/>
      <c r="H57" s="115"/>
      <c r="I57" s="115"/>
      <c r="J57" s="115"/>
      <c r="K57" s="115"/>
      <c r="L57" s="115"/>
      <c r="M57" s="115"/>
      <c r="N57" s="115"/>
      <c r="O57" s="115"/>
      <c r="P57" s="115"/>
    </row>
    <row r="58" spans="1:16" x14ac:dyDescent="0.35">
      <c r="C58" s="115"/>
      <c r="D58" s="115"/>
      <c r="E58" s="115"/>
      <c r="F58" s="115"/>
      <c r="G58" s="115"/>
      <c r="H58" s="115"/>
      <c r="I58" s="115"/>
      <c r="J58" s="115"/>
      <c r="K58" s="115"/>
      <c r="L58" s="115"/>
      <c r="M58" s="115"/>
      <c r="N58" s="115"/>
      <c r="O58" s="115"/>
      <c r="P58" s="115"/>
    </row>
    <row r="59" spans="1:16" x14ac:dyDescent="0.35">
      <c r="C59" s="115"/>
      <c r="D59" s="115"/>
      <c r="E59" s="115"/>
      <c r="F59" s="115"/>
      <c r="G59" s="115"/>
      <c r="H59" s="115"/>
      <c r="I59" s="115"/>
      <c r="J59" s="115"/>
      <c r="K59" s="115"/>
      <c r="L59" s="115"/>
      <c r="M59" s="115"/>
      <c r="N59" s="115"/>
      <c r="O59" s="115"/>
      <c r="P59" s="115"/>
    </row>
    <row r="60" spans="1:16" x14ac:dyDescent="0.35">
      <c r="C60" s="115"/>
      <c r="D60" s="115"/>
      <c r="E60" s="115"/>
      <c r="F60" s="115"/>
      <c r="G60" s="115"/>
      <c r="H60" s="115"/>
      <c r="I60" s="115"/>
      <c r="J60" s="115"/>
      <c r="K60" s="115"/>
      <c r="L60" s="115"/>
      <c r="M60" s="115"/>
      <c r="N60" s="115"/>
      <c r="O60" s="115"/>
      <c r="P60" s="115"/>
    </row>
    <row r="62" spans="1:16" x14ac:dyDescent="0.35">
      <c r="A62" s="83" t="s">
        <v>1651</v>
      </c>
    </row>
    <row r="63" spans="1:16" ht="27.75" customHeight="1" x14ac:dyDescent="0.35">
      <c r="A63" s="21">
        <v>1</v>
      </c>
      <c r="B63" s="115" t="s">
        <v>1652</v>
      </c>
      <c r="C63" s="115"/>
      <c r="D63" s="115"/>
      <c r="E63" s="115"/>
      <c r="F63" s="115"/>
      <c r="G63" s="115"/>
      <c r="H63" s="115"/>
      <c r="I63" s="115"/>
      <c r="J63" s="115"/>
      <c r="K63" s="115"/>
      <c r="L63" s="115"/>
      <c r="M63" s="115"/>
      <c r="N63" s="115"/>
      <c r="O63" s="115"/>
      <c r="P63" s="115"/>
    </row>
    <row r="64" spans="1:16" ht="27.75" customHeight="1" x14ac:dyDescent="0.35">
      <c r="A64" s="21">
        <v>2</v>
      </c>
      <c r="B64" s="115" t="s">
        <v>1653</v>
      </c>
      <c r="C64" s="115"/>
      <c r="D64" s="115"/>
      <c r="E64" s="115"/>
      <c r="F64" s="115"/>
      <c r="G64" s="115"/>
      <c r="H64" s="115"/>
      <c r="I64" s="115"/>
      <c r="J64" s="115"/>
      <c r="K64" s="115"/>
      <c r="L64" s="115"/>
      <c r="M64" s="115"/>
      <c r="N64" s="115"/>
      <c r="O64" s="115"/>
      <c r="P64" s="115"/>
    </row>
    <row r="65" spans="1:16" ht="27.75" customHeight="1" x14ac:dyDescent="0.35">
      <c r="A65" s="21">
        <v>3</v>
      </c>
      <c r="B65" s="115" t="s">
        <v>1654</v>
      </c>
      <c r="C65" s="115"/>
      <c r="D65" s="115"/>
      <c r="E65" s="115"/>
      <c r="F65" s="115"/>
      <c r="G65" s="115"/>
      <c r="H65" s="115"/>
      <c r="I65" s="115"/>
      <c r="J65" s="115"/>
      <c r="K65" s="115"/>
      <c r="L65" s="115"/>
      <c r="M65" s="115"/>
      <c r="N65" s="115"/>
      <c r="O65" s="115"/>
      <c r="P65" s="115"/>
    </row>
    <row r="66" spans="1:16" ht="27.75" customHeight="1" x14ac:dyDescent="0.35">
      <c r="A66" s="21">
        <v>4</v>
      </c>
      <c r="B66" s="115" t="s">
        <v>1655</v>
      </c>
      <c r="C66" s="115"/>
      <c r="D66" s="115"/>
      <c r="E66" s="115"/>
      <c r="F66" s="115"/>
      <c r="G66" s="115"/>
      <c r="H66" s="115"/>
      <c r="I66" s="115"/>
      <c r="J66" s="115"/>
      <c r="K66" s="115"/>
      <c r="L66" s="115"/>
      <c r="M66" s="115"/>
      <c r="N66" s="115"/>
      <c r="O66" s="115"/>
      <c r="P66" s="115"/>
    </row>
    <row r="67" spans="1:16" ht="27.75" customHeight="1" x14ac:dyDescent="0.35">
      <c r="A67" s="21">
        <v>5</v>
      </c>
      <c r="B67" s="115" t="s">
        <v>1656</v>
      </c>
      <c r="C67" s="115"/>
      <c r="D67" s="115"/>
      <c r="E67" s="115"/>
      <c r="F67" s="115"/>
      <c r="G67" s="115"/>
      <c r="H67" s="115"/>
      <c r="I67" s="115"/>
      <c r="J67" s="115"/>
      <c r="K67" s="115"/>
      <c r="L67" s="115"/>
      <c r="M67" s="115"/>
      <c r="N67" s="115"/>
      <c r="O67" s="115"/>
      <c r="P67" s="115"/>
    </row>
    <row r="68" spans="1:16" ht="27.75" customHeight="1" x14ac:dyDescent="0.35">
      <c r="A68" s="21">
        <v>6</v>
      </c>
      <c r="B68" s="115" t="s">
        <v>1657</v>
      </c>
      <c r="C68" s="115"/>
      <c r="D68" s="115"/>
      <c r="E68" s="115"/>
      <c r="F68" s="115"/>
      <c r="G68" s="115"/>
      <c r="H68" s="115"/>
      <c r="I68" s="115"/>
      <c r="J68" s="115"/>
      <c r="K68" s="115"/>
      <c r="L68" s="115"/>
      <c r="M68" s="115"/>
      <c r="N68" s="115"/>
      <c r="O68" s="115"/>
      <c r="P68" s="115"/>
    </row>
    <row r="69" spans="1:16" ht="27.75" customHeight="1" x14ac:dyDescent="0.35">
      <c r="A69" s="21">
        <v>7</v>
      </c>
      <c r="B69" s="115" t="s">
        <v>1658</v>
      </c>
      <c r="C69" s="115"/>
      <c r="D69" s="115"/>
      <c r="E69" s="115"/>
      <c r="F69" s="115"/>
      <c r="G69" s="115"/>
      <c r="H69" s="115"/>
      <c r="I69" s="115"/>
      <c r="J69" s="115"/>
      <c r="K69" s="115"/>
      <c r="L69" s="115"/>
      <c r="M69" s="115"/>
      <c r="N69" s="115"/>
      <c r="O69" s="115"/>
      <c r="P69" s="115"/>
    </row>
    <row r="70" spans="1:16" ht="27.75" customHeight="1" x14ac:dyDescent="0.35">
      <c r="A70" s="21">
        <v>8</v>
      </c>
      <c r="B70" s="115" t="s">
        <v>1659</v>
      </c>
      <c r="C70" s="115"/>
      <c r="D70" s="115"/>
      <c r="E70" s="115"/>
      <c r="F70" s="115"/>
      <c r="G70" s="115"/>
      <c r="H70" s="115"/>
      <c r="I70" s="115"/>
      <c r="J70" s="115"/>
      <c r="K70" s="115"/>
      <c r="L70" s="115"/>
      <c r="M70" s="115"/>
      <c r="N70" s="115"/>
      <c r="O70" s="115"/>
      <c r="P70" s="115"/>
    </row>
  </sheetData>
  <mergeCells count="11">
    <mergeCell ref="B70:P70"/>
    <mergeCell ref="B65:P65"/>
    <mergeCell ref="B66:P66"/>
    <mergeCell ref="B67:P67"/>
    <mergeCell ref="B68:P68"/>
    <mergeCell ref="B69:P69"/>
    <mergeCell ref="A2:P3"/>
    <mergeCell ref="A18:P18"/>
    <mergeCell ref="C57:P60"/>
    <mergeCell ref="B63:P63"/>
    <mergeCell ref="B64:P6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8"/>
  <sheetViews>
    <sheetView zoomScaleNormal="100" workbookViewId="0">
      <pane ySplit="5" topLeftCell="A10" activePane="bottomLeft" state="frozen"/>
      <selection pane="bottomLeft" activeCell="C7" sqref="C7"/>
    </sheetView>
  </sheetViews>
  <sheetFormatPr defaultColWidth="8.6328125" defaultRowHeight="14.5" x14ac:dyDescent="0.35"/>
  <cols>
    <col min="1" max="1" width="22" customWidth="1"/>
    <col min="2" max="2" width="15.90625" customWidth="1"/>
    <col min="3" max="3" width="30" customWidth="1"/>
    <col min="4" max="4" width="55" customWidth="1"/>
    <col min="5" max="5" width="14" customWidth="1"/>
  </cols>
  <sheetData>
    <row r="1" spans="1:5" ht="30" customHeight="1" x14ac:dyDescent="0.35">
      <c r="A1" s="117" t="s">
        <v>1660</v>
      </c>
      <c r="B1" s="117"/>
      <c r="C1" s="117"/>
      <c r="D1" s="117"/>
      <c r="E1" s="117"/>
    </row>
    <row r="2" spans="1:5" ht="54.75" customHeight="1" x14ac:dyDescent="0.35">
      <c r="A2" s="118" t="s">
        <v>1661</v>
      </c>
      <c r="B2" s="118"/>
      <c r="C2" s="118"/>
      <c r="D2" s="118"/>
      <c r="E2" s="118"/>
    </row>
    <row r="3" spans="1:5" ht="15" customHeight="1" x14ac:dyDescent="0.35">
      <c r="A3" s="118"/>
      <c r="B3" s="118"/>
      <c r="C3" s="118"/>
      <c r="D3" s="118"/>
      <c r="E3" s="118"/>
    </row>
    <row r="5" spans="1:5" ht="21.75" customHeight="1" x14ac:dyDescent="0.35">
      <c r="A5" s="100" t="s">
        <v>1662</v>
      </c>
      <c r="B5" s="100" t="s">
        <v>1663</v>
      </c>
      <c r="C5" s="100" t="s">
        <v>1664</v>
      </c>
      <c r="D5" s="100" t="s">
        <v>1665</v>
      </c>
      <c r="E5" s="100" t="s">
        <v>1666</v>
      </c>
    </row>
    <row r="6" spans="1:5" ht="19.5" customHeight="1" x14ac:dyDescent="0.35">
      <c r="A6" s="119" t="s">
        <v>1667</v>
      </c>
      <c r="B6" s="119"/>
      <c r="C6" s="119"/>
      <c r="D6" s="119"/>
      <c r="E6" s="119"/>
    </row>
    <row r="7" spans="1:5" ht="26.25" customHeight="1" x14ac:dyDescent="0.35">
      <c r="A7" s="30"/>
      <c r="B7" s="101" t="s">
        <v>250</v>
      </c>
      <c r="C7" s="30" t="s">
        <v>1668</v>
      </c>
      <c r="D7" s="30" t="s">
        <v>1669</v>
      </c>
      <c r="E7" s="102" t="s">
        <v>1670</v>
      </c>
    </row>
    <row r="8" spans="1:5" ht="25.5" customHeight="1" x14ac:dyDescent="0.35">
      <c r="A8" s="30"/>
      <c r="B8" s="101" t="s">
        <v>1671</v>
      </c>
      <c r="C8" s="30" t="s">
        <v>1672</v>
      </c>
      <c r="D8" s="30" t="s">
        <v>1673</v>
      </c>
      <c r="E8" s="102" t="s">
        <v>1674</v>
      </c>
    </row>
    <row r="9" spans="1:5" ht="27.75" customHeight="1" x14ac:dyDescent="0.35">
      <c r="A9" s="30"/>
      <c r="B9" s="101" t="s">
        <v>176</v>
      </c>
      <c r="C9" s="30" t="s">
        <v>1675</v>
      </c>
      <c r="D9" s="30" t="s">
        <v>1676</v>
      </c>
      <c r="E9" s="102" t="s">
        <v>1670</v>
      </c>
    </row>
    <row r="10" spans="1:5" ht="28.5" customHeight="1" x14ac:dyDescent="0.35">
      <c r="A10" s="30"/>
      <c r="B10" s="101" t="s">
        <v>343</v>
      </c>
      <c r="C10" s="30" t="s">
        <v>1677</v>
      </c>
      <c r="D10" s="30" t="s">
        <v>1678</v>
      </c>
      <c r="E10" s="102" t="s">
        <v>1670</v>
      </c>
    </row>
    <row r="11" spans="1:5" ht="19.5" customHeight="1" x14ac:dyDescent="0.35">
      <c r="A11" s="120" t="s">
        <v>1679</v>
      </c>
      <c r="B11" s="120"/>
      <c r="C11" s="120"/>
      <c r="D11" s="120"/>
      <c r="E11" s="120"/>
    </row>
    <row r="12" spans="1:5" ht="26.25" customHeight="1" x14ac:dyDescent="0.35">
      <c r="A12" s="30"/>
      <c r="B12" s="101" t="s">
        <v>334</v>
      </c>
      <c r="C12" s="30" t="s">
        <v>1680</v>
      </c>
      <c r="D12" s="30" t="s">
        <v>1681</v>
      </c>
      <c r="E12" s="102" t="s">
        <v>1670</v>
      </c>
    </row>
    <row r="13" spans="1:5" ht="18" customHeight="1" x14ac:dyDescent="0.35">
      <c r="A13" s="30"/>
      <c r="B13" s="101" t="s">
        <v>341</v>
      </c>
      <c r="C13" s="30" t="s">
        <v>1682</v>
      </c>
      <c r="D13" s="30" t="s">
        <v>1683</v>
      </c>
      <c r="E13" s="102" t="s">
        <v>1670</v>
      </c>
    </row>
    <row r="14" spans="1:5" ht="19.5" customHeight="1" x14ac:dyDescent="0.35">
      <c r="A14" s="30"/>
      <c r="B14" s="101" t="s">
        <v>324</v>
      </c>
      <c r="C14" s="30" t="s">
        <v>1684</v>
      </c>
      <c r="D14" s="30" t="s">
        <v>1685</v>
      </c>
      <c r="E14" s="102" t="s">
        <v>1670</v>
      </c>
    </row>
    <row r="15" spans="1:5" ht="68.25" customHeight="1" x14ac:dyDescent="0.35">
      <c r="A15" s="30"/>
      <c r="B15" s="101" t="s">
        <v>1686</v>
      </c>
      <c r="C15" s="30" t="s">
        <v>1687</v>
      </c>
      <c r="D15" s="30" t="s">
        <v>1688</v>
      </c>
      <c r="E15" s="102" t="s">
        <v>1689</v>
      </c>
    </row>
    <row r="16" spans="1:5" ht="19.5" customHeight="1" x14ac:dyDescent="0.35">
      <c r="A16" s="121" t="s">
        <v>1690</v>
      </c>
      <c r="B16" s="121"/>
      <c r="C16" s="121"/>
      <c r="D16" s="121"/>
      <c r="E16" s="121"/>
    </row>
    <row r="17" spans="1:5" ht="40.5" customHeight="1" x14ac:dyDescent="0.35">
      <c r="A17" s="30"/>
      <c r="B17" s="101" t="s">
        <v>1691</v>
      </c>
      <c r="C17" s="30" t="s">
        <v>1692</v>
      </c>
      <c r="D17" s="30" t="s">
        <v>1693</v>
      </c>
      <c r="E17" s="102" t="s">
        <v>1674</v>
      </c>
    </row>
    <row r="18" spans="1:5" ht="27" customHeight="1" x14ac:dyDescent="0.35">
      <c r="A18" s="30"/>
      <c r="B18" s="101" t="s">
        <v>163</v>
      </c>
      <c r="C18" s="30" t="s">
        <v>1694</v>
      </c>
      <c r="D18" s="30" t="s">
        <v>1695</v>
      </c>
      <c r="E18" s="102" t="s">
        <v>1674</v>
      </c>
    </row>
    <row r="19" spans="1:5" ht="28.5" customHeight="1" x14ac:dyDescent="0.35">
      <c r="A19" s="30"/>
      <c r="B19" s="101" t="s">
        <v>1696</v>
      </c>
      <c r="C19" s="30" t="s">
        <v>1697</v>
      </c>
      <c r="D19" s="30" t="s">
        <v>1698</v>
      </c>
      <c r="E19" s="102" t="s">
        <v>1674</v>
      </c>
    </row>
    <row r="20" spans="1:5" ht="25.5" customHeight="1" x14ac:dyDescent="0.35">
      <c r="A20" s="30"/>
      <c r="B20" s="101" t="s">
        <v>1699</v>
      </c>
      <c r="C20" s="30" t="s">
        <v>1700</v>
      </c>
      <c r="D20" s="30" t="s">
        <v>1701</v>
      </c>
      <c r="E20" s="102" t="s">
        <v>1674</v>
      </c>
    </row>
    <row r="21" spans="1:5" ht="28.5" customHeight="1" x14ac:dyDescent="0.35">
      <c r="A21" s="30"/>
      <c r="B21" s="101" t="s">
        <v>188</v>
      </c>
      <c r="C21" s="30" t="s">
        <v>1702</v>
      </c>
      <c r="D21" s="30" t="s">
        <v>1703</v>
      </c>
      <c r="E21" s="102" t="s">
        <v>1670</v>
      </c>
    </row>
    <row r="22" spans="1:5" ht="19.5" customHeight="1" x14ac:dyDescent="0.35">
      <c r="A22" s="122" t="s">
        <v>1704</v>
      </c>
      <c r="B22" s="122"/>
      <c r="C22" s="122"/>
      <c r="D22" s="122"/>
      <c r="E22" s="122"/>
    </row>
    <row r="23" spans="1:5" ht="27.75" customHeight="1" x14ac:dyDescent="0.35">
      <c r="A23" s="30"/>
      <c r="B23" s="101" t="s">
        <v>335</v>
      </c>
      <c r="C23" s="30" t="s">
        <v>1705</v>
      </c>
      <c r="D23" s="30" t="s">
        <v>1706</v>
      </c>
      <c r="E23" s="102" t="s">
        <v>1674</v>
      </c>
    </row>
    <row r="24" spans="1:5" ht="27.75" customHeight="1" x14ac:dyDescent="0.35">
      <c r="A24" s="30"/>
      <c r="B24" s="101" t="s">
        <v>163</v>
      </c>
      <c r="C24" s="30" t="s">
        <v>1707</v>
      </c>
      <c r="D24" s="30" t="s">
        <v>1708</v>
      </c>
      <c r="E24" s="102" t="s">
        <v>1674</v>
      </c>
    </row>
    <row r="25" spans="1:5" ht="64.5" customHeight="1" x14ac:dyDescent="0.35">
      <c r="A25" s="30"/>
      <c r="B25" s="101" t="s">
        <v>1709</v>
      </c>
      <c r="C25" s="30" t="s">
        <v>1710</v>
      </c>
      <c r="D25" s="30" t="s">
        <v>1711</v>
      </c>
      <c r="E25" s="102" t="s">
        <v>1670</v>
      </c>
    </row>
    <row r="26" spans="1:5" ht="90" customHeight="1" x14ac:dyDescent="0.35">
      <c r="A26" s="30"/>
      <c r="B26" s="101" t="s">
        <v>1686</v>
      </c>
      <c r="C26" s="30" t="s">
        <v>1712</v>
      </c>
      <c r="D26" s="30" t="s">
        <v>1713</v>
      </c>
      <c r="E26" s="102" t="s">
        <v>1689</v>
      </c>
    </row>
    <row r="27" spans="1:5" ht="19.5" customHeight="1" x14ac:dyDescent="0.35">
      <c r="A27" s="123" t="s">
        <v>1714</v>
      </c>
      <c r="B27" s="123"/>
      <c r="C27" s="123"/>
      <c r="D27" s="123"/>
      <c r="E27" s="123"/>
    </row>
    <row r="28" spans="1:5" ht="40.5" customHeight="1" x14ac:dyDescent="0.35">
      <c r="A28" s="30"/>
      <c r="B28" s="101" t="s">
        <v>141</v>
      </c>
      <c r="C28" s="30" t="s">
        <v>1715</v>
      </c>
      <c r="D28" s="30" t="s">
        <v>1716</v>
      </c>
      <c r="E28" s="102" t="s">
        <v>1674</v>
      </c>
    </row>
    <row r="29" spans="1:5" ht="30" customHeight="1" x14ac:dyDescent="0.35">
      <c r="A29" s="30"/>
      <c r="B29" s="101" t="s">
        <v>1717</v>
      </c>
      <c r="C29" s="30" t="s">
        <v>1718</v>
      </c>
      <c r="D29" s="30" t="s">
        <v>1719</v>
      </c>
      <c r="E29" s="102" t="s">
        <v>1674</v>
      </c>
    </row>
    <row r="30" spans="1:5" ht="30.75" customHeight="1" x14ac:dyDescent="0.35">
      <c r="A30" s="30"/>
      <c r="B30" s="101" t="s">
        <v>1720</v>
      </c>
      <c r="C30" s="30" t="s">
        <v>1721</v>
      </c>
      <c r="D30" s="30" t="s">
        <v>1722</v>
      </c>
      <c r="E30" s="102" t="s">
        <v>1674</v>
      </c>
    </row>
    <row r="31" spans="1:5" ht="28.5" customHeight="1" x14ac:dyDescent="0.35">
      <c r="A31" s="30"/>
      <c r="B31" s="101" t="s">
        <v>343</v>
      </c>
      <c r="C31" s="30" t="s">
        <v>1677</v>
      </c>
      <c r="D31" s="30" t="s">
        <v>1723</v>
      </c>
      <c r="E31" s="102" t="s">
        <v>1674</v>
      </c>
    </row>
    <row r="32" spans="1:5" ht="27" customHeight="1" x14ac:dyDescent="0.35">
      <c r="A32" s="30"/>
      <c r="B32" s="101" t="s">
        <v>340</v>
      </c>
      <c r="C32" s="30" t="s">
        <v>1724</v>
      </c>
      <c r="D32" s="30" t="s">
        <v>1725</v>
      </c>
      <c r="E32" s="102" t="s">
        <v>1670</v>
      </c>
    </row>
    <row r="34" spans="1:5" ht="15" customHeight="1" x14ac:dyDescent="0.35">
      <c r="A34" s="124" t="s">
        <v>1726</v>
      </c>
      <c r="B34" s="124"/>
      <c r="C34" s="124"/>
      <c r="D34" s="124"/>
      <c r="E34" s="124"/>
    </row>
    <row r="35" spans="1:5" ht="27.75" customHeight="1" x14ac:dyDescent="0.35">
      <c r="A35" s="100" t="s">
        <v>1662</v>
      </c>
      <c r="B35" s="100" t="s">
        <v>1727</v>
      </c>
      <c r="D35" s="125" t="s">
        <v>1728</v>
      </c>
      <c r="E35" s="125"/>
    </row>
    <row r="36" spans="1:5" ht="25.5" customHeight="1" x14ac:dyDescent="0.35">
      <c r="A36" s="103" t="s">
        <v>1729</v>
      </c>
      <c r="B36" s="104" t="s">
        <v>1674</v>
      </c>
      <c r="D36" s="126" t="s">
        <v>1730</v>
      </c>
      <c r="E36" s="126"/>
    </row>
    <row r="37" spans="1:5" ht="16.5" customHeight="1" x14ac:dyDescent="0.35">
      <c r="A37" s="103" t="s">
        <v>1731</v>
      </c>
      <c r="B37" s="105" t="s">
        <v>1674</v>
      </c>
      <c r="D37" s="126" t="s">
        <v>1732</v>
      </c>
      <c r="E37" s="126"/>
    </row>
    <row r="38" spans="1:5" ht="21.75" customHeight="1" x14ac:dyDescent="0.35">
      <c r="A38" s="103" t="s">
        <v>1733</v>
      </c>
      <c r="B38" s="106" t="s">
        <v>1734</v>
      </c>
      <c r="D38" s="126" t="s">
        <v>1735</v>
      </c>
      <c r="E38" s="126"/>
    </row>
    <row r="39" spans="1:5" ht="28.5" customHeight="1" x14ac:dyDescent="0.35">
      <c r="A39" s="103" t="s">
        <v>1736</v>
      </c>
      <c r="B39" s="107" t="s">
        <v>1737</v>
      </c>
      <c r="D39" s="126" t="s">
        <v>1738</v>
      </c>
      <c r="E39" s="126"/>
    </row>
    <row r="40" spans="1:5" ht="15" customHeight="1" x14ac:dyDescent="0.35">
      <c r="A40" s="103" t="s">
        <v>1739</v>
      </c>
      <c r="B40" s="108" t="s">
        <v>1737</v>
      </c>
      <c r="D40" s="126" t="s">
        <v>1740</v>
      </c>
      <c r="E40" s="126"/>
    </row>
    <row r="42" spans="1:5" x14ac:dyDescent="0.35">
      <c r="A42" s="19" t="s">
        <v>1741</v>
      </c>
    </row>
    <row r="43" spans="1:5" x14ac:dyDescent="0.35">
      <c r="A43" s="25" t="s">
        <v>1662</v>
      </c>
      <c r="B43" s="25" t="s">
        <v>1663</v>
      </c>
      <c r="C43" s="25" t="s">
        <v>1664</v>
      </c>
      <c r="D43" s="25" t="s">
        <v>1665</v>
      </c>
      <c r="E43" s="25" t="s">
        <v>1666</v>
      </c>
    </row>
    <row r="44" spans="1:5" ht="26" x14ac:dyDescent="0.35">
      <c r="A44" s="21" t="s">
        <v>1733</v>
      </c>
      <c r="B44" s="21" t="s">
        <v>1742</v>
      </c>
      <c r="C44" s="21" t="s">
        <v>1743</v>
      </c>
      <c r="D44" s="21" t="s">
        <v>1744</v>
      </c>
      <c r="E44" s="21" t="s">
        <v>1674</v>
      </c>
    </row>
    <row r="45" spans="1:5" ht="26" x14ac:dyDescent="0.35">
      <c r="A45" s="21" t="s">
        <v>1739</v>
      </c>
      <c r="B45" s="21" t="s">
        <v>1745</v>
      </c>
      <c r="C45" s="21" t="s">
        <v>1746</v>
      </c>
      <c r="D45" s="21" t="s">
        <v>1747</v>
      </c>
      <c r="E45" s="21" t="s">
        <v>1670</v>
      </c>
    </row>
    <row r="46" spans="1:5" ht="26" x14ac:dyDescent="0.35">
      <c r="A46" s="21" t="s">
        <v>1729</v>
      </c>
      <c r="B46" s="21" t="s">
        <v>1748</v>
      </c>
      <c r="C46" s="21" t="s">
        <v>1749</v>
      </c>
      <c r="D46" s="21" t="s">
        <v>1750</v>
      </c>
      <c r="E46" s="21" t="s">
        <v>1674</v>
      </c>
    </row>
    <row r="47" spans="1:5" ht="26" x14ac:dyDescent="0.35">
      <c r="A47" s="21" t="s">
        <v>1736</v>
      </c>
      <c r="B47" s="21" t="s">
        <v>1751</v>
      </c>
      <c r="C47" s="21" t="s">
        <v>1752</v>
      </c>
      <c r="D47" s="21" t="s">
        <v>1753</v>
      </c>
      <c r="E47" s="21" t="s">
        <v>1670</v>
      </c>
    </row>
    <row r="48" spans="1:5" ht="26" x14ac:dyDescent="0.35">
      <c r="A48" s="21" t="s">
        <v>1731</v>
      </c>
      <c r="B48" s="21" t="s">
        <v>305</v>
      </c>
      <c r="C48" s="21" t="s">
        <v>1754</v>
      </c>
      <c r="D48" s="21" t="s">
        <v>1755</v>
      </c>
      <c r="E48" s="21" t="s">
        <v>1674</v>
      </c>
    </row>
  </sheetData>
  <mergeCells count="14">
    <mergeCell ref="D37:E37"/>
    <mergeCell ref="D38:E38"/>
    <mergeCell ref="D39:E39"/>
    <mergeCell ref="D40:E40"/>
    <mergeCell ref="A22:E22"/>
    <mergeCell ref="A27:E27"/>
    <mergeCell ref="A34:E34"/>
    <mergeCell ref="D35:E35"/>
    <mergeCell ref="D36:E36"/>
    <mergeCell ref="A1:E1"/>
    <mergeCell ref="A2:E3"/>
    <mergeCell ref="A6:E6"/>
    <mergeCell ref="A11:E11"/>
    <mergeCell ref="A16:E1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7"/>
  <sheetViews>
    <sheetView zoomScaleNormal="100" workbookViewId="0"/>
  </sheetViews>
  <sheetFormatPr defaultColWidth="8.6328125" defaultRowHeight="14.5" x14ac:dyDescent="0.35"/>
  <cols>
    <col min="1" max="1" width="30" customWidth="1"/>
    <col min="2" max="2" width="22" customWidth="1"/>
    <col min="3" max="3" width="52" customWidth="1"/>
    <col min="4" max="4" width="70" customWidth="1"/>
    <col min="5" max="5" width="16" customWidth="1"/>
  </cols>
  <sheetData>
    <row r="1" spans="1:5" ht="18.5" x14ac:dyDescent="0.35">
      <c r="A1" s="81" t="s">
        <v>1756</v>
      </c>
    </row>
    <row r="2" spans="1:5" x14ac:dyDescent="0.35">
      <c r="A2" s="82" t="s">
        <v>1757</v>
      </c>
    </row>
    <row r="4" spans="1:5" x14ac:dyDescent="0.35">
      <c r="A4" s="127" t="s">
        <v>1758</v>
      </c>
      <c r="B4" s="127"/>
      <c r="C4" s="127"/>
      <c r="D4" s="127"/>
      <c r="E4" s="127"/>
    </row>
    <row r="5" spans="1:5" x14ac:dyDescent="0.35">
      <c r="A5" s="25" t="s">
        <v>1759</v>
      </c>
      <c r="B5" s="25" t="s">
        <v>105</v>
      </c>
      <c r="C5" s="25" t="s">
        <v>1760</v>
      </c>
      <c r="D5" s="25" t="s">
        <v>1761</v>
      </c>
      <c r="E5" s="25" t="s">
        <v>1762</v>
      </c>
    </row>
    <row r="6" spans="1:5" ht="30" customHeight="1" x14ac:dyDescent="0.35">
      <c r="A6" s="109" t="s">
        <v>1763</v>
      </c>
      <c r="B6" s="109" t="s">
        <v>1764</v>
      </c>
      <c r="C6" s="109" t="s">
        <v>1765</v>
      </c>
      <c r="D6" s="109" t="s">
        <v>1766</v>
      </c>
      <c r="E6" s="109" t="s">
        <v>1767</v>
      </c>
    </row>
    <row r="7" spans="1:5" ht="30" customHeight="1" x14ac:dyDescent="0.35">
      <c r="A7" s="109" t="s">
        <v>1768</v>
      </c>
      <c r="B7" s="109" t="s">
        <v>1769</v>
      </c>
      <c r="C7" s="109" t="s">
        <v>1770</v>
      </c>
      <c r="D7" s="109" t="s">
        <v>1771</v>
      </c>
      <c r="E7" s="109" t="s">
        <v>1772</v>
      </c>
    </row>
    <row r="8" spans="1:5" ht="30" customHeight="1" x14ac:dyDescent="0.35">
      <c r="A8" s="109" t="s">
        <v>1773</v>
      </c>
      <c r="B8" s="109" t="s">
        <v>1774</v>
      </c>
      <c r="C8" s="109" t="s">
        <v>1775</v>
      </c>
      <c r="D8" s="109" t="s">
        <v>1776</v>
      </c>
      <c r="E8" s="109" t="s">
        <v>1772</v>
      </c>
    </row>
    <row r="9" spans="1:5" ht="30" customHeight="1" x14ac:dyDescent="0.35">
      <c r="A9" s="109" t="s">
        <v>1777</v>
      </c>
      <c r="B9" s="109" t="s">
        <v>1778</v>
      </c>
      <c r="C9" s="109" t="s">
        <v>1779</v>
      </c>
      <c r="D9" s="109" t="s">
        <v>1780</v>
      </c>
      <c r="E9" s="109" t="s">
        <v>1767</v>
      </c>
    </row>
    <row r="10" spans="1:5" ht="30" customHeight="1" x14ac:dyDescent="0.35">
      <c r="A10" s="109" t="s">
        <v>1781</v>
      </c>
      <c r="B10" s="109" t="s">
        <v>1782</v>
      </c>
      <c r="C10" s="109" t="s">
        <v>1783</v>
      </c>
      <c r="D10" s="109" t="s">
        <v>1784</v>
      </c>
      <c r="E10" s="109" t="s">
        <v>1767</v>
      </c>
    </row>
    <row r="11" spans="1:5" ht="30" customHeight="1" x14ac:dyDescent="0.35">
      <c r="A11" s="109" t="s">
        <v>1785</v>
      </c>
      <c r="B11" s="109" t="s">
        <v>1786</v>
      </c>
      <c r="C11" s="109" t="s">
        <v>1787</v>
      </c>
      <c r="D11" s="109" t="s">
        <v>1788</v>
      </c>
      <c r="E11" s="109" t="s">
        <v>1772</v>
      </c>
    </row>
    <row r="12" spans="1:5" ht="30" customHeight="1" x14ac:dyDescent="0.35">
      <c r="A12" s="109" t="s">
        <v>1789</v>
      </c>
      <c r="B12" s="109" t="s">
        <v>1790</v>
      </c>
      <c r="C12" s="109" t="s">
        <v>1791</v>
      </c>
      <c r="D12" s="109" t="s">
        <v>1792</v>
      </c>
      <c r="E12" s="109" t="s">
        <v>1772</v>
      </c>
    </row>
    <row r="13" spans="1:5" ht="30" customHeight="1" x14ac:dyDescent="0.35">
      <c r="A13" s="109" t="s">
        <v>1793</v>
      </c>
      <c r="B13" s="109" t="s">
        <v>1794</v>
      </c>
      <c r="C13" s="109" t="s">
        <v>1795</v>
      </c>
      <c r="D13" s="109" t="s">
        <v>1796</v>
      </c>
      <c r="E13" s="109" t="s">
        <v>1797</v>
      </c>
    </row>
    <row r="14" spans="1:5" ht="30" customHeight="1" x14ac:dyDescent="0.35">
      <c r="A14" s="109" t="s">
        <v>1798</v>
      </c>
      <c r="B14" s="109" t="s">
        <v>1799</v>
      </c>
      <c r="C14" s="109" t="s">
        <v>1795</v>
      </c>
      <c r="D14" s="109" t="s">
        <v>1800</v>
      </c>
      <c r="E14" s="109" t="s">
        <v>1797</v>
      </c>
    </row>
    <row r="15" spans="1:5" ht="30" customHeight="1" x14ac:dyDescent="0.35">
      <c r="A15" s="109" t="s">
        <v>1801</v>
      </c>
      <c r="B15" s="109" t="s">
        <v>1802</v>
      </c>
      <c r="C15" s="109" t="s">
        <v>1803</v>
      </c>
      <c r="D15" s="109" t="s">
        <v>1804</v>
      </c>
      <c r="E15" s="109" t="s">
        <v>1772</v>
      </c>
    </row>
    <row r="17" spans="1:5" x14ac:dyDescent="0.35">
      <c r="A17" s="127" t="s">
        <v>1805</v>
      </c>
      <c r="B17" s="127"/>
      <c r="C17" s="127"/>
      <c r="D17" s="127"/>
      <c r="E17" s="127"/>
    </row>
    <row r="18" spans="1:5" x14ac:dyDescent="0.35">
      <c r="A18" s="25" t="s">
        <v>1759</v>
      </c>
      <c r="B18" s="25" t="s">
        <v>105</v>
      </c>
      <c r="C18" s="25" t="s">
        <v>1760</v>
      </c>
      <c r="D18" s="25" t="s">
        <v>1761</v>
      </c>
      <c r="E18" s="25" t="s">
        <v>1762</v>
      </c>
    </row>
    <row r="19" spans="1:5" ht="30" customHeight="1" x14ac:dyDescent="0.35">
      <c r="A19" s="109" t="s">
        <v>1806</v>
      </c>
      <c r="B19" s="109" t="s">
        <v>1807</v>
      </c>
      <c r="C19" s="109" t="s">
        <v>1808</v>
      </c>
      <c r="D19" s="109" t="s">
        <v>1809</v>
      </c>
      <c r="E19" s="109" t="s">
        <v>1767</v>
      </c>
    </row>
    <row r="20" spans="1:5" ht="30" customHeight="1" x14ac:dyDescent="0.35">
      <c r="A20" s="109" t="s">
        <v>1810</v>
      </c>
      <c r="B20" s="109" t="s">
        <v>1811</v>
      </c>
      <c r="C20" s="109" t="s">
        <v>1812</v>
      </c>
      <c r="D20" s="109" t="s">
        <v>1813</v>
      </c>
      <c r="E20" s="109" t="s">
        <v>1767</v>
      </c>
    </row>
    <row r="21" spans="1:5" ht="30" customHeight="1" x14ac:dyDescent="0.35">
      <c r="A21" s="109" t="s">
        <v>1814</v>
      </c>
      <c r="B21" s="109" t="s">
        <v>254</v>
      </c>
      <c r="C21" s="109" t="s">
        <v>1815</v>
      </c>
      <c r="D21" s="109" t="s">
        <v>1816</v>
      </c>
      <c r="E21" s="109" t="s">
        <v>1767</v>
      </c>
    </row>
    <row r="22" spans="1:5" ht="30" customHeight="1" x14ac:dyDescent="0.35">
      <c r="A22" s="109" t="s">
        <v>1817</v>
      </c>
      <c r="B22" s="109" t="s">
        <v>1818</v>
      </c>
      <c r="C22" s="109" t="s">
        <v>1819</v>
      </c>
      <c r="D22" s="109" t="s">
        <v>1820</v>
      </c>
      <c r="E22" s="109" t="s">
        <v>1821</v>
      </c>
    </row>
    <row r="23" spans="1:5" ht="30" customHeight="1" x14ac:dyDescent="0.35">
      <c r="A23" s="109" t="s">
        <v>1822</v>
      </c>
      <c r="B23" s="109" t="s">
        <v>1823</v>
      </c>
      <c r="C23" s="109" t="s">
        <v>1824</v>
      </c>
      <c r="D23" s="109" t="s">
        <v>1825</v>
      </c>
      <c r="E23" s="109" t="s">
        <v>1772</v>
      </c>
    </row>
    <row r="24" spans="1:5" ht="45" customHeight="1" x14ac:dyDescent="0.35">
      <c r="A24" s="109" t="s">
        <v>1826</v>
      </c>
      <c r="B24" s="109" t="s">
        <v>1686</v>
      </c>
      <c r="C24" s="109" t="s">
        <v>1827</v>
      </c>
      <c r="D24" s="109" t="s">
        <v>1828</v>
      </c>
      <c r="E24" s="109" t="s">
        <v>1829</v>
      </c>
    </row>
    <row r="26" spans="1:5" x14ac:dyDescent="0.35">
      <c r="A26" s="127" t="s">
        <v>1830</v>
      </c>
      <c r="B26" s="127"/>
      <c r="C26" s="127"/>
      <c r="D26" s="127"/>
      <c r="E26" s="127"/>
    </row>
    <row r="27" spans="1:5" x14ac:dyDescent="0.35">
      <c r="A27" s="25" t="s">
        <v>1759</v>
      </c>
      <c r="B27" s="25" t="s">
        <v>105</v>
      </c>
      <c r="C27" s="25" t="s">
        <v>1760</v>
      </c>
      <c r="D27" s="25" t="s">
        <v>1761</v>
      </c>
      <c r="E27" s="25" t="s">
        <v>1762</v>
      </c>
    </row>
    <row r="28" spans="1:5" ht="30" customHeight="1" x14ac:dyDescent="0.35">
      <c r="A28" s="109" t="s">
        <v>1831</v>
      </c>
      <c r="B28" s="109" t="s">
        <v>1832</v>
      </c>
      <c r="C28" s="109" t="s">
        <v>1833</v>
      </c>
      <c r="D28" s="109" t="s">
        <v>1834</v>
      </c>
      <c r="E28" s="109" t="s">
        <v>1767</v>
      </c>
    </row>
    <row r="29" spans="1:5" ht="30" customHeight="1" x14ac:dyDescent="0.35">
      <c r="A29" s="109" t="s">
        <v>1553</v>
      </c>
      <c r="B29" s="109" t="s">
        <v>1835</v>
      </c>
      <c r="C29" s="109" t="s">
        <v>1836</v>
      </c>
      <c r="D29" s="109" t="s">
        <v>1837</v>
      </c>
      <c r="E29" s="109" t="s">
        <v>1838</v>
      </c>
    </row>
    <row r="30" spans="1:5" ht="30" customHeight="1" x14ac:dyDescent="0.35">
      <c r="A30" s="109" t="s">
        <v>1839</v>
      </c>
      <c r="B30" s="109" t="s">
        <v>1840</v>
      </c>
      <c r="C30" s="109" t="s">
        <v>1841</v>
      </c>
      <c r="D30" s="109" t="s">
        <v>1842</v>
      </c>
      <c r="E30" s="109" t="s">
        <v>1838</v>
      </c>
    </row>
    <row r="31" spans="1:5" ht="30" customHeight="1" x14ac:dyDescent="0.35">
      <c r="A31" s="109" t="s">
        <v>1843</v>
      </c>
      <c r="B31" s="109" t="s">
        <v>1844</v>
      </c>
      <c r="C31" s="109" t="s">
        <v>1845</v>
      </c>
      <c r="D31" s="109" t="s">
        <v>1846</v>
      </c>
      <c r="E31" s="109" t="s">
        <v>1772</v>
      </c>
    </row>
    <row r="33" spans="1:5" x14ac:dyDescent="0.35">
      <c r="A33" s="127" t="s">
        <v>1847</v>
      </c>
      <c r="B33" s="127"/>
      <c r="C33" s="127"/>
      <c r="D33" s="127"/>
      <c r="E33" s="127"/>
    </row>
    <row r="34" spans="1:5" x14ac:dyDescent="0.35">
      <c r="A34" s="25" t="s">
        <v>1759</v>
      </c>
      <c r="B34" s="25" t="s">
        <v>105</v>
      </c>
      <c r="C34" s="25" t="s">
        <v>1760</v>
      </c>
      <c r="D34" s="25" t="s">
        <v>1761</v>
      </c>
      <c r="E34" s="25" t="s">
        <v>1762</v>
      </c>
    </row>
    <row r="35" spans="1:5" ht="30" customHeight="1" x14ac:dyDescent="0.35">
      <c r="A35" s="109" t="s">
        <v>1848</v>
      </c>
      <c r="B35" s="109" t="s">
        <v>1849</v>
      </c>
      <c r="C35" s="109" t="s">
        <v>1850</v>
      </c>
      <c r="D35" s="109" t="s">
        <v>1851</v>
      </c>
      <c r="E35" s="109" t="s">
        <v>1772</v>
      </c>
    </row>
    <row r="36" spans="1:5" ht="30" customHeight="1" x14ac:dyDescent="0.35">
      <c r="A36" s="109" t="s">
        <v>1852</v>
      </c>
      <c r="B36" s="109" t="s">
        <v>1853</v>
      </c>
      <c r="C36" s="109" t="s">
        <v>1854</v>
      </c>
      <c r="D36" s="109" t="s">
        <v>1855</v>
      </c>
      <c r="E36" s="109" t="s">
        <v>1767</v>
      </c>
    </row>
    <row r="37" spans="1:5" ht="30" customHeight="1" x14ac:dyDescent="0.35">
      <c r="A37" s="109" t="s">
        <v>1856</v>
      </c>
      <c r="B37" s="109" t="s">
        <v>1857</v>
      </c>
      <c r="C37" s="109" t="s">
        <v>1858</v>
      </c>
      <c r="D37" s="109" t="s">
        <v>1859</v>
      </c>
      <c r="E37" s="109" t="s">
        <v>1821</v>
      </c>
    </row>
    <row r="38" spans="1:5" ht="30" customHeight="1" x14ac:dyDescent="0.35">
      <c r="A38" s="109" t="s">
        <v>1860</v>
      </c>
      <c r="B38" s="109" t="s">
        <v>1861</v>
      </c>
      <c r="C38" s="109" t="s">
        <v>1862</v>
      </c>
      <c r="D38" s="109" t="s">
        <v>1863</v>
      </c>
      <c r="E38" s="109" t="s">
        <v>1821</v>
      </c>
    </row>
    <row r="39" spans="1:5" ht="30" customHeight="1" x14ac:dyDescent="0.35">
      <c r="A39" s="109" t="s">
        <v>1864</v>
      </c>
      <c r="B39" s="109" t="s">
        <v>1865</v>
      </c>
      <c r="C39" s="109" t="s">
        <v>1866</v>
      </c>
      <c r="D39" s="109" t="s">
        <v>1867</v>
      </c>
      <c r="E39" s="109" t="s">
        <v>1821</v>
      </c>
    </row>
    <row r="41" spans="1:5" x14ac:dyDescent="0.35">
      <c r="A41" s="127" t="s">
        <v>1868</v>
      </c>
      <c r="B41" s="127"/>
      <c r="C41" s="127"/>
      <c r="D41" s="127"/>
      <c r="E41" s="127"/>
    </row>
    <row r="42" spans="1:5" x14ac:dyDescent="0.35">
      <c r="A42" s="25" t="s">
        <v>1759</v>
      </c>
      <c r="B42" s="25" t="s">
        <v>105</v>
      </c>
      <c r="C42" s="25" t="s">
        <v>1760</v>
      </c>
      <c r="D42" s="25" t="s">
        <v>1761</v>
      </c>
      <c r="E42" s="25" t="s">
        <v>1762</v>
      </c>
    </row>
    <row r="43" spans="1:5" ht="30" customHeight="1" x14ac:dyDescent="0.35">
      <c r="A43" s="109" t="s">
        <v>1869</v>
      </c>
      <c r="B43" s="109" t="s">
        <v>1870</v>
      </c>
      <c r="C43" s="109" t="s">
        <v>1871</v>
      </c>
      <c r="D43" s="109" t="s">
        <v>1872</v>
      </c>
      <c r="E43" s="109" t="s">
        <v>1767</v>
      </c>
    </row>
    <row r="44" spans="1:5" ht="30" customHeight="1" x14ac:dyDescent="0.35">
      <c r="A44" s="109" t="s">
        <v>1873</v>
      </c>
      <c r="B44" s="109" t="s">
        <v>1874</v>
      </c>
      <c r="C44" s="109" t="s">
        <v>1875</v>
      </c>
      <c r="D44" s="109" t="s">
        <v>1876</v>
      </c>
      <c r="E44" s="109" t="s">
        <v>1772</v>
      </c>
    </row>
    <row r="45" spans="1:5" ht="30" customHeight="1" x14ac:dyDescent="0.35">
      <c r="A45" s="109" t="s">
        <v>1877</v>
      </c>
      <c r="B45" s="109" t="s">
        <v>1878</v>
      </c>
      <c r="C45" s="109" t="s">
        <v>1879</v>
      </c>
      <c r="D45" s="109" t="s">
        <v>1880</v>
      </c>
      <c r="E45" s="109" t="s">
        <v>1881</v>
      </c>
    </row>
    <row r="47" spans="1:5" x14ac:dyDescent="0.35">
      <c r="A47" s="127" t="s">
        <v>1882</v>
      </c>
      <c r="B47" s="127"/>
      <c r="C47" s="127"/>
      <c r="D47" s="127"/>
      <c r="E47" s="127"/>
    </row>
    <row r="48" spans="1:5" x14ac:dyDescent="0.35">
      <c r="A48" s="25" t="s">
        <v>1759</v>
      </c>
      <c r="B48" s="25" t="s">
        <v>105</v>
      </c>
      <c r="C48" s="25" t="s">
        <v>1760</v>
      </c>
      <c r="D48" s="25" t="s">
        <v>1761</v>
      </c>
      <c r="E48" s="25" t="s">
        <v>1762</v>
      </c>
    </row>
    <row r="49" spans="1:5" ht="30" customHeight="1" x14ac:dyDescent="0.35">
      <c r="A49" s="109" t="s">
        <v>1883</v>
      </c>
      <c r="B49" s="109" t="s">
        <v>1884</v>
      </c>
      <c r="C49" s="109" t="s">
        <v>1885</v>
      </c>
      <c r="D49" s="109" t="s">
        <v>1886</v>
      </c>
      <c r="E49" s="109" t="s">
        <v>1821</v>
      </c>
    </row>
    <row r="50" spans="1:5" ht="30" customHeight="1" x14ac:dyDescent="0.35">
      <c r="A50" s="109" t="s">
        <v>1887</v>
      </c>
      <c r="B50" s="109" t="s">
        <v>288</v>
      </c>
      <c r="C50" s="109" t="s">
        <v>1888</v>
      </c>
      <c r="D50" s="109" t="s">
        <v>1889</v>
      </c>
      <c r="E50" s="109" t="s">
        <v>1821</v>
      </c>
    </row>
    <row r="51" spans="1:5" ht="30" customHeight="1" x14ac:dyDescent="0.35">
      <c r="A51" s="109" t="s">
        <v>1890</v>
      </c>
      <c r="B51" s="109" t="s">
        <v>1891</v>
      </c>
      <c r="C51" s="109" t="s">
        <v>1892</v>
      </c>
      <c r="D51" s="109" t="s">
        <v>1893</v>
      </c>
      <c r="E51" s="109" t="s">
        <v>1821</v>
      </c>
    </row>
    <row r="52" spans="1:5" ht="30" customHeight="1" x14ac:dyDescent="0.35">
      <c r="A52" s="109" t="s">
        <v>1894</v>
      </c>
      <c r="B52" s="109" t="s">
        <v>1895</v>
      </c>
      <c r="C52" s="109" t="s">
        <v>1896</v>
      </c>
      <c r="D52" s="109" t="s">
        <v>1897</v>
      </c>
      <c r="E52" s="109" t="s">
        <v>1821</v>
      </c>
    </row>
    <row r="54" spans="1:5" x14ac:dyDescent="0.35">
      <c r="A54" s="127" t="s">
        <v>1898</v>
      </c>
      <c r="B54" s="127"/>
      <c r="C54" s="127"/>
      <c r="D54" s="127"/>
      <c r="E54" s="127"/>
    </row>
    <row r="55" spans="1:5" x14ac:dyDescent="0.35">
      <c r="A55" s="25" t="s">
        <v>1759</v>
      </c>
      <c r="B55" s="25" t="s">
        <v>105</v>
      </c>
      <c r="C55" s="25" t="s">
        <v>1760</v>
      </c>
      <c r="D55" s="25" t="s">
        <v>1761</v>
      </c>
      <c r="E55" s="25" t="s">
        <v>1762</v>
      </c>
    </row>
    <row r="56" spans="1:5" ht="30" customHeight="1" x14ac:dyDescent="0.35">
      <c r="A56" s="109" t="s">
        <v>1899</v>
      </c>
      <c r="B56" s="109" t="s">
        <v>1900</v>
      </c>
      <c r="C56" s="109" t="s">
        <v>1901</v>
      </c>
      <c r="D56" s="109" t="s">
        <v>1902</v>
      </c>
      <c r="E56" s="109" t="s">
        <v>1772</v>
      </c>
    </row>
    <row r="57" spans="1:5" ht="30" customHeight="1" x14ac:dyDescent="0.35">
      <c r="A57" s="109" t="s">
        <v>1903</v>
      </c>
      <c r="B57" s="109" t="s">
        <v>1904</v>
      </c>
      <c r="C57" s="109" t="s">
        <v>1905</v>
      </c>
      <c r="D57" s="109" t="s">
        <v>1906</v>
      </c>
      <c r="E57" s="109" t="s">
        <v>1821</v>
      </c>
    </row>
    <row r="58" spans="1:5" ht="30" customHeight="1" x14ac:dyDescent="0.35">
      <c r="A58" s="109" t="s">
        <v>1907</v>
      </c>
      <c r="B58" s="109" t="s">
        <v>1908</v>
      </c>
      <c r="C58" s="109" t="s">
        <v>1909</v>
      </c>
      <c r="D58" s="109" t="s">
        <v>1910</v>
      </c>
      <c r="E58" s="109" t="s">
        <v>1821</v>
      </c>
    </row>
    <row r="59" spans="1:5" ht="30" customHeight="1" x14ac:dyDescent="0.35">
      <c r="A59" s="109" t="s">
        <v>1911</v>
      </c>
      <c r="B59" s="109" t="s">
        <v>1912</v>
      </c>
      <c r="C59" s="109" t="s">
        <v>1913</v>
      </c>
      <c r="D59" s="109" t="s">
        <v>1914</v>
      </c>
      <c r="E59" s="109" t="s">
        <v>1772</v>
      </c>
    </row>
    <row r="61" spans="1:5" x14ac:dyDescent="0.35">
      <c r="A61" s="127" t="s">
        <v>1915</v>
      </c>
      <c r="B61" s="127"/>
      <c r="C61" s="127"/>
      <c r="D61" s="127"/>
      <c r="E61" s="127"/>
    </row>
    <row r="62" spans="1:5" x14ac:dyDescent="0.35">
      <c r="A62" s="25" t="s">
        <v>1759</v>
      </c>
      <c r="B62" s="25" t="s">
        <v>105</v>
      </c>
      <c r="C62" s="25" t="s">
        <v>1760</v>
      </c>
      <c r="D62" s="25" t="s">
        <v>1761</v>
      </c>
      <c r="E62" s="25" t="s">
        <v>1762</v>
      </c>
    </row>
    <row r="63" spans="1:5" ht="30" customHeight="1" x14ac:dyDescent="0.35">
      <c r="A63" s="109" t="s">
        <v>1916</v>
      </c>
      <c r="B63" s="109" t="s">
        <v>1917</v>
      </c>
      <c r="C63" s="109" t="s">
        <v>1918</v>
      </c>
      <c r="D63" s="109" t="s">
        <v>1919</v>
      </c>
      <c r="E63" s="109" t="s">
        <v>1821</v>
      </c>
    </row>
    <row r="64" spans="1:5" ht="30" customHeight="1" x14ac:dyDescent="0.35">
      <c r="A64" s="109" t="s">
        <v>1920</v>
      </c>
      <c r="B64" s="109" t="s">
        <v>1921</v>
      </c>
      <c r="C64" s="109" t="s">
        <v>1922</v>
      </c>
      <c r="D64" s="109" t="s">
        <v>1923</v>
      </c>
      <c r="E64" s="109" t="s">
        <v>1821</v>
      </c>
    </row>
    <row r="65" spans="1:5" ht="30" customHeight="1" x14ac:dyDescent="0.35">
      <c r="A65" s="109" t="s">
        <v>1924</v>
      </c>
      <c r="B65" s="109" t="s">
        <v>1925</v>
      </c>
      <c r="C65" s="109" t="s">
        <v>1926</v>
      </c>
      <c r="D65" s="109" t="s">
        <v>1927</v>
      </c>
      <c r="E65" s="109" t="s">
        <v>1821</v>
      </c>
    </row>
    <row r="67" spans="1:5" x14ac:dyDescent="0.35">
      <c r="A67" s="127" t="s">
        <v>1928</v>
      </c>
      <c r="B67" s="127"/>
      <c r="C67" s="127"/>
      <c r="D67" s="127"/>
      <c r="E67" s="127"/>
    </row>
    <row r="68" spans="1:5" x14ac:dyDescent="0.35">
      <c r="A68" s="25" t="s">
        <v>1759</v>
      </c>
      <c r="B68" s="25" t="s">
        <v>105</v>
      </c>
      <c r="C68" s="25" t="s">
        <v>1760</v>
      </c>
      <c r="D68" s="25" t="s">
        <v>1761</v>
      </c>
      <c r="E68" s="25" t="s">
        <v>1762</v>
      </c>
    </row>
    <row r="69" spans="1:5" ht="30" customHeight="1" x14ac:dyDescent="0.35">
      <c r="A69" s="109" t="s">
        <v>1929</v>
      </c>
      <c r="B69" s="109" t="s">
        <v>1930</v>
      </c>
      <c r="C69" s="109" t="s">
        <v>1931</v>
      </c>
      <c r="D69" s="109" t="s">
        <v>1932</v>
      </c>
      <c r="E69" s="109" t="s">
        <v>1821</v>
      </c>
    </row>
    <row r="70" spans="1:5" ht="30" customHeight="1" x14ac:dyDescent="0.35">
      <c r="A70" s="109" t="s">
        <v>1933</v>
      </c>
      <c r="B70" s="109" t="s">
        <v>1934</v>
      </c>
      <c r="C70" s="109" t="s">
        <v>1935</v>
      </c>
      <c r="D70" s="109" t="s">
        <v>1936</v>
      </c>
      <c r="E70" s="109" t="s">
        <v>1821</v>
      </c>
    </row>
    <row r="71" spans="1:5" ht="45" customHeight="1" x14ac:dyDescent="0.35">
      <c r="A71" s="109" t="s">
        <v>1937</v>
      </c>
      <c r="B71" s="109" t="s">
        <v>1938</v>
      </c>
      <c r="C71" s="109" t="s">
        <v>1939</v>
      </c>
      <c r="D71" s="109" t="s">
        <v>1940</v>
      </c>
      <c r="E71" s="109" t="s">
        <v>1881</v>
      </c>
    </row>
    <row r="72" spans="1:5" ht="30" customHeight="1" x14ac:dyDescent="0.35">
      <c r="A72" s="109" t="s">
        <v>1941</v>
      </c>
      <c r="B72" s="109" t="s">
        <v>1942</v>
      </c>
      <c r="C72" s="109" t="s">
        <v>1943</v>
      </c>
      <c r="D72" s="109" t="s">
        <v>1944</v>
      </c>
      <c r="E72" s="109" t="s">
        <v>1821</v>
      </c>
    </row>
    <row r="74" spans="1:5" x14ac:dyDescent="0.35">
      <c r="A74" s="127" t="s">
        <v>1945</v>
      </c>
      <c r="B74" s="127"/>
      <c r="C74" s="127"/>
      <c r="D74" s="127"/>
      <c r="E74" s="127"/>
    </row>
    <row r="75" spans="1:5" x14ac:dyDescent="0.35">
      <c r="A75" s="25" t="s">
        <v>1759</v>
      </c>
      <c r="B75" s="25" t="s">
        <v>105</v>
      </c>
      <c r="C75" s="25" t="s">
        <v>1760</v>
      </c>
      <c r="D75" s="25" t="s">
        <v>1761</v>
      </c>
      <c r="E75" s="25" t="s">
        <v>1762</v>
      </c>
    </row>
    <row r="76" spans="1:5" ht="30" customHeight="1" x14ac:dyDescent="0.35">
      <c r="A76" s="109" t="s">
        <v>1946</v>
      </c>
      <c r="B76" s="109" t="s">
        <v>1947</v>
      </c>
      <c r="C76" s="109" t="s">
        <v>1948</v>
      </c>
      <c r="D76" s="109" t="s">
        <v>1949</v>
      </c>
      <c r="E76" s="109" t="s">
        <v>1821</v>
      </c>
    </row>
    <row r="77" spans="1:5" ht="30" customHeight="1" x14ac:dyDescent="0.35">
      <c r="A77" s="109" t="s">
        <v>1950</v>
      </c>
      <c r="B77" s="109" t="s">
        <v>1951</v>
      </c>
      <c r="C77" s="109" t="s">
        <v>1952</v>
      </c>
      <c r="D77" s="109" t="s">
        <v>1953</v>
      </c>
      <c r="E77" s="109" t="s">
        <v>1772</v>
      </c>
    </row>
    <row r="78" spans="1:5" ht="30" customHeight="1" x14ac:dyDescent="0.35">
      <c r="A78" s="109" t="s">
        <v>1954</v>
      </c>
      <c r="B78" s="109" t="s">
        <v>1955</v>
      </c>
      <c r="C78" s="109" t="s">
        <v>1956</v>
      </c>
      <c r="D78" s="109" t="s">
        <v>1957</v>
      </c>
      <c r="E78" s="109" t="s">
        <v>1821</v>
      </c>
    </row>
    <row r="80" spans="1:5" x14ac:dyDescent="0.35">
      <c r="A80" s="127" t="s">
        <v>1958</v>
      </c>
      <c r="B80" s="127"/>
      <c r="C80" s="127"/>
      <c r="D80" s="127"/>
      <c r="E80" s="127"/>
    </row>
    <row r="81" spans="1:5" x14ac:dyDescent="0.35">
      <c r="A81" s="25" t="s">
        <v>1759</v>
      </c>
      <c r="B81" s="25" t="s">
        <v>105</v>
      </c>
      <c r="C81" s="25" t="s">
        <v>1760</v>
      </c>
      <c r="D81" s="25" t="s">
        <v>1761</v>
      </c>
      <c r="E81" s="25" t="s">
        <v>1762</v>
      </c>
    </row>
    <row r="82" spans="1:5" ht="30" customHeight="1" x14ac:dyDescent="0.35">
      <c r="A82" s="109" t="s">
        <v>1959</v>
      </c>
      <c r="B82" s="109" t="s">
        <v>1960</v>
      </c>
      <c r="C82" s="109" t="s">
        <v>1961</v>
      </c>
      <c r="D82" s="109" t="s">
        <v>1962</v>
      </c>
      <c r="E82" s="109" t="s">
        <v>1767</v>
      </c>
    </row>
    <row r="83" spans="1:5" ht="30" customHeight="1" x14ac:dyDescent="0.35">
      <c r="A83" s="109" t="s">
        <v>1963</v>
      </c>
      <c r="B83" s="109" t="s">
        <v>1964</v>
      </c>
      <c r="C83" s="109" t="s">
        <v>1965</v>
      </c>
      <c r="D83" s="109" t="s">
        <v>1966</v>
      </c>
      <c r="E83" s="109" t="s">
        <v>1772</v>
      </c>
    </row>
    <row r="84" spans="1:5" ht="30" customHeight="1" x14ac:dyDescent="0.35">
      <c r="A84" s="109" t="s">
        <v>1967</v>
      </c>
      <c r="B84" s="109" t="s">
        <v>1968</v>
      </c>
      <c r="C84" s="109" t="s">
        <v>1969</v>
      </c>
      <c r="D84" s="109" t="s">
        <v>1970</v>
      </c>
      <c r="E84" s="109" t="s">
        <v>1821</v>
      </c>
    </row>
    <row r="85" spans="1:5" ht="30" customHeight="1" x14ac:dyDescent="0.35">
      <c r="A85" s="109" t="s">
        <v>1971</v>
      </c>
      <c r="B85" s="109" t="s">
        <v>1972</v>
      </c>
      <c r="C85" s="109" t="s">
        <v>1973</v>
      </c>
      <c r="D85" s="109" t="s">
        <v>1974</v>
      </c>
      <c r="E85" s="109" t="s">
        <v>1772</v>
      </c>
    </row>
    <row r="86" spans="1:5" ht="30" customHeight="1" x14ac:dyDescent="0.35">
      <c r="A86" s="109" t="s">
        <v>1975</v>
      </c>
      <c r="B86" s="109" t="s">
        <v>1976</v>
      </c>
      <c r="C86" s="109" t="s">
        <v>1977</v>
      </c>
      <c r="D86" s="109" t="s">
        <v>1978</v>
      </c>
      <c r="E86" s="109" t="s">
        <v>1821</v>
      </c>
    </row>
    <row r="87" spans="1:5" ht="30" customHeight="1" x14ac:dyDescent="0.35">
      <c r="A87" s="109" t="s">
        <v>1979</v>
      </c>
      <c r="B87" s="109" t="s">
        <v>1980</v>
      </c>
      <c r="C87" s="109" t="s">
        <v>1981</v>
      </c>
      <c r="D87" s="109" t="s">
        <v>1982</v>
      </c>
      <c r="E87" s="109" t="s">
        <v>1821</v>
      </c>
    </row>
  </sheetData>
  <mergeCells count="11">
    <mergeCell ref="A80:E80"/>
    <mergeCell ref="A47:E47"/>
    <mergeCell ref="A54:E54"/>
    <mergeCell ref="A61:E61"/>
    <mergeCell ref="A67:E67"/>
    <mergeCell ref="A74:E74"/>
    <mergeCell ref="A4:E4"/>
    <mergeCell ref="A17:E17"/>
    <mergeCell ref="A26:E26"/>
    <mergeCell ref="A33:E33"/>
    <mergeCell ref="A41:E4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27"/>
  <sheetViews>
    <sheetView zoomScaleNormal="100" workbookViewId="0">
      <selection activeCell="D20" sqref="D20"/>
    </sheetView>
  </sheetViews>
  <sheetFormatPr defaultColWidth="8.6328125" defaultRowHeight="14.5" x14ac:dyDescent="0.35"/>
  <cols>
    <col min="1" max="1" width="150" customWidth="1"/>
  </cols>
  <sheetData>
    <row r="1" spans="1:1" x14ac:dyDescent="0.35">
      <c r="A1" s="19" t="s">
        <v>1983</v>
      </c>
    </row>
    <row r="2" spans="1:1" ht="39" x14ac:dyDescent="0.35">
      <c r="A2" s="21" t="s">
        <v>1984</v>
      </c>
    </row>
    <row r="3" spans="1:1" x14ac:dyDescent="0.35">
      <c r="A3" s="21"/>
    </row>
    <row r="4" spans="1:1" x14ac:dyDescent="0.35">
      <c r="A4" s="19" t="s">
        <v>1985</v>
      </c>
    </row>
    <row r="5" spans="1:1" ht="52" x14ac:dyDescent="0.35">
      <c r="A5" s="21" t="s">
        <v>1986</v>
      </c>
    </row>
    <row r="6" spans="1:1" ht="26" x14ac:dyDescent="0.35">
      <c r="A6" s="21" t="s">
        <v>1987</v>
      </c>
    </row>
    <row r="7" spans="1:1" x14ac:dyDescent="0.35">
      <c r="A7" s="21" t="s">
        <v>1988</v>
      </c>
    </row>
    <row r="8" spans="1:1" ht="39" x14ac:dyDescent="0.35">
      <c r="A8" s="21" t="s">
        <v>1989</v>
      </c>
    </row>
    <row r="9" spans="1:1" ht="26" x14ac:dyDescent="0.35">
      <c r="A9" s="21" t="s">
        <v>1990</v>
      </c>
    </row>
    <row r="10" spans="1:1" ht="26" x14ac:dyDescent="0.35">
      <c r="A10" s="21" t="s">
        <v>1991</v>
      </c>
    </row>
    <row r="11" spans="1:1" x14ac:dyDescent="0.35">
      <c r="A11" s="21"/>
    </row>
    <row r="12" spans="1:1" x14ac:dyDescent="0.35">
      <c r="A12" s="19" t="s">
        <v>1992</v>
      </c>
    </row>
    <row r="13" spans="1:1" x14ac:dyDescent="0.35">
      <c r="A13" s="21" t="s">
        <v>1993</v>
      </c>
    </row>
    <row r="14" spans="1:1" x14ac:dyDescent="0.35">
      <c r="A14" s="21" t="s">
        <v>1994</v>
      </c>
    </row>
    <row r="15" spans="1:1" x14ac:dyDescent="0.35">
      <c r="A15" s="21" t="s">
        <v>1995</v>
      </c>
    </row>
    <row r="16" spans="1:1" ht="26" x14ac:dyDescent="0.35">
      <c r="A16" s="21" t="s">
        <v>1996</v>
      </c>
    </row>
    <row r="17" spans="1:1" ht="26" x14ac:dyDescent="0.35">
      <c r="A17" s="21" t="s">
        <v>1997</v>
      </c>
    </row>
    <row r="18" spans="1:1" x14ac:dyDescent="0.35">
      <c r="A18" s="21" t="s">
        <v>1998</v>
      </c>
    </row>
    <row r="19" spans="1:1" ht="26" x14ac:dyDescent="0.35">
      <c r="A19" s="21" t="s">
        <v>1999</v>
      </c>
    </row>
    <row r="20" spans="1:1" x14ac:dyDescent="0.35">
      <c r="A20" s="21"/>
    </row>
    <row r="21" spans="1:1" x14ac:dyDescent="0.35">
      <c r="A21" s="19" t="s">
        <v>2000</v>
      </c>
    </row>
    <row r="22" spans="1:1" ht="26" x14ac:dyDescent="0.35">
      <c r="A22" s="21" t="s">
        <v>2001</v>
      </c>
    </row>
    <row r="23" spans="1:1" ht="26" x14ac:dyDescent="0.35">
      <c r="A23" s="21" t="s">
        <v>2002</v>
      </c>
    </row>
    <row r="24" spans="1:1" ht="26" x14ac:dyDescent="0.35">
      <c r="A24" s="21" t="s">
        <v>2003</v>
      </c>
    </row>
    <row r="25" spans="1:1" x14ac:dyDescent="0.35">
      <c r="A25" s="21" t="s">
        <v>2004</v>
      </c>
    </row>
    <row r="26" spans="1:1" x14ac:dyDescent="0.35">
      <c r="A26" s="21" t="s">
        <v>2005</v>
      </c>
    </row>
    <row r="27" spans="1:1" x14ac:dyDescent="0.35">
      <c r="A27" s="21" t="s">
        <v>2006</v>
      </c>
    </row>
  </sheetData>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0"/>
  <sheetViews>
    <sheetView zoomScaleNormal="100" workbookViewId="0"/>
  </sheetViews>
  <sheetFormatPr defaultColWidth="8.6328125" defaultRowHeight="14.5" x14ac:dyDescent="0.35"/>
  <cols>
    <col min="1" max="1" width="5" customWidth="1"/>
    <col min="2" max="2" width="28" customWidth="1"/>
    <col min="3" max="3" width="26" customWidth="1"/>
    <col min="4" max="4" width="70" customWidth="1"/>
    <col min="5" max="5" width="60" customWidth="1"/>
  </cols>
  <sheetData>
    <row r="1" spans="1:5" ht="18.5" x14ac:dyDescent="0.35">
      <c r="A1" s="81" t="s">
        <v>2007</v>
      </c>
    </row>
    <row r="3" spans="1:5" x14ac:dyDescent="0.35">
      <c r="A3" s="25" t="s">
        <v>103</v>
      </c>
      <c r="B3" s="25" t="s">
        <v>2008</v>
      </c>
      <c r="C3" s="25" t="s">
        <v>2009</v>
      </c>
      <c r="D3" s="25" t="s">
        <v>2010</v>
      </c>
      <c r="E3" s="25" t="s">
        <v>2011</v>
      </c>
    </row>
    <row r="4" spans="1:5" x14ac:dyDescent="0.35">
      <c r="A4" s="109">
        <v>1</v>
      </c>
      <c r="B4" s="109" t="s">
        <v>2012</v>
      </c>
      <c r="C4" s="109" t="s">
        <v>2013</v>
      </c>
      <c r="D4" s="109" t="s">
        <v>2014</v>
      </c>
      <c r="E4" s="109" t="s">
        <v>2015</v>
      </c>
    </row>
    <row r="5" spans="1:5" x14ac:dyDescent="0.35">
      <c r="A5" s="109">
        <v>2</v>
      </c>
      <c r="B5" s="109" t="s">
        <v>2012</v>
      </c>
      <c r="C5" s="109" t="s">
        <v>2016</v>
      </c>
      <c r="D5" s="109" t="s">
        <v>2017</v>
      </c>
      <c r="E5" s="109" t="s">
        <v>2015</v>
      </c>
    </row>
    <row r="6" spans="1:5" x14ac:dyDescent="0.35">
      <c r="A6" s="109">
        <v>3</v>
      </c>
      <c r="B6" s="109" t="s">
        <v>2012</v>
      </c>
      <c r="C6" s="109" t="s">
        <v>2018</v>
      </c>
      <c r="D6" s="109" t="s">
        <v>2019</v>
      </c>
      <c r="E6" s="109" t="s">
        <v>2015</v>
      </c>
    </row>
    <row r="7" spans="1:5" ht="26" x14ac:dyDescent="0.35">
      <c r="A7" s="109">
        <v>4</v>
      </c>
      <c r="B7" s="109" t="s">
        <v>2012</v>
      </c>
      <c r="C7" s="109" t="s">
        <v>2020</v>
      </c>
      <c r="D7" s="109" t="s">
        <v>2021</v>
      </c>
      <c r="E7" s="109" t="s">
        <v>2015</v>
      </c>
    </row>
    <row r="8" spans="1:5" x14ac:dyDescent="0.35">
      <c r="A8" s="109">
        <v>5</v>
      </c>
      <c r="B8" s="109" t="s">
        <v>2012</v>
      </c>
      <c r="C8" s="109" t="s">
        <v>2022</v>
      </c>
      <c r="D8" s="109" t="s">
        <v>2023</v>
      </c>
      <c r="E8" s="109" t="s">
        <v>2015</v>
      </c>
    </row>
    <row r="9" spans="1:5" x14ac:dyDescent="0.35">
      <c r="A9" s="109">
        <v>6</v>
      </c>
      <c r="B9" s="109" t="s">
        <v>2012</v>
      </c>
      <c r="C9" s="109" t="s">
        <v>2024</v>
      </c>
      <c r="D9" s="109" t="s">
        <v>2025</v>
      </c>
      <c r="E9" s="109" t="s">
        <v>2015</v>
      </c>
    </row>
    <row r="10" spans="1:5" x14ac:dyDescent="0.35">
      <c r="A10" s="109">
        <v>7</v>
      </c>
      <c r="B10" s="109" t="s">
        <v>2012</v>
      </c>
      <c r="C10" s="109" t="s">
        <v>2026</v>
      </c>
      <c r="D10" s="109" t="s">
        <v>2027</v>
      </c>
      <c r="E10" s="109" t="s">
        <v>2015</v>
      </c>
    </row>
    <row r="11" spans="1:5" x14ac:dyDescent="0.35">
      <c r="A11" s="109">
        <v>8</v>
      </c>
      <c r="B11" s="109" t="s">
        <v>2012</v>
      </c>
      <c r="C11" s="109" t="s">
        <v>2028</v>
      </c>
      <c r="D11" s="109" t="s">
        <v>2029</v>
      </c>
      <c r="E11" s="109" t="s">
        <v>2015</v>
      </c>
    </row>
    <row r="12" spans="1:5" x14ac:dyDescent="0.35">
      <c r="A12" s="109">
        <v>9</v>
      </c>
      <c r="B12" s="109" t="s">
        <v>2012</v>
      </c>
      <c r="C12" s="109" t="s">
        <v>2030</v>
      </c>
      <c r="D12" s="109" t="s">
        <v>2031</v>
      </c>
      <c r="E12" s="109" t="s">
        <v>2015</v>
      </c>
    </row>
    <row r="13" spans="1:5" x14ac:dyDescent="0.35">
      <c r="A13" s="109">
        <v>10</v>
      </c>
      <c r="B13" s="109" t="s">
        <v>2012</v>
      </c>
      <c r="C13" s="109" t="s">
        <v>2032</v>
      </c>
      <c r="D13" s="109" t="s">
        <v>2033</v>
      </c>
      <c r="E13" s="109" t="s">
        <v>2015</v>
      </c>
    </row>
    <row r="14" spans="1:5" x14ac:dyDescent="0.35">
      <c r="A14" s="109">
        <v>11</v>
      </c>
      <c r="B14" s="109" t="s">
        <v>2012</v>
      </c>
      <c r="C14" s="109" t="s">
        <v>2034</v>
      </c>
      <c r="D14" s="109" t="s">
        <v>2035</v>
      </c>
      <c r="E14" s="109" t="s">
        <v>2015</v>
      </c>
    </row>
    <row r="15" spans="1:5" x14ac:dyDescent="0.35">
      <c r="A15" s="109">
        <v>12</v>
      </c>
      <c r="B15" s="109" t="s">
        <v>2012</v>
      </c>
      <c r="C15" s="109" t="s">
        <v>2036</v>
      </c>
      <c r="D15" s="109" t="s">
        <v>2037</v>
      </c>
      <c r="E15" s="109" t="s">
        <v>2015</v>
      </c>
    </row>
    <row r="16" spans="1:5" x14ac:dyDescent="0.35">
      <c r="A16" s="109">
        <v>13</v>
      </c>
      <c r="B16" s="109" t="s">
        <v>2012</v>
      </c>
      <c r="C16" s="109" t="s">
        <v>2038</v>
      </c>
      <c r="D16" s="109" t="s">
        <v>2039</v>
      </c>
      <c r="E16" s="109" t="s">
        <v>2040</v>
      </c>
    </row>
    <row r="17" spans="1:5" x14ac:dyDescent="0.35">
      <c r="A17" s="109">
        <v>14</v>
      </c>
      <c r="B17" s="109" t="s">
        <v>2012</v>
      </c>
      <c r="C17" s="109" t="s">
        <v>2041</v>
      </c>
      <c r="D17" s="109" t="s">
        <v>2042</v>
      </c>
      <c r="E17" s="109" t="s">
        <v>2040</v>
      </c>
    </row>
    <row r="18" spans="1:5" x14ac:dyDescent="0.35">
      <c r="A18" s="109">
        <v>15</v>
      </c>
      <c r="B18" s="109" t="s">
        <v>2012</v>
      </c>
      <c r="C18" s="109" t="s">
        <v>2043</v>
      </c>
      <c r="D18" s="109" t="s">
        <v>2044</v>
      </c>
      <c r="E18" s="109" t="s">
        <v>2040</v>
      </c>
    </row>
    <row r="19" spans="1:5" ht="26" x14ac:dyDescent="0.35">
      <c r="A19" s="109">
        <v>16</v>
      </c>
      <c r="B19" s="109" t="s">
        <v>2012</v>
      </c>
      <c r="C19" s="109" t="s">
        <v>2045</v>
      </c>
      <c r="D19" s="109" t="s">
        <v>2046</v>
      </c>
      <c r="E19" s="109" t="s">
        <v>2047</v>
      </c>
    </row>
    <row r="20" spans="1:5" x14ac:dyDescent="0.35">
      <c r="A20" s="109">
        <v>17</v>
      </c>
      <c r="B20" s="109" t="s">
        <v>2012</v>
      </c>
      <c r="C20" s="109" t="s">
        <v>2048</v>
      </c>
      <c r="D20" s="109" t="s">
        <v>2049</v>
      </c>
      <c r="E20" s="109" t="s">
        <v>2050</v>
      </c>
    </row>
    <row r="21" spans="1:5" x14ac:dyDescent="0.35">
      <c r="A21" s="109">
        <v>18</v>
      </c>
      <c r="B21" s="109" t="s">
        <v>2012</v>
      </c>
      <c r="C21" s="109" t="s">
        <v>2051</v>
      </c>
      <c r="D21" s="109" t="s">
        <v>2052</v>
      </c>
      <c r="E21" s="109" t="s">
        <v>2053</v>
      </c>
    </row>
    <row r="22" spans="1:5" x14ac:dyDescent="0.35">
      <c r="A22" s="109">
        <v>19</v>
      </c>
      <c r="B22" s="109" t="s">
        <v>2012</v>
      </c>
      <c r="C22" s="109" t="s">
        <v>2054</v>
      </c>
      <c r="D22" s="109" t="s">
        <v>2055</v>
      </c>
      <c r="E22" s="109" t="s">
        <v>2056</v>
      </c>
    </row>
    <row r="23" spans="1:5" x14ac:dyDescent="0.35">
      <c r="A23" s="109">
        <v>20</v>
      </c>
      <c r="B23" s="109" t="s">
        <v>2012</v>
      </c>
      <c r="C23" s="109" t="s">
        <v>2057</v>
      </c>
      <c r="D23" s="109" t="s">
        <v>2058</v>
      </c>
      <c r="E23" s="109" t="s">
        <v>2059</v>
      </c>
    </row>
    <row r="24" spans="1:5" ht="39" x14ac:dyDescent="0.35">
      <c r="A24" s="109">
        <v>21</v>
      </c>
      <c r="B24" s="109" t="s">
        <v>2012</v>
      </c>
      <c r="C24" s="109" t="s">
        <v>2060</v>
      </c>
      <c r="D24" s="109" t="s">
        <v>2061</v>
      </c>
      <c r="E24" s="109" t="s">
        <v>2062</v>
      </c>
    </row>
    <row r="25" spans="1:5" ht="26" x14ac:dyDescent="0.35">
      <c r="A25" s="109">
        <v>22</v>
      </c>
      <c r="B25" s="109" t="s">
        <v>2012</v>
      </c>
      <c r="C25" s="109" t="s">
        <v>2063</v>
      </c>
      <c r="D25" s="109" t="s">
        <v>2064</v>
      </c>
      <c r="E25" s="109" t="s">
        <v>2065</v>
      </c>
    </row>
    <row r="26" spans="1:5" ht="26" x14ac:dyDescent="0.35">
      <c r="A26" s="109">
        <v>23</v>
      </c>
      <c r="B26" s="109" t="s">
        <v>2012</v>
      </c>
      <c r="C26" s="109" t="s">
        <v>2066</v>
      </c>
      <c r="D26" s="109" t="s">
        <v>2067</v>
      </c>
      <c r="E26" s="109" t="s">
        <v>2068</v>
      </c>
    </row>
    <row r="27" spans="1:5" x14ac:dyDescent="0.35">
      <c r="A27" s="109">
        <v>24</v>
      </c>
      <c r="B27" s="109" t="s">
        <v>2012</v>
      </c>
      <c r="C27" s="109" t="s">
        <v>2069</v>
      </c>
      <c r="D27" s="109" t="s">
        <v>2070</v>
      </c>
      <c r="E27" s="109" t="s">
        <v>2071</v>
      </c>
    </row>
    <row r="28" spans="1:5" ht="26" x14ac:dyDescent="0.35">
      <c r="A28" s="109">
        <v>25</v>
      </c>
      <c r="B28" s="109" t="s">
        <v>2072</v>
      </c>
      <c r="C28" s="109" t="s">
        <v>2073</v>
      </c>
      <c r="D28" s="109" t="s">
        <v>2074</v>
      </c>
      <c r="E28" s="109" t="s">
        <v>2075</v>
      </c>
    </row>
    <row r="29" spans="1:5" ht="39" x14ac:dyDescent="0.35">
      <c r="A29" s="109">
        <v>26</v>
      </c>
      <c r="B29" s="109" t="s">
        <v>2076</v>
      </c>
      <c r="C29" s="109" t="s">
        <v>2077</v>
      </c>
      <c r="D29" s="109" t="s">
        <v>2078</v>
      </c>
      <c r="E29" s="109" t="s">
        <v>2079</v>
      </c>
    </row>
    <row r="30" spans="1:5" x14ac:dyDescent="0.35">
      <c r="A30" s="109">
        <v>27</v>
      </c>
      <c r="B30" s="109" t="s">
        <v>2076</v>
      </c>
      <c r="C30" s="109" t="s">
        <v>2080</v>
      </c>
      <c r="D30" s="109" t="s">
        <v>2081</v>
      </c>
      <c r="E30" s="109" t="s">
        <v>2082</v>
      </c>
    </row>
    <row r="31" spans="1:5" ht="26" x14ac:dyDescent="0.35">
      <c r="A31" s="109">
        <v>28</v>
      </c>
      <c r="B31" s="109" t="s">
        <v>2076</v>
      </c>
      <c r="C31" s="109" t="s">
        <v>2083</v>
      </c>
      <c r="D31" s="109" t="s">
        <v>2084</v>
      </c>
      <c r="E31" s="109" t="s">
        <v>2085</v>
      </c>
    </row>
    <row r="32" spans="1:5" x14ac:dyDescent="0.35">
      <c r="A32" s="109">
        <v>29</v>
      </c>
      <c r="B32" s="109" t="s">
        <v>2076</v>
      </c>
      <c r="C32" s="109" t="s">
        <v>2086</v>
      </c>
      <c r="D32" s="109" t="s">
        <v>2087</v>
      </c>
      <c r="E32" s="109" t="s">
        <v>2088</v>
      </c>
    </row>
    <row r="33" spans="1:5" ht="26" x14ac:dyDescent="0.35">
      <c r="A33" s="109">
        <v>30</v>
      </c>
      <c r="B33" s="109" t="s">
        <v>2076</v>
      </c>
      <c r="C33" s="109" t="s">
        <v>2089</v>
      </c>
      <c r="D33" s="109" t="s">
        <v>2090</v>
      </c>
      <c r="E33" s="109" t="s">
        <v>2091</v>
      </c>
    </row>
    <row r="34" spans="1:5" ht="39" x14ac:dyDescent="0.35">
      <c r="A34" s="109">
        <v>31</v>
      </c>
      <c r="B34" s="109" t="s">
        <v>281</v>
      </c>
      <c r="C34" s="109" t="s">
        <v>2073</v>
      </c>
      <c r="D34" s="109" t="s">
        <v>2092</v>
      </c>
      <c r="E34" s="109" t="s">
        <v>2093</v>
      </c>
    </row>
    <row r="35" spans="1:5" x14ac:dyDescent="0.35">
      <c r="A35" s="109">
        <v>32</v>
      </c>
      <c r="B35" s="109" t="s">
        <v>2094</v>
      </c>
      <c r="C35" s="109" t="s">
        <v>2095</v>
      </c>
      <c r="D35" s="109" t="s">
        <v>2096</v>
      </c>
      <c r="E35" s="109" t="s">
        <v>2097</v>
      </c>
    </row>
    <row r="36" spans="1:5" x14ac:dyDescent="0.35">
      <c r="A36" s="109">
        <v>33</v>
      </c>
      <c r="B36" s="109" t="s">
        <v>2094</v>
      </c>
      <c r="C36" s="109" t="s">
        <v>2098</v>
      </c>
      <c r="D36" s="109" t="s">
        <v>2099</v>
      </c>
      <c r="E36" s="109" t="s">
        <v>2100</v>
      </c>
    </row>
    <row r="37" spans="1:5" x14ac:dyDescent="0.35">
      <c r="A37" s="109">
        <v>34</v>
      </c>
      <c r="B37" s="109" t="s">
        <v>2094</v>
      </c>
      <c r="C37" s="109" t="s">
        <v>2101</v>
      </c>
      <c r="D37" s="109" t="s">
        <v>2102</v>
      </c>
      <c r="E37" s="109" t="s">
        <v>2103</v>
      </c>
    </row>
    <row r="38" spans="1:5" ht="26" x14ac:dyDescent="0.35">
      <c r="A38" s="109">
        <v>35</v>
      </c>
      <c r="B38" s="109" t="s">
        <v>2094</v>
      </c>
      <c r="C38" s="109" t="s">
        <v>2104</v>
      </c>
      <c r="D38" s="109" t="s">
        <v>2105</v>
      </c>
      <c r="E38" s="109" t="s">
        <v>2106</v>
      </c>
    </row>
    <row r="39" spans="1:5" ht="26" x14ac:dyDescent="0.35">
      <c r="A39" s="109">
        <v>36</v>
      </c>
      <c r="B39" s="109" t="s">
        <v>2094</v>
      </c>
      <c r="C39" s="109" t="s">
        <v>2107</v>
      </c>
      <c r="D39" s="109" t="s">
        <v>2108</v>
      </c>
      <c r="E39" s="109" t="s">
        <v>2109</v>
      </c>
    </row>
    <row r="40" spans="1:5" ht="26" x14ac:dyDescent="0.35">
      <c r="A40" s="109">
        <v>37</v>
      </c>
      <c r="B40" s="109" t="s">
        <v>2110</v>
      </c>
      <c r="C40" s="109" t="s">
        <v>2111</v>
      </c>
      <c r="D40" s="109" t="s">
        <v>2112</v>
      </c>
      <c r="E40" s="109" t="s">
        <v>2113</v>
      </c>
    </row>
    <row r="41" spans="1:5" ht="26" x14ac:dyDescent="0.35">
      <c r="A41" s="109">
        <v>38</v>
      </c>
      <c r="B41" s="109" t="s">
        <v>2114</v>
      </c>
      <c r="C41" s="109" t="s">
        <v>2115</v>
      </c>
      <c r="D41" s="109" t="s">
        <v>2116</v>
      </c>
      <c r="E41" s="109" t="s">
        <v>2117</v>
      </c>
    </row>
    <row r="42" spans="1:5" x14ac:dyDescent="0.35">
      <c r="A42" s="109">
        <v>39</v>
      </c>
      <c r="B42" s="109" t="s">
        <v>2114</v>
      </c>
      <c r="C42" s="109" t="s">
        <v>2118</v>
      </c>
      <c r="D42" s="109" t="s">
        <v>2119</v>
      </c>
      <c r="E42" s="109" t="s">
        <v>2117</v>
      </c>
    </row>
    <row r="43" spans="1:5" x14ac:dyDescent="0.35">
      <c r="A43" s="109">
        <v>40</v>
      </c>
      <c r="B43" s="109" t="s">
        <v>2114</v>
      </c>
      <c r="C43" s="109" t="s">
        <v>2120</v>
      </c>
      <c r="D43" s="109" t="s">
        <v>2121</v>
      </c>
      <c r="E43" s="109" t="s">
        <v>2117</v>
      </c>
    </row>
    <row r="44" spans="1:5" x14ac:dyDescent="0.35">
      <c r="A44" s="109">
        <v>41</v>
      </c>
      <c r="B44" s="109" t="s">
        <v>2114</v>
      </c>
      <c r="C44" s="109" t="s">
        <v>2122</v>
      </c>
      <c r="D44" s="109" t="s">
        <v>2123</v>
      </c>
      <c r="E44" s="109" t="s">
        <v>2117</v>
      </c>
    </row>
    <row r="45" spans="1:5" x14ac:dyDescent="0.35">
      <c r="A45" s="109">
        <v>42</v>
      </c>
      <c r="B45" s="109" t="s">
        <v>2124</v>
      </c>
      <c r="C45" s="109" t="s">
        <v>2125</v>
      </c>
      <c r="D45" s="109" t="s">
        <v>2126</v>
      </c>
      <c r="E45" s="109" t="s">
        <v>2127</v>
      </c>
    </row>
    <row r="46" spans="1:5" x14ac:dyDescent="0.35">
      <c r="A46" s="109">
        <v>43</v>
      </c>
      <c r="B46" s="109" t="s">
        <v>2124</v>
      </c>
      <c r="C46" s="109" t="s">
        <v>2128</v>
      </c>
      <c r="D46" s="109" t="s">
        <v>2129</v>
      </c>
      <c r="E46" s="109" t="s">
        <v>2130</v>
      </c>
    </row>
    <row r="47" spans="1:5" x14ac:dyDescent="0.35">
      <c r="A47" s="109">
        <v>44</v>
      </c>
      <c r="B47" s="109" t="s">
        <v>2124</v>
      </c>
      <c r="C47" s="109" t="s">
        <v>2131</v>
      </c>
      <c r="D47" s="109" t="s">
        <v>2132</v>
      </c>
      <c r="E47" s="109" t="s">
        <v>2133</v>
      </c>
    </row>
    <row r="48" spans="1:5" ht="26" x14ac:dyDescent="0.35">
      <c r="A48" s="109">
        <v>45</v>
      </c>
      <c r="B48" s="109" t="s">
        <v>2134</v>
      </c>
      <c r="C48" s="109" t="s">
        <v>2135</v>
      </c>
      <c r="D48" s="109" t="s">
        <v>2136</v>
      </c>
      <c r="E48" s="109" t="s">
        <v>2137</v>
      </c>
    </row>
    <row r="49" spans="1:5" ht="26" x14ac:dyDescent="0.35">
      <c r="A49" s="109">
        <v>46</v>
      </c>
      <c r="B49" s="109" t="s">
        <v>2138</v>
      </c>
      <c r="C49" s="109" t="s">
        <v>2139</v>
      </c>
      <c r="D49" s="109" t="s">
        <v>2140</v>
      </c>
      <c r="E49" s="109" t="s">
        <v>2141</v>
      </c>
    </row>
    <row r="50" spans="1:5" x14ac:dyDescent="0.35">
      <c r="A50" s="109">
        <v>47</v>
      </c>
      <c r="B50" s="109" t="s">
        <v>2142</v>
      </c>
      <c r="C50" s="109" t="s">
        <v>2073</v>
      </c>
      <c r="D50" s="109" t="s">
        <v>2143</v>
      </c>
      <c r="E50" s="109" t="s">
        <v>2144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How to Use</vt:lpstr>
      <vt:lpstr>Community Data List</vt:lpstr>
      <vt:lpstr>Sheet 1 - Indicator Log</vt:lpstr>
      <vt:lpstr>Seasonal Tercile Tally</vt:lpstr>
      <vt:lpstr>Seasonal Indicator Calendar</vt:lpstr>
      <vt:lpstr>Indicator Code Legend</vt:lpstr>
      <vt:lpstr>Prior Multipliers</vt:lpstr>
      <vt:lpstr>Weighting Options</vt:lpstr>
      <vt:lpstr>Barriers Addressed</vt:lpstr>
      <vt:lpstr>Framework Crosswalk</vt:lpstr>
      <vt:lpstr>References</vt:lpstr>
      <vt:lpstr>Change Log 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Armil</dc:creator>
  <dc:description/>
  <cp:lastModifiedBy>Armil</cp:lastModifiedBy>
  <cp:revision>0</cp:revision>
  <dcterms:created xsi:type="dcterms:W3CDTF">2026-07-11T17:49:52Z</dcterms:created>
  <dcterms:modified xsi:type="dcterms:W3CDTF">2026-10-19T16:45:50Z</dcterms:modified>
  <dc:language>en-US</dc:language>
</cp:coreProperties>
</file>